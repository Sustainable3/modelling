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44" windowWidth="22056" windowHeight="10080" activeTab="2"/>
  </bookViews>
  <sheets>
    <sheet name="pilot" sheetId="1" r:id="rId1"/>
    <sheet name="rz-v" sheetId="2" r:id="rId2"/>
    <sheet name="synth-t" sheetId="3" r:id="rId3"/>
    <sheet name="rsp" sheetId="6" r:id="rId4"/>
    <sheet name="train-s" sheetId="4" r:id="rId5"/>
    <sheet name="train-mx" sheetId="5" r:id="rId6"/>
  </sheets>
  <definedNames>
    <definedName name="_xlnm._FilterDatabase" localSheetId="0" hidden="1">pilot!$A$1:$S$144</definedName>
    <definedName name="_xlnm._FilterDatabase" localSheetId="1" hidden="1">'rz-v'!$A$1:$G$144</definedName>
    <definedName name="_xlnm._FilterDatabase" localSheetId="2" hidden="1">'synth-t'!$A$1:$G$144</definedName>
    <definedName name="_xlnm._FilterDatabase" localSheetId="5" hidden="1">'train-mx'!$A$1:$E$144</definedName>
    <definedName name="_xlnm._FilterDatabase" localSheetId="4" hidden="1">'train-s'!$A$1:$E$144</definedName>
  </definedNames>
  <calcPr calcId="125725"/>
</workbook>
</file>

<file path=xl/calcChain.xml><?xml version="1.0" encoding="utf-8"?>
<calcChain xmlns="http://schemas.openxmlformats.org/spreadsheetml/2006/main">
  <c r="H128" i="3"/>
  <c r="I128"/>
  <c r="J128"/>
  <c r="K128"/>
  <c r="L128"/>
  <c r="M128"/>
  <c r="N128"/>
  <c r="O128"/>
  <c r="P128"/>
  <c r="Q128"/>
  <c r="R128"/>
  <c r="S128"/>
  <c r="H9"/>
  <c r="I9"/>
  <c r="J9"/>
  <c r="K9"/>
  <c r="L9"/>
  <c r="M9"/>
  <c r="N9"/>
  <c r="O9"/>
  <c r="P9"/>
  <c r="Q9"/>
  <c r="R9"/>
  <c r="S9"/>
  <c r="H41"/>
  <c r="I41"/>
  <c r="J41"/>
  <c r="K41"/>
  <c r="L41"/>
  <c r="M41"/>
  <c r="N41"/>
  <c r="O41"/>
  <c r="P41"/>
  <c r="Q41"/>
  <c r="R41"/>
  <c r="S41"/>
  <c r="H122"/>
  <c r="I122"/>
  <c r="J122"/>
  <c r="K122"/>
  <c r="L122"/>
  <c r="M122"/>
  <c r="N122"/>
  <c r="O122"/>
  <c r="P122"/>
  <c r="Q122"/>
  <c r="R122"/>
  <c r="S122"/>
  <c r="H49"/>
  <c r="I49"/>
  <c r="J49"/>
  <c r="K49"/>
  <c r="L49"/>
  <c r="M49"/>
  <c r="N49"/>
  <c r="O49"/>
  <c r="P49"/>
  <c r="Q49"/>
  <c r="R49"/>
  <c r="S49"/>
  <c r="H18"/>
  <c r="I18"/>
  <c r="J18"/>
  <c r="K18"/>
  <c r="L18"/>
  <c r="M18"/>
  <c r="N18"/>
  <c r="O18"/>
  <c r="P18"/>
  <c r="Q18"/>
  <c r="R18"/>
  <c r="S18"/>
  <c r="H140"/>
  <c r="I140"/>
  <c r="J140"/>
  <c r="K140"/>
  <c r="L140"/>
  <c r="M140"/>
  <c r="N140"/>
  <c r="O140"/>
  <c r="P140"/>
  <c r="Q140"/>
  <c r="R140"/>
  <c r="S140"/>
  <c r="H30"/>
  <c r="I30"/>
  <c r="J30"/>
  <c r="K30"/>
  <c r="L30"/>
  <c r="M30"/>
  <c r="N30"/>
  <c r="O30"/>
  <c r="P30"/>
  <c r="Q30"/>
  <c r="R30"/>
  <c r="S30"/>
  <c r="H3"/>
  <c r="I3"/>
  <c r="J3"/>
  <c r="K3"/>
  <c r="L3"/>
  <c r="M3"/>
  <c r="N3"/>
  <c r="O3"/>
  <c r="P3"/>
  <c r="Q3"/>
  <c r="R3"/>
  <c r="S3"/>
  <c r="H134"/>
  <c r="I134"/>
  <c r="J134"/>
  <c r="K134"/>
  <c r="L134"/>
  <c r="M134"/>
  <c r="N134"/>
  <c r="O134"/>
  <c r="P134"/>
  <c r="Q134"/>
  <c r="R134"/>
  <c r="S134"/>
  <c r="H57"/>
  <c r="I57"/>
  <c r="J57"/>
  <c r="K57"/>
  <c r="L57"/>
  <c r="M57"/>
  <c r="N57"/>
  <c r="O57"/>
  <c r="P57"/>
  <c r="Q57"/>
  <c r="R57"/>
  <c r="S57"/>
  <c r="H61"/>
  <c r="I61"/>
  <c r="J61"/>
  <c r="K61"/>
  <c r="L61"/>
  <c r="M61"/>
  <c r="N61"/>
  <c r="O61"/>
  <c r="P61"/>
  <c r="Q61"/>
  <c r="R61"/>
  <c r="S61"/>
  <c r="H7"/>
  <c r="I7"/>
  <c r="J7"/>
  <c r="K7"/>
  <c r="L7"/>
  <c r="M7"/>
  <c r="N7"/>
  <c r="O7"/>
  <c r="P7"/>
  <c r="Q7"/>
  <c r="R7"/>
  <c r="S7"/>
  <c r="H36"/>
  <c r="I36"/>
  <c r="J36"/>
  <c r="K36"/>
  <c r="L36"/>
  <c r="M36"/>
  <c r="N36"/>
  <c r="O36"/>
  <c r="P36"/>
  <c r="Q36"/>
  <c r="R36"/>
  <c r="S36"/>
  <c r="H43"/>
  <c r="I43"/>
  <c r="J43"/>
  <c r="K43"/>
  <c r="L43"/>
  <c r="M43"/>
  <c r="N43"/>
  <c r="O43"/>
  <c r="P43"/>
  <c r="Q43"/>
  <c r="R43"/>
  <c r="S43"/>
  <c r="H16"/>
  <c r="I16"/>
  <c r="J16"/>
  <c r="K16"/>
  <c r="L16"/>
  <c r="M16"/>
  <c r="N16"/>
  <c r="O16"/>
  <c r="P16"/>
  <c r="Q16"/>
  <c r="R16"/>
  <c r="S16"/>
  <c r="H51"/>
  <c r="I51"/>
  <c r="J51"/>
  <c r="K51"/>
  <c r="L51"/>
  <c r="M51"/>
  <c r="N51"/>
  <c r="O51"/>
  <c r="P51"/>
  <c r="Q51"/>
  <c r="R51"/>
  <c r="S51"/>
  <c r="H137"/>
  <c r="I137"/>
  <c r="J137"/>
  <c r="K137"/>
  <c r="L137"/>
  <c r="M137"/>
  <c r="N137"/>
  <c r="O137"/>
  <c r="P137"/>
  <c r="Q137"/>
  <c r="R137"/>
  <c r="S137"/>
  <c r="H13"/>
  <c r="I13"/>
  <c r="J13"/>
  <c r="K13"/>
  <c r="L13"/>
  <c r="M13"/>
  <c r="N13"/>
  <c r="O13"/>
  <c r="P13"/>
  <c r="Q13"/>
  <c r="R13"/>
  <c r="S13"/>
  <c r="H15"/>
  <c r="I15"/>
  <c r="J15"/>
  <c r="K15"/>
  <c r="L15"/>
  <c r="M15"/>
  <c r="N15"/>
  <c r="O15"/>
  <c r="P15"/>
  <c r="Q15"/>
  <c r="R15"/>
  <c r="S15"/>
  <c r="H125"/>
  <c r="I125"/>
  <c r="J125"/>
  <c r="K125"/>
  <c r="L125"/>
  <c r="M125"/>
  <c r="N125"/>
  <c r="O125"/>
  <c r="P125"/>
  <c r="Q125"/>
  <c r="R125"/>
  <c r="S125"/>
  <c r="H22"/>
  <c r="I22"/>
  <c r="J22"/>
  <c r="K22"/>
  <c r="L22"/>
  <c r="M22"/>
  <c r="N22"/>
  <c r="O22"/>
  <c r="P22"/>
  <c r="Q22"/>
  <c r="R22"/>
  <c r="S22"/>
  <c r="H143"/>
  <c r="I143"/>
  <c r="J143"/>
  <c r="K143"/>
  <c r="L143"/>
  <c r="M143"/>
  <c r="N143"/>
  <c r="O143"/>
  <c r="P143"/>
  <c r="Q143"/>
  <c r="R143"/>
  <c r="S143"/>
  <c r="H131"/>
  <c r="I131"/>
  <c r="J131"/>
  <c r="K131"/>
  <c r="L131"/>
  <c r="M131"/>
  <c r="N131"/>
  <c r="O131"/>
  <c r="P131"/>
  <c r="Q131"/>
  <c r="R131"/>
  <c r="S131"/>
  <c r="H47"/>
  <c r="I47"/>
  <c r="J47"/>
  <c r="K47"/>
  <c r="L47"/>
  <c r="M47"/>
  <c r="N47"/>
  <c r="O47"/>
  <c r="P47"/>
  <c r="Q47"/>
  <c r="R47"/>
  <c r="S47"/>
  <c r="H28"/>
  <c r="I28"/>
  <c r="J28"/>
  <c r="K28"/>
  <c r="L28"/>
  <c r="M28"/>
  <c r="N28"/>
  <c r="O28"/>
  <c r="P28"/>
  <c r="Q28"/>
  <c r="R28"/>
  <c r="S28"/>
  <c r="H123"/>
  <c r="I123"/>
  <c r="J123"/>
  <c r="K123"/>
  <c r="L123"/>
  <c r="M123"/>
  <c r="N123"/>
  <c r="O123"/>
  <c r="P123"/>
  <c r="Q123"/>
  <c r="R123"/>
  <c r="S123"/>
  <c r="H40"/>
  <c r="I40"/>
  <c r="J40"/>
  <c r="K40"/>
  <c r="L40"/>
  <c r="M40"/>
  <c r="N40"/>
  <c r="O40"/>
  <c r="P40"/>
  <c r="Q40"/>
  <c r="R40"/>
  <c r="S40"/>
  <c r="H34"/>
  <c r="I34"/>
  <c r="J34"/>
  <c r="K34"/>
  <c r="L34"/>
  <c r="M34"/>
  <c r="N34"/>
  <c r="O34"/>
  <c r="P34"/>
  <c r="Q34"/>
  <c r="R34"/>
  <c r="S34"/>
  <c r="H55"/>
  <c r="I55"/>
  <c r="J55"/>
  <c r="K55"/>
  <c r="L55"/>
  <c r="M55"/>
  <c r="N55"/>
  <c r="O55"/>
  <c r="P55"/>
  <c r="Q55"/>
  <c r="R55"/>
  <c r="S55"/>
  <c r="H53"/>
  <c r="I53"/>
  <c r="J53"/>
  <c r="K53"/>
  <c r="L53"/>
  <c r="M53"/>
  <c r="N53"/>
  <c r="O53"/>
  <c r="P53"/>
  <c r="Q53"/>
  <c r="R53"/>
  <c r="S53"/>
  <c r="H63"/>
  <c r="I63"/>
  <c r="J63"/>
  <c r="K63"/>
  <c r="L63"/>
  <c r="M63"/>
  <c r="N63"/>
  <c r="O63"/>
  <c r="P63"/>
  <c r="Q63"/>
  <c r="R63"/>
  <c r="S63"/>
  <c r="H45"/>
  <c r="I45"/>
  <c r="J45"/>
  <c r="K45"/>
  <c r="L45"/>
  <c r="M45"/>
  <c r="N45"/>
  <c r="O45"/>
  <c r="P45"/>
  <c r="Q45"/>
  <c r="R45"/>
  <c r="S45"/>
  <c r="H24"/>
  <c r="I24"/>
  <c r="J24"/>
  <c r="K24"/>
  <c r="L24"/>
  <c r="M24"/>
  <c r="N24"/>
  <c r="O24"/>
  <c r="P24"/>
  <c r="Q24"/>
  <c r="R24"/>
  <c r="S24"/>
  <c r="H65"/>
  <c r="I65"/>
  <c r="J65"/>
  <c r="K65"/>
  <c r="L65"/>
  <c r="M65"/>
  <c r="N65"/>
  <c r="O65"/>
  <c r="P65"/>
  <c r="Q65"/>
  <c r="R65"/>
  <c r="S65"/>
  <c r="H129"/>
  <c r="I129"/>
  <c r="J129"/>
  <c r="K129"/>
  <c r="L129"/>
  <c r="M129"/>
  <c r="N129"/>
  <c r="O129"/>
  <c r="P129"/>
  <c r="Q129"/>
  <c r="R129"/>
  <c r="S129"/>
  <c r="H87"/>
  <c r="I87"/>
  <c r="J87"/>
  <c r="K87"/>
  <c r="L87"/>
  <c r="M87"/>
  <c r="N87"/>
  <c r="O87"/>
  <c r="P87"/>
  <c r="Q87"/>
  <c r="R87"/>
  <c r="S87"/>
  <c r="H83"/>
  <c r="I83"/>
  <c r="J83"/>
  <c r="K83"/>
  <c r="L83"/>
  <c r="M83"/>
  <c r="N83"/>
  <c r="O83"/>
  <c r="P83"/>
  <c r="Q83"/>
  <c r="R83"/>
  <c r="S83"/>
  <c r="H139"/>
  <c r="I139"/>
  <c r="J139"/>
  <c r="K139"/>
  <c r="L139"/>
  <c r="M139"/>
  <c r="N139"/>
  <c r="O139"/>
  <c r="P139"/>
  <c r="Q139"/>
  <c r="R139"/>
  <c r="S139"/>
  <c r="H104"/>
  <c r="I104"/>
  <c r="J104"/>
  <c r="K104"/>
  <c r="L104"/>
  <c r="M104"/>
  <c r="N104"/>
  <c r="O104"/>
  <c r="P104"/>
  <c r="Q104"/>
  <c r="R104"/>
  <c r="S104"/>
  <c r="H110"/>
  <c r="I110"/>
  <c r="J110"/>
  <c r="K110"/>
  <c r="L110"/>
  <c r="M110"/>
  <c r="N110"/>
  <c r="O110"/>
  <c r="P110"/>
  <c r="Q110"/>
  <c r="R110"/>
  <c r="S110"/>
  <c r="H71"/>
  <c r="I71"/>
  <c r="J71"/>
  <c r="K71"/>
  <c r="L71"/>
  <c r="M71"/>
  <c r="N71"/>
  <c r="O71"/>
  <c r="P71"/>
  <c r="Q71"/>
  <c r="R71"/>
  <c r="S71"/>
  <c r="H67"/>
  <c r="I67"/>
  <c r="J67"/>
  <c r="K67"/>
  <c r="L67"/>
  <c r="M67"/>
  <c r="N67"/>
  <c r="O67"/>
  <c r="P67"/>
  <c r="Q67"/>
  <c r="R67"/>
  <c r="S67"/>
  <c r="H121"/>
  <c r="I121"/>
  <c r="J121"/>
  <c r="K121"/>
  <c r="L121"/>
  <c r="M121"/>
  <c r="N121"/>
  <c r="O121"/>
  <c r="P121"/>
  <c r="Q121"/>
  <c r="R121"/>
  <c r="S121"/>
  <c r="H141"/>
  <c r="I141"/>
  <c r="J141"/>
  <c r="K141"/>
  <c r="L141"/>
  <c r="M141"/>
  <c r="N141"/>
  <c r="O141"/>
  <c r="P141"/>
  <c r="Q141"/>
  <c r="R141"/>
  <c r="S141"/>
  <c r="H135"/>
  <c r="I135"/>
  <c r="J135"/>
  <c r="K135"/>
  <c r="L135"/>
  <c r="M135"/>
  <c r="N135"/>
  <c r="O135"/>
  <c r="P135"/>
  <c r="Q135"/>
  <c r="R135"/>
  <c r="S135"/>
  <c r="H127"/>
  <c r="I127"/>
  <c r="J127"/>
  <c r="K127"/>
  <c r="L127"/>
  <c r="M127"/>
  <c r="N127"/>
  <c r="O127"/>
  <c r="P127"/>
  <c r="Q127"/>
  <c r="R127"/>
  <c r="S127"/>
  <c r="H42"/>
  <c r="I42"/>
  <c r="J42"/>
  <c r="K42"/>
  <c r="L42"/>
  <c r="M42"/>
  <c r="N42"/>
  <c r="O42"/>
  <c r="P42"/>
  <c r="Q42"/>
  <c r="R42"/>
  <c r="S42"/>
  <c r="H46"/>
  <c r="I46"/>
  <c r="J46"/>
  <c r="K46"/>
  <c r="L46"/>
  <c r="M46"/>
  <c r="N46"/>
  <c r="O46"/>
  <c r="P46"/>
  <c r="Q46"/>
  <c r="R46"/>
  <c r="S46"/>
  <c r="H59"/>
  <c r="I59"/>
  <c r="J59"/>
  <c r="K59"/>
  <c r="L59"/>
  <c r="M59"/>
  <c r="N59"/>
  <c r="O59"/>
  <c r="P59"/>
  <c r="Q59"/>
  <c r="R59"/>
  <c r="S59"/>
  <c r="H50"/>
  <c r="I50"/>
  <c r="J50"/>
  <c r="K50"/>
  <c r="L50"/>
  <c r="M50"/>
  <c r="N50"/>
  <c r="O50"/>
  <c r="P50"/>
  <c r="Q50"/>
  <c r="R50"/>
  <c r="S50"/>
  <c r="H91"/>
  <c r="I91"/>
  <c r="J91"/>
  <c r="K91"/>
  <c r="L91"/>
  <c r="M91"/>
  <c r="N91"/>
  <c r="O91"/>
  <c r="P91"/>
  <c r="Q91"/>
  <c r="R91"/>
  <c r="S91"/>
  <c r="H133"/>
  <c r="I133"/>
  <c r="J133"/>
  <c r="K133"/>
  <c r="L133"/>
  <c r="M133"/>
  <c r="N133"/>
  <c r="O133"/>
  <c r="P133"/>
  <c r="Q133"/>
  <c r="R133"/>
  <c r="S133"/>
  <c r="H112"/>
  <c r="I112"/>
  <c r="J112"/>
  <c r="K112"/>
  <c r="L112"/>
  <c r="M112"/>
  <c r="N112"/>
  <c r="O112"/>
  <c r="P112"/>
  <c r="Q112"/>
  <c r="R112"/>
  <c r="S112"/>
  <c r="H124"/>
  <c r="I124"/>
  <c r="J124"/>
  <c r="K124"/>
  <c r="L124"/>
  <c r="M124"/>
  <c r="N124"/>
  <c r="O124"/>
  <c r="P124"/>
  <c r="Q124"/>
  <c r="R124"/>
  <c r="S124"/>
  <c r="H136"/>
  <c r="I136"/>
  <c r="J136"/>
  <c r="K136"/>
  <c r="L136"/>
  <c r="M136"/>
  <c r="N136"/>
  <c r="O136"/>
  <c r="P136"/>
  <c r="Q136"/>
  <c r="R136"/>
  <c r="S136"/>
  <c r="H54"/>
  <c r="I54"/>
  <c r="J54"/>
  <c r="K54"/>
  <c r="L54"/>
  <c r="M54"/>
  <c r="N54"/>
  <c r="O54"/>
  <c r="P54"/>
  <c r="Q54"/>
  <c r="R54"/>
  <c r="S54"/>
  <c r="H69"/>
  <c r="I69"/>
  <c r="J69"/>
  <c r="K69"/>
  <c r="L69"/>
  <c r="M69"/>
  <c r="N69"/>
  <c r="O69"/>
  <c r="P69"/>
  <c r="Q69"/>
  <c r="R69"/>
  <c r="S69"/>
  <c r="H118"/>
  <c r="I118"/>
  <c r="J118"/>
  <c r="K118"/>
  <c r="L118"/>
  <c r="M118"/>
  <c r="N118"/>
  <c r="O118"/>
  <c r="P118"/>
  <c r="Q118"/>
  <c r="R118"/>
  <c r="S118"/>
  <c r="H130"/>
  <c r="I130"/>
  <c r="J130"/>
  <c r="K130"/>
  <c r="L130"/>
  <c r="M130"/>
  <c r="N130"/>
  <c r="O130"/>
  <c r="P130"/>
  <c r="Q130"/>
  <c r="R130"/>
  <c r="S130"/>
  <c r="H142"/>
  <c r="I142"/>
  <c r="J142"/>
  <c r="K142"/>
  <c r="L142"/>
  <c r="M142"/>
  <c r="N142"/>
  <c r="O142"/>
  <c r="P142"/>
  <c r="Q142"/>
  <c r="R142"/>
  <c r="S142"/>
  <c r="H113"/>
  <c r="I113"/>
  <c r="J113"/>
  <c r="K113"/>
  <c r="L113"/>
  <c r="M113"/>
  <c r="N113"/>
  <c r="O113"/>
  <c r="P113"/>
  <c r="Q113"/>
  <c r="R113"/>
  <c r="S113"/>
  <c r="H80"/>
  <c r="I80"/>
  <c r="J80"/>
  <c r="K80"/>
  <c r="L80"/>
  <c r="M80"/>
  <c r="N80"/>
  <c r="O80"/>
  <c r="P80"/>
  <c r="Q80"/>
  <c r="R80"/>
  <c r="S80"/>
  <c r="H76"/>
  <c r="I76"/>
  <c r="J76"/>
  <c r="K76"/>
  <c r="L76"/>
  <c r="M76"/>
  <c r="N76"/>
  <c r="O76"/>
  <c r="P76"/>
  <c r="Q76"/>
  <c r="R76"/>
  <c r="S76"/>
  <c r="H119"/>
  <c r="I119"/>
  <c r="J119"/>
  <c r="K119"/>
  <c r="L119"/>
  <c r="M119"/>
  <c r="N119"/>
  <c r="O119"/>
  <c r="P119"/>
  <c r="Q119"/>
  <c r="R119"/>
  <c r="S119"/>
  <c r="H79"/>
  <c r="I79"/>
  <c r="J79"/>
  <c r="K79"/>
  <c r="L79"/>
  <c r="M79"/>
  <c r="N79"/>
  <c r="O79"/>
  <c r="P79"/>
  <c r="Q79"/>
  <c r="R79"/>
  <c r="S79"/>
  <c r="H95"/>
  <c r="I95"/>
  <c r="J95"/>
  <c r="K95"/>
  <c r="L95"/>
  <c r="M95"/>
  <c r="N95"/>
  <c r="O95"/>
  <c r="P95"/>
  <c r="Q95"/>
  <c r="R95"/>
  <c r="S95"/>
  <c r="H99"/>
  <c r="I99"/>
  <c r="J99"/>
  <c r="K99"/>
  <c r="L99"/>
  <c r="M99"/>
  <c r="N99"/>
  <c r="O99"/>
  <c r="P99"/>
  <c r="Q99"/>
  <c r="R99"/>
  <c r="S99"/>
  <c r="H132"/>
  <c r="I132"/>
  <c r="J132"/>
  <c r="K132"/>
  <c r="L132"/>
  <c r="M132"/>
  <c r="N132"/>
  <c r="O132"/>
  <c r="P132"/>
  <c r="Q132"/>
  <c r="R132"/>
  <c r="S132"/>
  <c r="H88"/>
  <c r="I88"/>
  <c r="J88"/>
  <c r="K88"/>
  <c r="L88"/>
  <c r="M88"/>
  <c r="N88"/>
  <c r="O88"/>
  <c r="P88"/>
  <c r="Q88"/>
  <c r="R88"/>
  <c r="S88"/>
  <c r="H100"/>
  <c r="I100"/>
  <c r="J100"/>
  <c r="K100"/>
  <c r="L100"/>
  <c r="M100"/>
  <c r="N100"/>
  <c r="O100"/>
  <c r="P100"/>
  <c r="Q100"/>
  <c r="R100"/>
  <c r="S100"/>
  <c r="H126"/>
  <c r="I126"/>
  <c r="J126"/>
  <c r="K126"/>
  <c r="L126"/>
  <c r="M126"/>
  <c r="N126"/>
  <c r="O126"/>
  <c r="P126"/>
  <c r="Q126"/>
  <c r="R126"/>
  <c r="S126"/>
  <c r="H62"/>
  <c r="I62"/>
  <c r="J62"/>
  <c r="K62"/>
  <c r="L62"/>
  <c r="M62"/>
  <c r="N62"/>
  <c r="O62"/>
  <c r="P62"/>
  <c r="Q62"/>
  <c r="R62"/>
  <c r="S62"/>
  <c r="H75"/>
  <c r="I75"/>
  <c r="J75"/>
  <c r="K75"/>
  <c r="L75"/>
  <c r="M75"/>
  <c r="N75"/>
  <c r="O75"/>
  <c r="P75"/>
  <c r="Q75"/>
  <c r="R75"/>
  <c r="S75"/>
  <c r="H92"/>
  <c r="I92"/>
  <c r="J92"/>
  <c r="K92"/>
  <c r="L92"/>
  <c r="M92"/>
  <c r="N92"/>
  <c r="O92"/>
  <c r="P92"/>
  <c r="Q92"/>
  <c r="R92"/>
  <c r="S92"/>
  <c r="H58"/>
  <c r="I58"/>
  <c r="J58"/>
  <c r="K58"/>
  <c r="L58"/>
  <c r="M58"/>
  <c r="N58"/>
  <c r="O58"/>
  <c r="P58"/>
  <c r="Q58"/>
  <c r="R58"/>
  <c r="S58"/>
  <c r="H66"/>
  <c r="I66"/>
  <c r="J66"/>
  <c r="K66"/>
  <c r="L66"/>
  <c r="M66"/>
  <c r="N66"/>
  <c r="O66"/>
  <c r="P66"/>
  <c r="Q66"/>
  <c r="R66"/>
  <c r="S66"/>
  <c r="H96"/>
  <c r="I96"/>
  <c r="J96"/>
  <c r="K96"/>
  <c r="L96"/>
  <c r="M96"/>
  <c r="N96"/>
  <c r="O96"/>
  <c r="P96"/>
  <c r="Q96"/>
  <c r="R96"/>
  <c r="S96"/>
  <c r="H138"/>
  <c r="I138"/>
  <c r="J138"/>
  <c r="K138"/>
  <c r="L138"/>
  <c r="M138"/>
  <c r="N138"/>
  <c r="O138"/>
  <c r="P138"/>
  <c r="Q138"/>
  <c r="R138"/>
  <c r="S138"/>
  <c r="H84"/>
  <c r="I84"/>
  <c r="J84"/>
  <c r="K84"/>
  <c r="L84"/>
  <c r="M84"/>
  <c r="N84"/>
  <c r="O84"/>
  <c r="P84"/>
  <c r="Q84"/>
  <c r="R84"/>
  <c r="S84"/>
  <c r="H144"/>
  <c r="I144"/>
  <c r="J144"/>
  <c r="K144"/>
  <c r="L144"/>
  <c r="M144"/>
  <c r="N144"/>
  <c r="O144"/>
  <c r="P144"/>
  <c r="Q144"/>
  <c r="R144"/>
  <c r="S144"/>
  <c r="H44"/>
  <c r="I44"/>
  <c r="J44"/>
  <c r="K44"/>
  <c r="L44"/>
  <c r="M44"/>
  <c r="N44"/>
  <c r="O44"/>
  <c r="P44"/>
  <c r="Q44"/>
  <c r="R44"/>
  <c r="S44"/>
  <c r="H52"/>
  <c r="I52"/>
  <c r="J52"/>
  <c r="K52"/>
  <c r="L52"/>
  <c r="M52"/>
  <c r="N52"/>
  <c r="O52"/>
  <c r="P52"/>
  <c r="Q52"/>
  <c r="R52"/>
  <c r="S52"/>
  <c r="H107"/>
  <c r="I107"/>
  <c r="J107"/>
  <c r="K107"/>
  <c r="L107"/>
  <c r="M107"/>
  <c r="N107"/>
  <c r="O107"/>
  <c r="P107"/>
  <c r="Q107"/>
  <c r="R107"/>
  <c r="S107"/>
  <c r="H103"/>
  <c r="I103"/>
  <c r="J103"/>
  <c r="K103"/>
  <c r="L103"/>
  <c r="M103"/>
  <c r="N103"/>
  <c r="O103"/>
  <c r="P103"/>
  <c r="Q103"/>
  <c r="R103"/>
  <c r="S103"/>
  <c r="H108"/>
  <c r="I108"/>
  <c r="J108"/>
  <c r="K108"/>
  <c r="L108"/>
  <c r="M108"/>
  <c r="N108"/>
  <c r="O108"/>
  <c r="P108"/>
  <c r="Q108"/>
  <c r="R108"/>
  <c r="S108"/>
  <c r="H14"/>
  <c r="I14"/>
  <c r="J14"/>
  <c r="K14"/>
  <c r="L14"/>
  <c r="M14"/>
  <c r="N14"/>
  <c r="O14"/>
  <c r="P14"/>
  <c r="Q14"/>
  <c r="R14"/>
  <c r="S14"/>
  <c r="H115"/>
  <c r="I115"/>
  <c r="J115"/>
  <c r="K115"/>
  <c r="L115"/>
  <c r="M115"/>
  <c r="N115"/>
  <c r="O115"/>
  <c r="P115"/>
  <c r="Q115"/>
  <c r="R115"/>
  <c r="S115"/>
  <c r="H48"/>
  <c r="I48"/>
  <c r="J48"/>
  <c r="K48"/>
  <c r="L48"/>
  <c r="M48"/>
  <c r="N48"/>
  <c r="O48"/>
  <c r="P48"/>
  <c r="Q48"/>
  <c r="R48"/>
  <c r="S48"/>
  <c r="H70"/>
  <c r="I70"/>
  <c r="J70"/>
  <c r="K70"/>
  <c r="L70"/>
  <c r="M70"/>
  <c r="N70"/>
  <c r="O70"/>
  <c r="P70"/>
  <c r="Q70"/>
  <c r="R70"/>
  <c r="S70"/>
  <c r="H117"/>
  <c r="I117"/>
  <c r="J117"/>
  <c r="K117"/>
  <c r="L117"/>
  <c r="M117"/>
  <c r="N117"/>
  <c r="O117"/>
  <c r="P117"/>
  <c r="Q117"/>
  <c r="R117"/>
  <c r="S117"/>
  <c r="H111"/>
  <c r="I111"/>
  <c r="J111"/>
  <c r="K111"/>
  <c r="L111"/>
  <c r="M111"/>
  <c r="N111"/>
  <c r="O111"/>
  <c r="P111"/>
  <c r="Q111"/>
  <c r="R111"/>
  <c r="S111"/>
  <c r="H109"/>
  <c r="I109"/>
  <c r="J109"/>
  <c r="K109"/>
  <c r="L109"/>
  <c r="M109"/>
  <c r="N109"/>
  <c r="O109"/>
  <c r="P109"/>
  <c r="Q109"/>
  <c r="R109"/>
  <c r="S109"/>
  <c r="H56"/>
  <c r="I56"/>
  <c r="J56"/>
  <c r="K56"/>
  <c r="L56"/>
  <c r="M56"/>
  <c r="N56"/>
  <c r="O56"/>
  <c r="P56"/>
  <c r="Q56"/>
  <c r="R56"/>
  <c r="S56"/>
  <c r="H68"/>
  <c r="I68"/>
  <c r="J68"/>
  <c r="K68"/>
  <c r="L68"/>
  <c r="M68"/>
  <c r="N68"/>
  <c r="O68"/>
  <c r="P68"/>
  <c r="Q68"/>
  <c r="R68"/>
  <c r="S68"/>
  <c r="H60"/>
  <c r="I60"/>
  <c r="J60"/>
  <c r="K60"/>
  <c r="L60"/>
  <c r="M60"/>
  <c r="N60"/>
  <c r="O60"/>
  <c r="P60"/>
  <c r="Q60"/>
  <c r="R60"/>
  <c r="S60"/>
  <c r="H64"/>
  <c r="I64"/>
  <c r="J64"/>
  <c r="K64"/>
  <c r="L64"/>
  <c r="M64"/>
  <c r="N64"/>
  <c r="O64"/>
  <c r="P64"/>
  <c r="Q64"/>
  <c r="R64"/>
  <c r="S64"/>
  <c r="H72"/>
  <c r="I72"/>
  <c r="J72"/>
  <c r="K72"/>
  <c r="L72"/>
  <c r="M72"/>
  <c r="N72"/>
  <c r="O72"/>
  <c r="P72"/>
  <c r="Q72"/>
  <c r="R72"/>
  <c r="S72"/>
  <c r="H114"/>
  <c r="I114"/>
  <c r="J114"/>
  <c r="K114"/>
  <c r="L114"/>
  <c r="M114"/>
  <c r="N114"/>
  <c r="O114"/>
  <c r="P114"/>
  <c r="Q114"/>
  <c r="R114"/>
  <c r="S114"/>
  <c r="H120"/>
  <c r="I120"/>
  <c r="J120"/>
  <c r="K120"/>
  <c r="L120"/>
  <c r="M120"/>
  <c r="N120"/>
  <c r="O120"/>
  <c r="P120"/>
  <c r="Q120"/>
  <c r="R120"/>
  <c r="S120"/>
  <c r="H8"/>
  <c r="I8"/>
  <c r="J8"/>
  <c r="K8"/>
  <c r="L8"/>
  <c r="M8"/>
  <c r="N8"/>
  <c r="O8"/>
  <c r="P8"/>
  <c r="Q8"/>
  <c r="R8"/>
  <c r="S8"/>
  <c r="H23"/>
  <c r="I23"/>
  <c r="J23"/>
  <c r="K23"/>
  <c r="L23"/>
  <c r="M23"/>
  <c r="N23"/>
  <c r="O23"/>
  <c r="P23"/>
  <c r="Q23"/>
  <c r="R23"/>
  <c r="S23"/>
  <c r="H17"/>
  <c r="I17"/>
  <c r="J17"/>
  <c r="K17"/>
  <c r="L17"/>
  <c r="M17"/>
  <c r="N17"/>
  <c r="O17"/>
  <c r="P17"/>
  <c r="Q17"/>
  <c r="R17"/>
  <c r="S17"/>
  <c r="H27"/>
  <c r="I27"/>
  <c r="J27"/>
  <c r="K27"/>
  <c r="L27"/>
  <c r="M27"/>
  <c r="N27"/>
  <c r="O27"/>
  <c r="P27"/>
  <c r="Q27"/>
  <c r="R27"/>
  <c r="S27"/>
  <c r="H2"/>
  <c r="I2"/>
  <c r="J2"/>
  <c r="K2"/>
  <c r="L2"/>
  <c r="M2"/>
  <c r="N2"/>
  <c r="O2"/>
  <c r="P2"/>
  <c r="Q2"/>
  <c r="R2"/>
  <c r="S2"/>
  <c r="H12"/>
  <c r="I12"/>
  <c r="J12"/>
  <c r="K12"/>
  <c r="L12"/>
  <c r="M12"/>
  <c r="N12"/>
  <c r="O12"/>
  <c r="P12"/>
  <c r="Q12"/>
  <c r="R12"/>
  <c r="S12"/>
  <c r="H6"/>
  <c r="I6"/>
  <c r="J6"/>
  <c r="K6"/>
  <c r="L6"/>
  <c r="M6"/>
  <c r="N6"/>
  <c r="O6"/>
  <c r="P6"/>
  <c r="Q6"/>
  <c r="R6"/>
  <c r="S6"/>
  <c r="H21"/>
  <c r="I21"/>
  <c r="J21"/>
  <c r="K21"/>
  <c r="L21"/>
  <c r="M21"/>
  <c r="N21"/>
  <c r="O21"/>
  <c r="P21"/>
  <c r="Q21"/>
  <c r="R21"/>
  <c r="S21"/>
  <c r="H10"/>
  <c r="I10"/>
  <c r="J10"/>
  <c r="K10"/>
  <c r="L10"/>
  <c r="M10"/>
  <c r="N10"/>
  <c r="O10"/>
  <c r="P10"/>
  <c r="Q10"/>
  <c r="R10"/>
  <c r="S10"/>
  <c r="H19"/>
  <c r="I19"/>
  <c r="J19"/>
  <c r="K19"/>
  <c r="L19"/>
  <c r="M19"/>
  <c r="N19"/>
  <c r="O19"/>
  <c r="P19"/>
  <c r="Q19"/>
  <c r="R19"/>
  <c r="S19"/>
  <c r="H25"/>
  <c r="I25"/>
  <c r="J25"/>
  <c r="K25"/>
  <c r="L25"/>
  <c r="M25"/>
  <c r="N25"/>
  <c r="O25"/>
  <c r="P25"/>
  <c r="Q25"/>
  <c r="R25"/>
  <c r="S25"/>
  <c r="H4"/>
  <c r="I4"/>
  <c r="J4"/>
  <c r="K4"/>
  <c r="L4"/>
  <c r="M4"/>
  <c r="N4"/>
  <c r="O4"/>
  <c r="P4"/>
  <c r="Q4"/>
  <c r="R4"/>
  <c r="S4"/>
  <c r="H31"/>
  <c r="I31"/>
  <c r="J31"/>
  <c r="K31"/>
  <c r="L31"/>
  <c r="M31"/>
  <c r="N31"/>
  <c r="O31"/>
  <c r="P31"/>
  <c r="Q31"/>
  <c r="R31"/>
  <c r="S31"/>
  <c r="H37"/>
  <c r="I37"/>
  <c r="J37"/>
  <c r="K37"/>
  <c r="L37"/>
  <c r="M37"/>
  <c r="N37"/>
  <c r="O37"/>
  <c r="P37"/>
  <c r="Q37"/>
  <c r="R37"/>
  <c r="S37"/>
  <c r="H33"/>
  <c r="I33"/>
  <c r="J33"/>
  <c r="K33"/>
  <c r="L33"/>
  <c r="M33"/>
  <c r="N33"/>
  <c r="O33"/>
  <c r="P33"/>
  <c r="Q33"/>
  <c r="R33"/>
  <c r="S33"/>
  <c r="H39"/>
  <c r="I39"/>
  <c r="J39"/>
  <c r="K39"/>
  <c r="L39"/>
  <c r="M39"/>
  <c r="N39"/>
  <c r="O39"/>
  <c r="P39"/>
  <c r="Q39"/>
  <c r="R39"/>
  <c r="S39"/>
  <c r="H35"/>
  <c r="I35"/>
  <c r="J35"/>
  <c r="K35"/>
  <c r="L35"/>
  <c r="M35"/>
  <c r="N35"/>
  <c r="O35"/>
  <c r="P35"/>
  <c r="Q35"/>
  <c r="R35"/>
  <c r="S35"/>
  <c r="H29"/>
  <c r="I29"/>
  <c r="J29"/>
  <c r="K29"/>
  <c r="L29"/>
  <c r="M29"/>
  <c r="N29"/>
  <c r="O29"/>
  <c r="P29"/>
  <c r="Q29"/>
  <c r="R29"/>
  <c r="S29"/>
  <c r="H73"/>
  <c r="I73"/>
  <c r="J73"/>
  <c r="K73"/>
  <c r="L73"/>
  <c r="M73"/>
  <c r="N73"/>
  <c r="O73"/>
  <c r="P73"/>
  <c r="Q73"/>
  <c r="R73"/>
  <c r="S73"/>
  <c r="H77"/>
  <c r="I77"/>
  <c r="J77"/>
  <c r="K77"/>
  <c r="L77"/>
  <c r="M77"/>
  <c r="N77"/>
  <c r="O77"/>
  <c r="P77"/>
  <c r="Q77"/>
  <c r="R77"/>
  <c r="S77"/>
  <c r="H38"/>
  <c r="I38"/>
  <c r="J38"/>
  <c r="K38"/>
  <c r="L38"/>
  <c r="M38"/>
  <c r="N38"/>
  <c r="O38"/>
  <c r="P38"/>
  <c r="Q38"/>
  <c r="R38"/>
  <c r="S38"/>
  <c r="H101"/>
  <c r="I101"/>
  <c r="J101"/>
  <c r="K101"/>
  <c r="L101"/>
  <c r="M101"/>
  <c r="N101"/>
  <c r="O101"/>
  <c r="P101"/>
  <c r="Q101"/>
  <c r="R101"/>
  <c r="S101"/>
  <c r="H105"/>
  <c r="I105"/>
  <c r="J105"/>
  <c r="K105"/>
  <c r="L105"/>
  <c r="M105"/>
  <c r="N105"/>
  <c r="O105"/>
  <c r="P105"/>
  <c r="Q105"/>
  <c r="R105"/>
  <c r="S105"/>
  <c r="H98"/>
  <c r="I98"/>
  <c r="J98"/>
  <c r="K98"/>
  <c r="L98"/>
  <c r="M98"/>
  <c r="N98"/>
  <c r="O98"/>
  <c r="P98"/>
  <c r="Q98"/>
  <c r="R98"/>
  <c r="S98"/>
  <c r="H81"/>
  <c r="I81"/>
  <c r="J81"/>
  <c r="K81"/>
  <c r="L81"/>
  <c r="M81"/>
  <c r="N81"/>
  <c r="O81"/>
  <c r="P81"/>
  <c r="Q81"/>
  <c r="R81"/>
  <c r="S81"/>
  <c r="H85"/>
  <c r="I85"/>
  <c r="J85"/>
  <c r="K85"/>
  <c r="L85"/>
  <c r="M85"/>
  <c r="N85"/>
  <c r="O85"/>
  <c r="P85"/>
  <c r="Q85"/>
  <c r="R85"/>
  <c r="S85"/>
  <c r="H89"/>
  <c r="I89"/>
  <c r="J89"/>
  <c r="K89"/>
  <c r="L89"/>
  <c r="M89"/>
  <c r="N89"/>
  <c r="O89"/>
  <c r="P89"/>
  <c r="Q89"/>
  <c r="R89"/>
  <c r="S89"/>
  <c r="H102"/>
  <c r="I102"/>
  <c r="J102"/>
  <c r="K102"/>
  <c r="L102"/>
  <c r="M102"/>
  <c r="N102"/>
  <c r="O102"/>
  <c r="P102"/>
  <c r="Q102"/>
  <c r="R102"/>
  <c r="S102"/>
  <c r="H106"/>
  <c r="I106"/>
  <c r="J106"/>
  <c r="K106"/>
  <c r="L106"/>
  <c r="M106"/>
  <c r="N106"/>
  <c r="O106"/>
  <c r="P106"/>
  <c r="Q106"/>
  <c r="R106"/>
  <c r="S106"/>
  <c r="H11"/>
  <c r="I11"/>
  <c r="J11"/>
  <c r="K11"/>
  <c r="L11"/>
  <c r="M11"/>
  <c r="N11"/>
  <c r="O11"/>
  <c r="P11"/>
  <c r="Q11"/>
  <c r="R11"/>
  <c r="S11"/>
  <c r="H82"/>
  <c r="I82"/>
  <c r="J82"/>
  <c r="K82"/>
  <c r="L82"/>
  <c r="M82"/>
  <c r="N82"/>
  <c r="O82"/>
  <c r="P82"/>
  <c r="Q82"/>
  <c r="R82"/>
  <c r="S82"/>
  <c r="H86"/>
  <c r="I86"/>
  <c r="J86"/>
  <c r="K86"/>
  <c r="L86"/>
  <c r="M86"/>
  <c r="N86"/>
  <c r="O86"/>
  <c r="P86"/>
  <c r="Q86"/>
  <c r="R86"/>
  <c r="S86"/>
  <c r="H90"/>
  <c r="I90"/>
  <c r="J90"/>
  <c r="K90"/>
  <c r="L90"/>
  <c r="M90"/>
  <c r="N90"/>
  <c r="O90"/>
  <c r="P90"/>
  <c r="Q90"/>
  <c r="R90"/>
  <c r="S90"/>
  <c r="H93"/>
  <c r="I93"/>
  <c r="J93"/>
  <c r="K93"/>
  <c r="L93"/>
  <c r="M93"/>
  <c r="N93"/>
  <c r="O93"/>
  <c r="P93"/>
  <c r="Q93"/>
  <c r="R93"/>
  <c r="S93"/>
  <c r="H94"/>
  <c r="I94"/>
  <c r="J94"/>
  <c r="K94"/>
  <c r="L94"/>
  <c r="M94"/>
  <c r="N94"/>
  <c r="O94"/>
  <c r="P94"/>
  <c r="Q94"/>
  <c r="R94"/>
  <c r="S94"/>
  <c r="H5"/>
  <c r="I5"/>
  <c r="J5"/>
  <c r="K5"/>
  <c r="L5"/>
  <c r="M5"/>
  <c r="N5"/>
  <c r="O5"/>
  <c r="P5"/>
  <c r="Q5"/>
  <c r="R5"/>
  <c r="S5"/>
  <c r="H20"/>
  <c r="I20"/>
  <c r="J20"/>
  <c r="K20"/>
  <c r="L20"/>
  <c r="M20"/>
  <c r="N20"/>
  <c r="O20"/>
  <c r="P20"/>
  <c r="Q20"/>
  <c r="R20"/>
  <c r="S20"/>
  <c r="H26"/>
  <c r="I26"/>
  <c r="J26"/>
  <c r="K26"/>
  <c r="L26"/>
  <c r="M26"/>
  <c r="N26"/>
  <c r="O26"/>
  <c r="P26"/>
  <c r="Q26"/>
  <c r="R26"/>
  <c r="S26"/>
  <c r="H32"/>
  <c r="I32"/>
  <c r="J32"/>
  <c r="K32"/>
  <c r="L32"/>
  <c r="M32"/>
  <c r="N32"/>
  <c r="O32"/>
  <c r="P32"/>
  <c r="Q32"/>
  <c r="R32"/>
  <c r="S32"/>
  <c r="H74"/>
  <c r="I74"/>
  <c r="J74"/>
  <c r="K74"/>
  <c r="L74"/>
  <c r="M74"/>
  <c r="N74"/>
  <c r="O74"/>
  <c r="P74"/>
  <c r="Q74"/>
  <c r="R74"/>
  <c r="S74"/>
  <c r="H78"/>
  <c r="I78"/>
  <c r="J78"/>
  <c r="K78"/>
  <c r="L78"/>
  <c r="M78"/>
  <c r="N78"/>
  <c r="O78"/>
  <c r="P78"/>
  <c r="Q78"/>
  <c r="R78"/>
  <c r="S78"/>
  <c r="H97"/>
  <c r="I97"/>
  <c r="J97"/>
  <c r="K97"/>
  <c r="L97"/>
  <c r="M97"/>
  <c r="N97"/>
  <c r="O97"/>
  <c r="P97"/>
  <c r="Q97"/>
  <c r="R97"/>
  <c r="S97"/>
  <c r="S116"/>
  <c r="R116"/>
  <c r="Q116"/>
  <c r="P116"/>
  <c r="O116"/>
  <c r="N116"/>
  <c r="M116"/>
  <c r="L116"/>
  <c r="K116"/>
  <c r="J116"/>
  <c r="I116"/>
  <c r="H116"/>
  <c r="S1"/>
  <c r="R1"/>
  <c r="Q1"/>
  <c r="P1"/>
  <c r="O1"/>
  <c r="N1"/>
  <c r="M1"/>
  <c r="L1"/>
  <c r="K1"/>
  <c r="J1"/>
  <c r="I1"/>
  <c r="H1"/>
  <c r="N44" i="2"/>
  <c r="O44"/>
  <c r="P44"/>
  <c r="Q44"/>
  <c r="R44"/>
  <c r="S44"/>
  <c r="N48"/>
  <c r="O48"/>
  <c r="P48"/>
  <c r="Q48"/>
  <c r="R48"/>
  <c r="S48"/>
  <c r="N14"/>
  <c r="O14"/>
  <c r="P14"/>
  <c r="Q14"/>
  <c r="R14"/>
  <c r="S14"/>
  <c r="N132"/>
  <c r="O132"/>
  <c r="P132"/>
  <c r="Q132"/>
  <c r="R132"/>
  <c r="S132"/>
  <c r="N126"/>
  <c r="O126"/>
  <c r="P126"/>
  <c r="Q126"/>
  <c r="R126"/>
  <c r="S126"/>
  <c r="N72"/>
  <c r="O72"/>
  <c r="P72"/>
  <c r="Q72"/>
  <c r="R72"/>
  <c r="S72"/>
  <c r="N118"/>
  <c r="O118"/>
  <c r="P118"/>
  <c r="Q118"/>
  <c r="R118"/>
  <c r="S118"/>
  <c r="N130"/>
  <c r="O130"/>
  <c r="P130"/>
  <c r="Q130"/>
  <c r="R130"/>
  <c r="S130"/>
  <c r="N142"/>
  <c r="O142"/>
  <c r="P142"/>
  <c r="Q142"/>
  <c r="R142"/>
  <c r="S142"/>
  <c r="N56"/>
  <c r="O56"/>
  <c r="P56"/>
  <c r="Q56"/>
  <c r="R56"/>
  <c r="S56"/>
  <c r="N144"/>
  <c r="O144"/>
  <c r="P144"/>
  <c r="Q144"/>
  <c r="R144"/>
  <c r="S144"/>
  <c r="N138"/>
  <c r="O138"/>
  <c r="P138"/>
  <c r="Q138"/>
  <c r="R138"/>
  <c r="S138"/>
  <c r="N112"/>
  <c r="O112"/>
  <c r="P112"/>
  <c r="Q112"/>
  <c r="R112"/>
  <c r="S112"/>
  <c r="N124"/>
  <c r="O124"/>
  <c r="P124"/>
  <c r="Q124"/>
  <c r="R124"/>
  <c r="S124"/>
  <c r="N136"/>
  <c r="O136"/>
  <c r="P136"/>
  <c r="Q136"/>
  <c r="R136"/>
  <c r="S136"/>
  <c r="N75"/>
  <c r="O75"/>
  <c r="P75"/>
  <c r="Q75"/>
  <c r="R75"/>
  <c r="S75"/>
  <c r="N64"/>
  <c r="O64"/>
  <c r="P64"/>
  <c r="Q64"/>
  <c r="R64"/>
  <c r="S64"/>
  <c r="N60"/>
  <c r="O60"/>
  <c r="P60"/>
  <c r="Q60"/>
  <c r="R60"/>
  <c r="S60"/>
  <c r="N79"/>
  <c r="O79"/>
  <c r="P79"/>
  <c r="Q79"/>
  <c r="R79"/>
  <c r="S79"/>
  <c r="N103"/>
  <c r="O103"/>
  <c r="P103"/>
  <c r="Q103"/>
  <c r="R103"/>
  <c r="S103"/>
  <c r="N107"/>
  <c r="O107"/>
  <c r="P107"/>
  <c r="Q107"/>
  <c r="R107"/>
  <c r="S107"/>
  <c r="N70"/>
  <c r="O70"/>
  <c r="P70"/>
  <c r="Q70"/>
  <c r="R70"/>
  <c r="S70"/>
  <c r="N114"/>
  <c r="O114"/>
  <c r="P114"/>
  <c r="Q114"/>
  <c r="R114"/>
  <c r="S114"/>
  <c r="N120"/>
  <c r="O120"/>
  <c r="P120"/>
  <c r="Q120"/>
  <c r="R120"/>
  <c r="S120"/>
  <c r="N68"/>
  <c r="O68"/>
  <c r="P68"/>
  <c r="Q68"/>
  <c r="R68"/>
  <c r="S68"/>
  <c r="N87"/>
  <c r="O87"/>
  <c r="P87"/>
  <c r="Q87"/>
  <c r="R87"/>
  <c r="S87"/>
  <c r="N83"/>
  <c r="O83"/>
  <c r="P83"/>
  <c r="Q83"/>
  <c r="R83"/>
  <c r="S83"/>
  <c r="N95"/>
  <c r="O95"/>
  <c r="P95"/>
  <c r="Q95"/>
  <c r="R95"/>
  <c r="S95"/>
  <c r="N99"/>
  <c r="O99"/>
  <c r="P99"/>
  <c r="Q99"/>
  <c r="R99"/>
  <c r="S99"/>
  <c r="N54"/>
  <c r="O54"/>
  <c r="P54"/>
  <c r="Q54"/>
  <c r="R54"/>
  <c r="S54"/>
  <c r="N46"/>
  <c r="O46"/>
  <c r="P46"/>
  <c r="Q46"/>
  <c r="R46"/>
  <c r="S46"/>
  <c r="N91"/>
  <c r="O91"/>
  <c r="P91"/>
  <c r="Q91"/>
  <c r="R91"/>
  <c r="S91"/>
  <c r="N58"/>
  <c r="O58"/>
  <c r="P58"/>
  <c r="Q58"/>
  <c r="R58"/>
  <c r="S58"/>
  <c r="N62"/>
  <c r="O62"/>
  <c r="P62"/>
  <c r="Q62"/>
  <c r="R62"/>
  <c r="S62"/>
  <c r="N50"/>
  <c r="O50"/>
  <c r="P50"/>
  <c r="Q50"/>
  <c r="R50"/>
  <c r="S50"/>
  <c r="N141"/>
  <c r="O141"/>
  <c r="P141"/>
  <c r="Q141"/>
  <c r="R141"/>
  <c r="S141"/>
  <c r="N135"/>
  <c r="O135"/>
  <c r="P135"/>
  <c r="Q135"/>
  <c r="R135"/>
  <c r="S135"/>
  <c r="N139"/>
  <c r="O139"/>
  <c r="P139"/>
  <c r="Q139"/>
  <c r="R139"/>
  <c r="S139"/>
  <c r="N133"/>
  <c r="O133"/>
  <c r="P133"/>
  <c r="Q133"/>
  <c r="R133"/>
  <c r="S133"/>
  <c r="N117"/>
  <c r="O117"/>
  <c r="P117"/>
  <c r="Q117"/>
  <c r="R117"/>
  <c r="S117"/>
  <c r="N109"/>
  <c r="O109"/>
  <c r="P109"/>
  <c r="Q109"/>
  <c r="R109"/>
  <c r="S109"/>
  <c r="N111"/>
  <c r="O111"/>
  <c r="P111"/>
  <c r="Q111"/>
  <c r="R111"/>
  <c r="S111"/>
  <c r="N115"/>
  <c r="O115"/>
  <c r="P115"/>
  <c r="Q115"/>
  <c r="R115"/>
  <c r="S115"/>
  <c r="N66"/>
  <c r="O66"/>
  <c r="P66"/>
  <c r="Q66"/>
  <c r="R66"/>
  <c r="S66"/>
  <c r="N123"/>
  <c r="O123"/>
  <c r="P123"/>
  <c r="Q123"/>
  <c r="R123"/>
  <c r="S123"/>
  <c r="N121"/>
  <c r="O121"/>
  <c r="P121"/>
  <c r="Q121"/>
  <c r="R121"/>
  <c r="S121"/>
  <c r="N42"/>
  <c r="O42"/>
  <c r="P42"/>
  <c r="Q42"/>
  <c r="R42"/>
  <c r="S42"/>
  <c r="N129"/>
  <c r="O129"/>
  <c r="P129"/>
  <c r="Q129"/>
  <c r="R129"/>
  <c r="S129"/>
  <c r="N21"/>
  <c r="O21"/>
  <c r="P21"/>
  <c r="Q21"/>
  <c r="R21"/>
  <c r="S21"/>
  <c r="N12"/>
  <c r="O12"/>
  <c r="P12"/>
  <c r="Q12"/>
  <c r="R12"/>
  <c r="S12"/>
  <c r="N27"/>
  <c r="O27"/>
  <c r="P27"/>
  <c r="Q27"/>
  <c r="R27"/>
  <c r="S27"/>
  <c r="N6"/>
  <c r="O6"/>
  <c r="P6"/>
  <c r="Q6"/>
  <c r="R6"/>
  <c r="S6"/>
  <c r="N39"/>
  <c r="O39"/>
  <c r="P39"/>
  <c r="Q39"/>
  <c r="R39"/>
  <c r="S39"/>
  <c r="N33"/>
  <c r="O33"/>
  <c r="P33"/>
  <c r="Q33"/>
  <c r="R33"/>
  <c r="S33"/>
  <c r="N23"/>
  <c r="O23"/>
  <c r="P23"/>
  <c r="Q23"/>
  <c r="R23"/>
  <c r="S23"/>
  <c r="N127"/>
  <c r="O127"/>
  <c r="P127"/>
  <c r="Q127"/>
  <c r="R127"/>
  <c r="S127"/>
  <c r="N29"/>
  <c r="O29"/>
  <c r="P29"/>
  <c r="Q29"/>
  <c r="R29"/>
  <c r="S29"/>
  <c r="N8"/>
  <c r="O8"/>
  <c r="P8"/>
  <c r="Q8"/>
  <c r="R8"/>
  <c r="S8"/>
  <c r="N35"/>
  <c r="O35"/>
  <c r="P35"/>
  <c r="Q35"/>
  <c r="R35"/>
  <c r="S35"/>
  <c r="N17"/>
  <c r="O17"/>
  <c r="P17"/>
  <c r="Q17"/>
  <c r="R17"/>
  <c r="S17"/>
  <c r="N2"/>
  <c r="O2"/>
  <c r="P2"/>
  <c r="Q2"/>
  <c r="R2"/>
  <c r="S2"/>
  <c r="N80"/>
  <c r="O80"/>
  <c r="P80"/>
  <c r="Q80"/>
  <c r="R80"/>
  <c r="S80"/>
  <c r="N100"/>
  <c r="O100"/>
  <c r="P100"/>
  <c r="Q100"/>
  <c r="R100"/>
  <c r="S100"/>
  <c r="N76"/>
  <c r="O76"/>
  <c r="P76"/>
  <c r="Q76"/>
  <c r="R76"/>
  <c r="S76"/>
  <c r="N22"/>
  <c r="O22"/>
  <c r="P22"/>
  <c r="Q22"/>
  <c r="R22"/>
  <c r="S22"/>
  <c r="N13"/>
  <c r="O13"/>
  <c r="P13"/>
  <c r="Q13"/>
  <c r="R13"/>
  <c r="S13"/>
  <c r="N15"/>
  <c r="O15"/>
  <c r="P15"/>
  <c r="Q15"/>
  <c r="R15"/>
  <c r="S15"/>
  <c r="N7"/>
  <c r="O7"/>
  <c r="P7"/>
  <c r="Q7"/>
  <c r="R7"/>
  <c r="S7"/>
  <c r="N43"/>
  <c r="O43"/>
  <c r="P43"/>
  <c r="Q43"/>
  <c r="R43"/>
  <c r="S43"/>
  <c r="N28"/>
  <c r="O28"/>
  <c r="P28"/>
  <c r="Q28"/>
  <c r="R28"/>
  <c r="S28"/>
  <c r="N92"/>
  <c r="O92"/>
  <c r="P92"/>
  <c r="Q92"/>
  <c r="R92"/>
  <c r="S92"/>
  <c r="N88"/>
  <c r="O88"/>
  <c r="P88"/>
  <c r="Q88"/>
  <c r="R88"/>
  <c r="S88"/>
  <c r="N131"/>
  <c r="O131"/>
  <c r="P131"/>
  <c r="Q131"/>
  <c r="R131"/>
  <c r="S131"/>
  <c r="N125"/>
  <c r="O125"/>
  <c r="P125"/>
  <c r="Q125"/>
  <c r="R125"/>
  <c r="S125"/>
  <c r="N84"/>
  <c r="O84"/>
  <c r="P84"/>
  <c r="Q84"/>
  <c r="R84"/>
  <c r="S84"/>
  <c r="N137"/>
  <c r="O137"/>
  <c r="P137"/>
  <c r="Q137"/>
  <c r="R137"/>
  <c r="S137"/>
  <c r="N36"/>
  <c r="O36"/>
  <c r="P36"/>
  <c r="Q36"/>
  <c r="R36"/>
  <c r="S36"/>
  <c r="N96"/>
  <c r="O96"/>
  <c r="P96"/>
  <c r="Q96"/>
  <c r="R96"/>
  <c r="S96"/>
  <c r="N143"/>
  <c r="O143"/>
  <c r="P143"/>
  <c r="Q143"/>
  <c r="R143"/>
  <c r="S143"/>
  <c r="N16"/>
  <c r="O16"/>
  <c r="P16"/>
  <c r="Q16"/>
  <c r="R16"/>
  <c r="S16"/>
  <c r="N51"/>
  <c r="O51"/>
  <c r="P51"/>
  <c r="Q51"/>
  <c r="R51"/>
  <c r="S51"/>
  <c r="N69"/>
  <c r="O69"/>
  <c r="P69"/>
  <c r="Q69"/>
  <c r="R69"/>
  <c r="S69"/>
  <c r="N47"/>
  <c r="O47"/>
  <c r="P47"/>
  <c r="Q47"/>
  <c r="R47"/>
  <c r="S47"/>
  <c r="N116"/>
  <c r="O116"/>
  <c r="P116"/>
  <c r="Q116"/>
  <c r="R116"/>
  <c r="S116"/>
  <c r="N55"/>
  <c r="O55"/>
  <c r="P55"/>
  <c r="Q55"/>
  <c r="R55"/>
  <c r="S55"/>
  <c r="N49"/>
  <c r="O49"/>
  <c r="P49"/>
  <c r="Q49"/>
  <c r="R49"/>
  <c r="S49"/>
  <c r="N110"/>
  <c r="O110"/>
  <c r="P110"/>
  <c r="Q110"/>
  <c r="R110"/>
  <c r="S110"/>
  <c r="N30"/>
  <c r="O30"/>
  <c r="P30"/>
  <c r="Q30"/>
  <c r="R30"/>
  <c r="S30"/>
  <c r="N61"/>
  <c r="O61"/>
  <c r="P61"/>
  <c r="Q61"/>
  <c r="R61"/>
  <c r="S61"/>
  <c r="N45"/>
  <c r="O45"/>
  <c r="P45"/>
  <c r="Q45"/>
  <c r="R45"/>
  <c r="S45"/>
  <c r="N108"/>
  <c r="O108"/>
  <c r="P108"/>
  <c r="Q108"/>
  <c r="R108"/>
  <c r="S108"/>
  <c r="N57"/>
  <c r="O57"/>
  <c r="P57"/>
  <c r="Q57"/>
  <c r="R57"/>
  <c r="S57"/>
  <c r="N71"/>
  <c r="O71"/>
  <c r="P71"/>
  <c r="Q71"/>
  <c r="R71"/>
  <c r="S71"/>
  <c r="N53"/>
  <c r="O53"/>
  <c r="P53"/>
  <c r="Q53"/>
  <c r="R53"/>
  <c r="S53"/>
  <c r="N128"/>
  <c r="O128"/>
  <c r="P128"/>
  <c r="Q128"/>
  <c r="R128"/>
  <c r="S128"/>
  <c r="N140"/>
  <c r="O140"/>
  <c r="P140"/>
  <c r="Q140"/>
  <c r="R140"/>
  <c r="S140"/>
  <c r="N40"/>
  <c r="O40"/>
  <c r="P40"/>
  <c r="Q40"/>
  <c r="R40"/>
  <c r="S40"/>
  <c r="N134"/>
  <c r="O134"/>
  <c r="P134"/>
  <c r="Q134"/>
  <c r="R134"/>
  <c r="S134"/>
  <c r="N63"/>
  <c r="O63"/>
  <c r="P63"/>
  <c r="Q63"/>
  <c r="R63"/>
  <c r="S63"/>
  <c r="N122"/>
  <c r="O122"/>
  <c r="P122"/>
  <c r="Q122"/>
  <c r="R122"/>
  <c r="S122"/>
  <c r="N34"/>
  <c r="O34"/>
  <c r="P34"/>
  <c r="Q34"/>
  <c r="R34"/>
  <c r="S34"/>
  <c r="N65"/>
  <c r="O65"/>
  <c r="P65"/>
  <c r="Q65"/>
  <c r="R65"/>
  <c r="S65"/>
  <c r="N59"/>
  <c r="O59"/>
  <c r="P59"/>
  <c r="Q59"/>
  <c r="R59"/>
  <c r="S59"/>
  <c r="N24"/>
  <c r="O24"/>
  <c r="P24"/>
  <c r="Q24"/>
  <c r="R24"/>
  <c r="S24"/>
  <c r="N67"/>
  <c r="O67"/>
  <c r="P67"/>
  <c r="Q67"/>
  <c r="R67"/>
  <c r="S67"/>
  <c r="N18"/>
  <c r="O18"/>
  <c r="P18"/>
  <c r="Q18"/>
  <c r="R18"/>
  <c r="S18"/>
  <c r="N104"/>
  <c r="O104"/>
  <c r="P104"/>
  <c r="Q104"/>
  <c r="R104"/>
  <c r="S104"/>
  <c r="N113"/>
  <c r="O113"/>
  <c r="P113"/>
  <c r="Q113"/>
  <c r="R113"/>
  <c r="S113"/>
  <c r="N119"/>
  <c r="O119"/>
  <c r="P119"/>
  <c r="Q119"/>
  <c r="R119"/>
  <c r="S119"/>
  <c r="N41"/>
  <c r="O41"/>
  <c r="P41"/>
  <c r="Q41"/>
  <c r="R41"/>
  <c r="S41"/>
  <c r="N9"/>
  <c r="O9"/>
  <c r="P9"/>
  <c r="Q9"/>
  <c r="R9"/>
  <c r="S9"/>
  <c r="N3"/>
  <c r="O3"/>
  <c r="P3"/>
  <c r="Q3"/>
  <c r="R3"/>
  <c r="S3"/>
  <c r="N31"/>
  <c r="O31"/>
  <c r="P31"/>
  <c r="Q31"/>
  <c r="R31"/>
  <c r="S31"/>
  <c r="N10"/>
  <c r="O10"/>
  <c r="P10"/>
  <c r="Q10"/>
  <c r="R10"/>
  <c r="S10"/>
  <c r="N4"/>
  <c r="O4"/>
  <c r="P4"/>
  <c r="Q4"/>
  <c r="R4"/>
  <c r="S4"/>
  <c r="N25"/>
  <c r="O25"/>
  <c r="P25"/>
  <c r="Q25"/>
  <c r="R25"/>
  <c r="S25"/>
  <c r="N19"/>
  <c r="O19"/>
  <c r="P19"/>
  <c r="Q19"/>
  <c r="R19"/>
  <c r="S19"/>
  <c r="N37"/>
  <c r="O37"/>
  <c r="P37"/>
  <c r="Q37"/>
  <c r="R37"/>
  <c r="S37"/>
  <c r="N38"/>
  <c r="O38"/>
  <c r="P38"/>
  <c r="Q38"/>
  <c r="R38"/>
  <c r="S38"/>
  <c r="N73"/>
  <c r="O73"/>
  <c r="P73"/>
  <c r="Q73"/>
  <c r="R73"/>
  <c r="S73"/>
  <c r="N77"/>
  <c r="O77"/>
  <c r="P77"/>
  <c r="Q77"/>
  <c r="R77"/>
  <c r="S77"/>
  <c r="N11"/>
  <c r="O11"/>
  <c r="P11"/>
  <c r="Q11"/>
  <c r="R11"/>
  <c r="S11"/>
  <c r="N101"/>
  <c r="O101"/>
  <c r="P101"/>
  <c r="Q101"/>
  <c r="R101"/>
  <c r="S101"/>
  <c r="N105"/>
  <c r="O105"/>
  <c r="P105"/>
  <c r="Q105"/>
  <c r="R105"/>
  <c r="S105"/>
  <c r="N81"/>
  <c r="O81"/>
  <c r="P81"/>
  <c r="Q81"/>
  <c r="R81"/>
  <c r="S81"/>
  <c r="N85"/>
  <c r="O85"/>
  <c r="P85"/>
  <c r="Q85"/>
  <c r="R85"/>
  <c r="S85"/>
  <c r="N89"/>
  <c r="O89"/>
  <c r="P89"/>
  <c r="Q89"/>
  <c r="R89"/>
  <c r="S89"/>
  <c r="N93"/>
  <c r="O93"/>
  <c r="P93"/>
  <c r="Q93"/>
  <c r="R93"/>
  <c r="S93"/>
  <c r="N102"/>
  <c r="O102"/>
  <c r="P102"/>
  <c r="Q102"/>
  <c r="R102"/>
  <c r="S102"/>
  <c r="N106"/>
  <c r="O106"/>
  <c r="P106"/>
  <c r="Q106"/>
  <c r="R106"/>
  <c r="S106"/>
  <c r="N5"/>
  <c r="O5"/>
  <c r="P5"/>
  <c r="Q5"/>
  <c r="R5"/>
  <c r="S5"/>
  <c r="N20"/>
  <c r="O20"/>
  <c r="P20"/>
  <c r="Q20"/>
  <c r="R20"/>
  <c r="S20"/>
  <c r="N26"/>
  <c r="O26"/>
  <c r="P26"/>
  <c r="Q26"/>
  <c r="R26"/>
  <c r="S26"/>
  <c r="N32"/>
  <c r="O32"/>
  <c r="P32"/>
  <c r="Q32"/>
  <c r="R32"/>
  <c r="S32"/>
  <c r="N74"/>
  <c r="O74"/>
  <c r="P74"/>
  <c r="Q74"/>
  <c r="R74"/>
  <c r="S74"/>
  <c r="N78"/>
  <c r="O78"/>
  <c r="P78"/>
  <c r="Q78"/>
  <c r="R78"/>
  <c r="S78"/>
  <c r="N82"/>
  <c r="O82"/>
  <c r="P82"/>
  <c r="Q82"/>
  <c r="R82"/>
  <c r="S82"/>
  <c r="N86"/>
  <c r="O86"/>
  <c r="P86"/>
  <c r="Q86"/>
  <c r="R86"/>
  <c r="S86"/>
  <c r="N90"/>
  <c r="O90"/>
  <c r="P90"/>
  <c r="Q90"/>
  <c r="R90"/>
  <c r="S90"/>
  <c r="N94"/>
  <c r="O94"/>
  <c r="P94"/>
  <c r="Q94"/>
  <c r="R94"/>
  <c r="S94"/>
  <c r="N97"/>
  <c r="O97"/>
  <c r="P97"/>
  <c r="Q97"/>
  <c r="R97"/>
  <c r="S97"/>
  <c r="N98"/>
  <c r="O98"/>
  <c r="P98"/>
  <c r="Q98"/>
  <c r="R98"/>
  <c r="S98"/>
  <c r="Q52"/>
  <c r="N52"/>
  <c r="S52"/>
  <c r="R52"/>
  <c r="P52"/>
  <c r="O52"/>
  <c r="S1"/>
  <c r="R1"/>
  <c r="Q1"/>
  <c r="P1"/>
  <c r="O1"/>
  <c r="N1"/>
  <c r="M44"/>
  <c r="M48"/>
  <c r="M14"/>
  <c r="M132"/>
  <c r="M126"/>
  <c r="M72"/>
  <c r="M118"/>
  <c r="M130"/>
  <c r="M142"/>
  <c r="M56"/>
  <c r="M144"/>
  <c r="M138"/>
  <c r="M112"/>
  <c r="M124"/>
  <c r="M136"/>
  <c r="M75"/>
  <c r="M64"/>
  <c r="M60"/>
  <c r="M79"/>
  <c r="M103"/>
  <c r="M107"/>
  <c r="M70"/>
  <c r="M114"/>
  <c r="M120"/>
  <c r="M68"/>
  <c r="M87"/>
  <c r="M83"/>
  <c r="M95"/>
  <c r="M99"/>
  <c r="M54"/>
  <c r="M46"/>
  <c r="M91"/>
  <c r="M58"/>
  <c r="M62"/>
  <c r="M50"/>
  <c r="M141"/>
  <c r="M135"/>
  <c r="M139"/>
  <c r="M133"/>
  <c r="M117"/>
  <c r="M109"/>
  <c r="M111"/>
  <c r="M115"/>
  <c r="M66"/>
  <c r="M123"/>
  <c r="M121"/>
  <c r="M42"/>
  <c r="M129"/>
  <c r="M21"/>
  <c r="M12"/>
  <c r="M27"/>
  <c r="M6"/>
  <c r="M39"/>
  <c r="M33"/>
  <c r="M23"/>
  <c r="M127"/>
  <c r="M29"/>
  <c r="M8"/>
  <c r="M35"/>
  <c r="M17"/>
  <c r="M2"/>
  <c r="M80"/>
  <c r="M100"/>
  <c r="M76"/>
  <c r="M22"/>
  <c r="M13"/>
  <c r="M15"/>
  <c r="M7"/>
  <c r="M43"/>
  <c r="M28"/>
  <c r="M92"/>
  <c r="M88"/>
  <c r="M131"/>
  <c r="M125"/>
  <c r="M84"/>
  <c r="M137"/>
  <c r="M36"/>
  <c r="M96"/>
  <c r="M143"/>
  <c r="M16"/>
  <c r="M51"/>
  <c r="M69"/>
  <c r="M47"/>
  <c r="M116"/>
  <c r="M55"/>
  <c r="M49"/>
  <c r="M110"/>
  <c r="M30"/>
  <c r="M61"/>
  <c r="M45"/>
  <c r="M108"/>
  <c r="M57"/>
  <c r="M71"/>
  <c r="M53"/>
  <c r="M128"/>
  <c r="M140"/>
  <c r="M40"/>
  <c r="M134"/>
  <c r="M63"/>
  <c r="M122"/>
  <c r="M34"/>
  <c r="M65"/>
  <c r="M59"/>
  <c r="M24"/>
  <c r="M67"/>
  <c r="M18"/>
  <c r="M104"/>
  <c r="M113"/>
  <c r="M119"/>
  <c r="M41"/>
  <c r="M9"/>
  <c r="M3"/>
  <c r="M31"/>
  <c r="M10"/>
  <c r="M4"/>
  <c r="M25"/>
  <c r="M19"/>
  <c r="M37"/>
  <c r="M38"/>
  <c r="M73"/>
  <c r="M77"/>
  <c r="M11"/>
  <c r="M101"/>
  <c r="M105"/>
  <c r="M81"/>
  <c r="M85"/>
  <c r="M89"/>
  <c r="M93"/>
  <c r="M102"/>
  <c r="M106"/>
  <c r="M5"/>
  <c r="M20"/>
  <c r="M26"/>
  <c r="M32"/>
  <c r="M74"/>
  <c r="M78"/>
  <c r="M82"/>
  <c r="M86"/>
  <c r="M90"/>
  <c r="M94"/>
  <c r="M97"/>
  <c r="M98"/>
  <c r="L44"/>
  <c r="L48"/>
  <c r="L14"/>
  <c r="L132"/>
  <c r="L126"/>
  <c r="L72"/>
  <c r="L118"/>
  <c r="L130"/>
  <c r="L142"/>
  <c r="L56"/>
  <c r="L144"/>
  <c r="L138"/>
  <c r="L112"/>
  <c r="L124"/>
  <c r="L136"/>
  <c r="L75"/>
  <c r="L64"/>
  <c r="L60"/>
  <c r="L79"/>
  <c r="L103"/>
  <c r="L107"/>
  <c r="L70"/>
  <c r="L114"/>
  <c r="L120"/>
  <c r="L68"/>
  <c r="L87"/>
  <c r="L83"/>
  <c r="L95"/>
  <c r="L99"/>
  <c r="L54"/>
  <c r="L46"/>
  <c r="L91"/>
  <c r="L58"/>
  <c r="L62"/>
  <c r="L50"/>
  <c r="L141"/>
  <c r="L135"/>
  <c r="L139"/>
  <c r="L133"/>
  <c r="L117"/>
  <c r="L109"/>
  <c r="L111"/>
  <c r="L115"/>
  <c r="L66"/>
  <c r="L123"/>
  <c r="L121"/>
  <c r="L42"/>
  <c r="L129"/>
  <c r="L21"/>
  <c r="L12"/>
  <c r="L27"/>
  <c r="L6"/>
  <c r="L39"/>
  <c r="L33"/>
  <c r="L23"/>
  <c r="L127"/>
  <c r="L29"/>
  <c r="L8"/>
  <c r="L35"/>
  <c r="L17"/>
  <c r="L2"/>
  <c r="L80"/>
  <c r="L100"/>
  <c r="L76"/>
  <c r="L22"/>
  <c r="L13"/>
  <c r="L15"/>
  <c r="L7"/>
  <c r="L43"/>
  <c r="L28"/>
  <c r="L92"/>
  <c r="L88"/>
  <c r="L131"/>
  <c r="L125"/>
  <c r="L84"/>
  <c r="L137"/>
  <c r="L36"/>
  <c r="L96"/>
  <c r="L143"/>
  <c r="L16"/>
  <c r="L51"/>
  <c r="L69"/>
  <c r="L47"/>
  <c r="L116"/>
  <c r="L55"/>
  <c r="L49"/>
  <c r="L110"/>
  <c r="L30"/>
  <c r="L61"/>
  <c r="L45"/>
  <c r="L108"/>
  <c r="L57"/>
  <c r="L71"/>
  <c r="L53"/>
  <c r="L128"/>
  <c r="L140"/>
  <c r="L40"/>
  <c r="L134"/>
  <c r="L63"/>
  <c r="L122"/>
  <c r="L34"/>
  <c r="L65"/>
  <c r="L59"/>
  <c r="L24"/>
  <c r="L67"/>
  <c r="L18"/>
  <c r="L104"/>
  <c r="L113"/>
  <c r="L119"/>
  <c r="L41"/>
  <c r="L9"/>
  <c r="L3"/>
  <c r="L31"/>
  <c r="L10"/>
  <c r="L4"/>
  <c r="L25"/>
  <c r="L19"/>
  <c r="L37"/>
  <c r="L38"/>
  <c r="L73"/>
  <c r="L77"/>
  <c r="L11"/>
  <c r="L101"/>
  <c r="L105"/>
  <c r="L81"/>
  <c r="L85"/>
  <c r="L89"/>
  <c r="L93"/>
  <c r="L102"/>
  <c r="L106"/>
  <c r="L5"/>
  <c r="L20"/>
  <c r="L26"/>
  <c r="L32"/>
  <c r="L74"/>
  <c r="L78"/>
  <c r="L82"/>
  <c r="L86"/>
  <c r="L90"/>
  <c r="L94"/>
  <c r="L97"/>
  <c r="L98"/>
  <c r="K44"/>
  <c r="K48"/>
  <c r="K14"/>
  <c r="K132"/>
  <c r="K126"/>
  <c r="K72"/>
  <c r="K118"/>
  <c r="K130"/>
  <c r="K142"/>
  <c r="K56"/>
  <c r="K144"/>
  <c r="K138"/>
  <c r="K112"/>
  <c r="K124"/>
  <c r="K136"/>
  <c r="K75"/>
  <c r="K64"/>
  <c r="K60"/>
  <c r="K79"/>
  <c r="K103"/>
  <c r="K107"/>
  <c r="K70"/>
  <c r="K114"/>
  <c r="K120"/>
  <c r="K68"/>
  <c r="K87"/>
  <c r="K83"/>
  <c r="K95"/>
  <c r="K99"/>
  <c r="K54"/>
  <c r="K46"/>
  <c r="K91"/>
  <c r="K58"/>
  <c r="K62"/>
  <c r="K50"/>
  <c r="K141"/>
  <c r="K135"/>
  <c r="K139"/>
  <c r="K133"/>
  <c r="K117"/>
  <c r="K109"/>
  <c r="K111"/>
  <c r="K115"/>
  <c r="K66"/>
  <c r="K123"/>
  <c r="K121"/>
  <c r="K42"/>
  <c r="K129"/>
  <c r="K21"/>
  <c r="K12"/>
  <c r="K27"/>
  <c r="K6"/>
  <c r="K39"/>
  <c r="K33"/>
  <c r="K23"/>
  <c r="K127"/>
  <c r="K29"/>
  <c r="K8"/>
  <c r="K35"/>
  <c r="K17"/>
  <c r="K2"/>
  <c r="K80"/>
  <c r="K100"/>
  <c r="K76"/>
  <c r="K22"/>
  <c r="K13"/>
  <c r="K15"/>
  <c r="K7"/>
  <c r="K43"/>
  <c r="K28"/>
  <c r="K92"/>
  <c r="K88"/>
  <c r="K131"/>
  <c r="K125"/>
  <c r="K84"/>
  <c r="K137"/>
  <c r="K36"/>
  <c r="K96"/>
  <c r="K143"/>
  <c r="K16"/>
  <c r="K51"/>
  <c r="K69"/>
  <c r="K47"/>
  <c r="K116"/>
  <c r="K55"/>
  <c r="K49"/>
  <c r="K110"/>
  <c r="K30"/>
  <c r="K61"/>
  <c r="K45"/>
  <c r="K108"/>
  <c r="K57"/>
  <c r="K71"/>
  <c r="K53"/>
  <c r="K128"/>
  <c r="K140"/>
  <c r="K40"/>
  <c r="K134"/>
  <c r="K63"/>
  <c r="K122"/>
  <c r="K34"/>
  <c r="K65"/>
  <c r="K59"/>
  <c r="K24"/>
  <c r="K67"/>
  <c r="K18"/>
  <c r="K104"/>
  <c r="K113"/>
  <c r="K119"/>
  <c r="K41"/>
  <c r="K9"/>
  <c r="K3"/>
  <c r="K31"/>
  <c r="K10"/>
  <c r="K4"/>
  <c r="K25"/>
  <c r="K19"/>
  <c r="K37"/>
  <c r="K38"/>
  <c r="K73"/>
  <c r="K77"/>
  <c r="K11"/>
  <c r="K101"/>
  <c r="K105"/>
  <c r="K81"/>
  <c r="K85"/>
  <c r="K89"/>
  <c r="K93"/>
  <c r="K102"/>
  <c r="K106"/>
  <c r="K5"/>
  <c r="K20"/>
  <c r="K26"/>
  <c r="K32"/>
  <c r="K74"/>
  <c r="K78"/>
  <c r="K82"/>
  <c r="K86"/>
  <c r="K90"/>
  <c r="K94"/>
  <c r="K97"/>
  <c r="K98"/>
  <c r="J44"/>
  <c r="J48"/>
  <c r="J14"/>
  <c r="J132"/>
  <c r="J126"/>
  <c r="J72"/>
  <c r="J118"/>
  <c r="J130"/>
  <c r="J142"/>
  <c r="J56"/>
  <c r="J144"/>
  <c r="J138"/>
  <c r="J112"/>
  <c r="J124"/>
  <c r="J136"/>
  <c r="J75"/>
  <c r="J64"/>
  <c r="J60"/>
  <c r="J79"/>
  <c r="J103"/>
  <c r="J107"/>
  <c r="J70"/>
  <c r="J114"/>
  <c r="J120"/>
  <c r="J68"/>
  <c r="J87"/>
  <c r="J83"/>
  <c r="J95"/>
  <c r="J99"/>
  <c r="J54"/>
  <c r="J46"/>
  <c r="J91"/>
  <c r="J58"/>
  <c r="J62"/>
  <c r="J50"/>
  <c r="J141"/>
  <c r="J135"/>
  <c r="J139"/>
  <c r="J133"/>
  <c r="J117"/>
  <c r="J109"/>
  <c r="J111"/>
  <c r="J115"/>
  <c r="J66"/>
  <c r="J123"/>
  <c r="J121"/>
  <c r="J42"/>
  <c r="J129"/>
  <c r="J21"/>
  <c r="J12"/>
  <c r="J27"/>
  <c r="J6"/>
  <c r="J39"/>
  <c r="J33"/>
  <c r="J23"/>
  <c r="J127"/>
  <c r="J29"/>
  <c r="J8"/>
  <c r="J35"/>
  <c r="J17"/>
  <c r="J2"/>
  <c r="J80"/>
  <c r="J100"/>
  <c r="J76"/>
  <c r="J22"/>
  <c r="J13"/>
  <c r="J15"/>
  <c r="J7"/>
  <c r="J43"/>
  <c r="J28"/>
  <c r="J92"/>
  <c r="J88"/>
  <c r="J131"/>
  <c r="J125"/>
  <c r="J84"/>
  <c r="J137"/>
  <c r="J36"/>
  <c r="J96"/>
  <c r="J143"/>
  <c r="J16"/>
  <c r="J51"/>
  <c r="J69"/>
  <c r="J47"/>
  <c r="J116"/>
  <c r="J55"/>
  <c r="J49"/>
  <c r="J110"/>
  <c r="J30"/>
  <c r="J61"/>
  <c r="J45"/>
  <c r="J108"/>
  <c r="J57"/>
  <c r="J71"/>
  <c r="J53"/>
  <c r="J128"/>
  <c r="J140"/>
  <c r="J40"/>
  <c r="J134"/>
  <c r="J63"/>
  <c r="J122"/>
  <c r="J34"/>
  <c r="J65"/>
  <c r="J59"/>
  <c r="J24"/>
  <c r="J67"/>
  <c r="J18"/>
  <c r="J104"/>
  <c r="J113"/>
  <c r="J119"/>
  <c r="J41"/>
  <c r="J9"/>
  <c r="J3"/>
  <c r="J31"/>
  <c r="J10"/>
  <c r="J4"/>
  <c r="J25"/>
  <c r="J19"/>
  <c r="J37"/>
  <c r="J38"/>
  <c r="J73"/>
  <c r="J77"/>
  <c r="J11"/>
  <c r="J101"/>
  <c r="J105"/>
  <c r="J81"/>
  <c r="J85"/>
  <c r="J89"/>
  <c r="J93"/>
  <c r="J102"/>
  <c r="J106"/>
  <c r="J5"/>
  <c r="J20"/>
  <c r="J26"/>
  <c r="J32"/>
  <c r="J74"/>
  <c r="J78"/>
  <c r="J82"/>
  <c r="J86"/>
  <c r="J90"/>
  <c r="J94"/>
  <c r="J97"/>
  <c r="J98"/>
  <c r="I44"/>
  <c r="I48"/>
  <c r="I14"/>
  <c r="I132"/>
  <c r="I126"/>
  <c r="I72"/>
  <c r="I118"/>
  <c r="I130"/>
  <c r="I142"/>
  <c r="I56"/>
  <c r="I144"/>
  <c r="I138"/>
  <c r="I112"/>
  <c r="I124"/>
  <c r="I136"/>
  <c r="I75"/>
  <c r="I64"/>
  <c r="I60"/>
  <c r="I79"/>
  <c r="I103"/>
  <c r="I107"/>
  <c r="I70"/>
  <c r="I114"/>
  <c r="I120"/>
  <c r="I68"/>
  <c r="I87"/>
  <c r="I83"/>
  <c r="I95"/>
  <c r="I99"/>
  <c r="I54"/>
  <c r="I46"/>
  <c r="I91"/>
  <c r="I58"/>
  <c r="I62"/>
  <c r="I50"/>
  <c r="I141"/>
  <c r="I135"/>
  <c r="I139"/>
  <c r="I133"/>
  <c r="I117"/>
  <c r="I109"/>
  <c r="I111"/>
  <c r="I115"/>
  <c r="I66"/>
  <c r="I123"/>
  <c r="I121"/>
  <c r="I42"/>
  <c r="I129"/>
  <c r="I21"/>
  <c r="I12"/>
  <c r="I27"/>
  <c r="I6"/>
  <c r="I39"/>
  <c r="I33"/>
  <c r="I23"/>
  <c r="I127"/>
  <c r="I29"/>
  <c r="I8"/>
  <c r="I35"/>
  <c r="I17"/>
  <c r="I2"/>
  <c r="I80"/>
  <c r="I100"/>
  <c r="I76"/>
  <c r="I22"/>
  <c r="I13"/>
  <c r="I15"/>
  <c r="I7"/>
  <c r="I43"/>
  <c r="I28"/>
  <c r="I92"/>
  <c r="I88"/>
  <c r="I131"/>
  <c r="I125"/>
  <c r="I84"/>
  <c r="I137"/>
  <c r="I36"/>
  <c r="I96"/>
  <c r="I143"/>
  <c r="I16"/>
  <c r="I51"/>
  <c r="I69"/>
  <c r="I47"/>
  <c r="I116"/>
  <c r="I55"/>
  <c r="I49"/>
  <c r="I110"/>
  <c r="I30"/>
  <c r="I61"/>
  <c r="I45"/>
  <c r="I108"/>
  <c r="I57"/>
  <c r="I71"/>
  <c r="I53"/>
  <c r="I128"/>
  <c r="I140"/>
  <c r="I40"/>
  <c r="I134"/>
  <c r="I63"/>
  <c r="I122"/>
  <c r="I34"/>
  <c r="I65"/>
  <c r="I59"/>
  <c r="I24"/>
  <c r="I67"/>
  <c r="I18"/>
  <c r="I104"/>
  <c r="I113"/>
  <c r="I119"/>
  <c r="I41"/>
  <c r="I9"/>
  <c r="I3"/>
  <c r="I31"/>
  <c r="I10"/>
  <c r="I4"/>
  <c r="I25"/>
  <c r="I19"/>
  <c r="I37"/>
  <c r="I38"/>
  <c r="I73"/>
  <c r="I77"/>
  <c r="I11"/>
  <c r="I101"/>
  <c r="I105"/>
  <c r="I81"/>
  <c r="I85"/>
  <c r="I89"/>
  <c r="I93"/>
  <c r="I102"/>
  <c r="I106"/>
  <c r="I5"/>
  <c r="I20"/>
  <c r="I26"/>
  <c r="I32"/>
  <c r="I74"/>
  <c r="I78"/>
  <c r="I82"/>
  <c r="I86"/>
  <c r="I90"/>
  <c r="I94"/>
  <c r="I97"/>
  <c r="I98"/>
  <c r="H44"/>
  <c r="H48"/>
  <c r="H14"/>
  <c r="H132"/>
  <c r="H126"/>
  <c r="H72"/>
  <c r="H118"/>
  <c r="H130"/>
  <c r="H142"/>
  <c r="H56"/>
  <c r="H144"/>
  <c r="H138"/>
  <c r="H112"/>
  <c r="H124"/>
  <c r="H136"/>
  <c r="H75"/>
  <c r="H64"/>
  <c r="H60"/>
  <c r="H79"/>
  <c r="H103"/>
  <c r="H107"/>
  <c r="H70"/>
  <c r="H114"/>
  <c r="H120"/>
  <c r="H68"/>
  <c r="H87"/>
  <c r="H83"/>
  <c r="H95"/>
  <c r="H99"/>
  <c r="H54"/>
  <c r="H46"/>
  <c r="H91"/>
  <c r="H58"/>
  <c r="H62"/>
  <c r="H50"/>
  <c r="H141"/>
  <c r="H135"/>
  <c r="H139"/>
  <c r="H133"/>
  <c r="H117"/>
  <c r="H109"/>
  <c r="H111"/>
  <c r="H115"/>
  <c r="H66"/>
  <c r="H123"/>
  <c r="H121"/>
  <c r="H42"/>
  <c r="H129"/>
  <c r="H21"/>
  <c r="H12"/>
  <c r="H27"/>
  <c r="H6"/>
  <c r="H39"/>
  <c r="H33"/>
  <c r="H23"/>
  <c r="H127"/>
  <c r="H29"/>
  <c r="H8"/>
  <c r="H35"/>
  <c r="H17"/>
  <c r="H2"/>
  <c r="H80"/>
  <c r="H100"/>
  <c r="H76"/>
  <c r="H22"/>
  <c r="H13"/>
  <c r="H15"/>
  <c r="H7"/>
  <c r="H43"/>
  <c r="H28"/>
  <c r="H92"/>
  <c r="H88"/>
  <c r="H131"/>
  <c r="H125"/>
  <c r="H84"/>
  <c r="H137"/>
  <c r="H36"/>
  <c r="H96"/>
  <c r="H143"/>
  <c r="H16"/>
  <c r="H51"/>
  <c r="H69"/>
  <c r="H47"/>
  <c r="H116"/>
  <c r="H55"/>
  <c r="H49"/>
  <c r="H110"/>
  <c r="H30"/>
  <c r="H61"/>
  <c r="H45"/>
  <c r="H108"/>
  <c r="H57"/>
  <c r="H71"/>
  <c r="H53"/>
  <c r="H128"/>
  <c r="H140"/>
  <c r="H40"/>
  <c r="H134"/>
  <c r="H63"/>
  <c r="H122"/>
  <c r="H34"/>
  <c r="H65"/>
  <c r="H59"/>
  <c r="H24"/>
  <c r="H67"/>
  <c r="H18"/>
  <c r="H104"/>
  <c r="H113"/>
  <c r="H119"/>
  <c r="H41"/>
  <c r="H9"/>
  <c r="H3"/>
  <c r="H31"/>
  <c r="H10"/>
  <c r="H4"/>
  <c r="H25"/>
  <c r="H19"/>
  <c r="H37"/>
  <c r="H38"/>
  <c r="H73"/>
  <c r="H77"/>
  <c r="H11"/>
  <c r="H101"/>
  <c r="H105"/>
  <c r="H81"/>
  <c r="H85"/>
  <c r="H89"/>
  <c r="H93"/>
  <c r="H102"/>
  <c r="H106"/>
  <c r="H5"/>
  <c r="H20"/>
  <c r="H26"/>
  <c r="H32"/>
  <c r="H74"/>
  <c r="H78"/>
  <c r="H82"/>
  <c r="H86"/>
  <c r="H90"/>
  <c r="H94"/>
  <c r="H97"/>
  <c r="H98"/>
  <c r="M52"/>
  <c r="I52"/>
  <c r="J52"/>
  <c r="K52"/>
  <c r="L52"/>
  <c r="H52"/>
  <c r="L1"/>
  <c r="M1"/>
  <c r="I1"/>
  <c r="J1"/>
  <c r="K1"/>
  <c r="H1"/>
  <c r="S68" i="1"/>
  <c r="H60"/>
  <c r="I60"/>
  <c r="J60"/>
  <c r="K60"/>
  <c r="L60"/>
  <c r="M60"/>
  <c r="H72"/>
  <c r="I72"/>
  <c r="J72"/>
  <c r="K72"/>
  <c r="L72"/>
  <c r="M72"/>
  <c r="H35"/>
  <c r="I35"/>
  <c r="J35"/>
  <c r="K35"/>
  <c r="L35"/>
  <c r="M35"/>
  <c r="H33"/>
  <c r="I33"/>
  <c r="J33"/>
  <c r="K33"/>
  <c r="L33"/>
  <c r="M33"/>
  <c r="H39"/>
  <c r="I39"/>
  <c r="J39"/>
  <c r="K39"/>
  <c r="L39"/>
  <c r="M39"/>
  <c r="H29"/>
  <c r="I29"/>
  <c r="J29"/>
  <c r="K29"/>
  <c r="L29"/>
  <c r="M29"/>
  <c r="H8"/>
  <c r="I8"/>
  <c r="J8"/>
  <c r="K8"/>
  <c r="L8"/>
  <c r="M8"/>
  <c r="H2"/>
  <c r="I2"/>
  <c r="J2"/>
  <c r="K2"/>
  <c r="L2"/>
  <c r="M2"/>
  <c r="H23"/>
  <c r="I23"/>
  <c r="J23"/>
  <c r="K23"/>
  <c r="L23"/>
  <c r="M23"/>
  <c r="H27"/>
  <c r="I27"/>
  <c r="J27"/>
  <c r="K27"/>
  <c r="L27"/>
  <c r="M27"/>
  <c r="H21"/>
  <c r="I21"/>
  <c r="J21"/>
  <c r="K21"/>
  <c r="L21"/>
  <c r="M21"/>
  <c r="H12"/>
  <c r="I12"/>
  <c r="J12"/>
  <c r="K12"/>
  <c r="L12"/>
  <c r="M12"/>
  <c r="H6"/>
  <c r="I6"/>
  <c r="J6"/>
  <c r="K6"/>
  <c r="L6"/>
  <c r="M6"/>
  <c r="H17"/>
  <c r="I17"/>
  <c r="J17"/>
  <c r="K17"/>
  <c r="L17"/>
  <c r="M17"/>
  <c r="H31"/>
  <c r="I31"/>
  <c r="J31"/>
  <c r="K31"/>
  <c r="L31"/>
  <c r="M31"/>
  <c r="H4"/>
  <c r="I4"/>
  <c r="J4"/>
  <c r="K4"/>
  <c r="L4"/>
  <c r="M4"/>
  <c r="H37"/>
  <c r="I37"/>
  <c r="J37"/>
  <c r="K37"/>
  <c r="L37"/>
  <c r="M37"/>
  <c r="H10"/>
  <c r="I10"/>
  <c r="J10"/>
  <c r="K10"/>
  <c r="L10"/>
  <c r="M10"/>
  <c r="H25"/>
  <c r="I25"/>
  <c r="J25"/>
  <c r="K25"/>
  <c r="L25"/>
  <c r="M25"/>
  <c r="H19"/>
  <c r="I19"/>
  <c r="J19"/>
  <c r="K19"/>
  <c r="L19"/>
  <c r="M19"/>
  <c r="H81"/>
  <c r="I81"/>
  <c r="J81"/>
  <c r="K81"/>
  <c r="L81"/>
  <c r="M81"/>
  <c r="H85"/>
  <c r="I85"/>
  <c r="J85"/>
  <c r="K85"/>
  <c r="L85"/>
  <c r="M85"/>
  <c r="H89"/>
  <c r="I89"/>
  <c r="J89"/>
  <c r="K89"/>
  <c r="L89"/>
  <c r="M89"/>
  <c r="H5"/>
  <c r="I5"/>
  <c r="J5"/>
  <c r="K5"/>
  <c r="L5"/>
  <c r="M5"/>
  <c r="H11"/>
  <c r="I11"/>
  <c r="J11"/>
  <c r="K11"/>
  <c r="L11"/>
  <c r="M11"/>
  <c r="H20"/>
  <c r="I20"/>
  <c r="J20"/>
  <c r="K20"/>
  <c r="L20"/>
  <c r="M20"/>
  <c r="H26"/>
  <c r="I26"/>
  <c r="J26"/>
  <c r="K26"/>
  <c r="L26"/>
  <c r="M26"/>
  <c r="H32"/>
  <c r="I32"/>
  <c r="J32"/>
  <c r="K32"/>
  <c r="L32"/>
  <c r="M32"/>
  <c r="H73"/>
  <c r="I73"/>
  <c r="J73"/>
  <c r="K73"/>
  <c r="L73"/>
  <c r="M73"/>
  <c r="H74"/>
  <c r="I74"/>
  <c r="J74"/>
  <c r="K74"/>
  <c r="L74"/>
  <c r="M74"/>
  <c r="H77"/>
  <c r="I77"/>
  <c r="J77"/>
  <c r="K77"/>
  <c r="L77"/>
  <c r="M77"/>
  <c r="H78"/>
  <c r="I78"/>
  <c r="J78"/>
  <c r="K78"/>
  <c r="L78"/>
  <c r="M78"/>
  <c r="H82"/>
  <c r="I82"/>
  <c r="J82"/>
  <c r="K82"/>
  <c r="L82"/>
  <c r="M82"/>
  <c r="H86"/>
  <c r="I86"/>
  <c r="J86"/>
  <c r="K86"/>
  <c r="L86"/>
  <c r="M86"/>
  <c r="H90"/>
  <c r="I90"/>
  <c r="J90"/>
  <c r="K90"/>
  <c r="L90"/>
  <c r="M90"/>
  <c r="H93"/>
  <c r="I93"/>
  <c r="J93"/>
  <c r="K93"/>
  <c r="L93"/>
  <c r="M93"/>
  <c r="H94"/>
  <c r="I94"/>
  <c r="J94"/>
  <c r="K94"/>
  <c r="L94"/>
  <c r="M94"/>
  <c r="H97"/>
  <c r="I97"/>
  <c r="J97"/>
  <c r="K97"/>
  <c r="L97"/>
  <c r="M97"/>
  <c r="H98"/>
  <c r="I98"/>
  <c r="J98"/>
  <c r="K98"/>
  <c r="L98"/>
  <c r="M98"/>
  <c r="H101"/>
  <c r="I101"/>
  <c r="J101"/>
  <c r="K101"/>
  <c r="L101"/>
  <c r="M101"/>
  <c r="H102"/>
  <c r="I102"/>
  <c r="J102"/>
  <c r="K102"/>
  <c r="L102"/>
  <c r="M102"/>
  <c r="H105"/>
  <c r="I105"/>
  <c r="J105"/>
  <c r="K105"/>
  <c r="L105"/>
  <c r="M105"/>
  <c r="H106"/>
  <c r="I106"/>
  <c r="J106"/>
  <c r="K106"/>
  <c r="L106"/>
  <c r="M106"/>
  <c r="H38"/>
  <c r="I38"/>
  <c r="J38"/>
  <c r="K38"/>
  <c r="L38"/>
  <c r="M38"/>
  <c r="H65"/>
  <c r="I65"/>
  <c r="J65"/>
  <c r="K65"/>
  <c r="L65"/>
  <c r="M65"/>
  <c r="H47"/>
  <c r="I47"/>
  <c r="J47"/>
  <c r="K47"/>
  <c r="L47"/>
  <c r="M47"/>
  <c r="H57"/>
  <c r="I57"/>
  <c r="J57"/>
  <c r="K57"/>
  <c r="L57"/>
  <c r="M57"/>
  <c r="H53"/>
  <c r="I53"/>
  <c r="J53"/>
  <c r="K53"/>
  <c r="L53"/>
  <c r="M53"/>
  <c r="H43"/>
  <c r="I43"/>
  <c r="J43"/>
  <c r="K43"/>
  <c r="L43"/>
  <c r="M43"/>
  <c r="H36"/>
  <c r="I36"/>
  <c r="J36"/>
  <c r="K36"/>
  <c r="L36"/>
  <c r="M36"/>
  <c r="H76"/>
  <c r="I76"/>
  <c r="J76"/>
  <c r="K76"/>
  <c r="L76"/>
  <c r="M76"/>
  <c r="H131"/>
  <c r="I131"/>
  <c r="J131"/>
  <c r="K131"/>
  <c r="L131"/>
  <c r="M131"/>
  <c r="H28"/>
  <c r="I28"/>
  <c r="J28"/>
  <c r="K28"/>
  <c r="L28"/>
  <c r="M28"/>
  <c r="H110"/>
  <c r="I110"/>
  <c r="J110"/>
  <c r="K110"/>
  <c r="L110"/>
  <c r="M110"/>
  <c r="H22"/>
  <c r="I22"/>
  <c r="J22"/>
  <c r="K22"/>
  <c r="L22"/>
  <c r="M22"/>
  <c r="H143"/>
  <c r="I143"/>
  <c r="J143"/>
  <c r="K143"/>
  <c r="L143"/>
  <c r="M143"/>
  <c r="H125"/>
  <c r="I125"/>
  <c r="J125"/>
  <c r="K125"/>
  <c r="L125"/>
  <c r="M125"/>
  <c r="H51"/>
  <c r="I51"/>
  <c r="J51"/>
  <c r="K51"/>
  <c r="L51"/>
  <c r="M51"/>
  <c r="H116"/>
  <c r="I116"/>
  <c r="J116"/>
  <c r="K116"/>
  <c r="L116"/>
  <c r="M116"/>
  <c r="H137"/>
  <c r="I137"/>
  <c r="J137"/>
  <c r="K137"/>
  <c r="L137"/>
  <c r="M137"/>
  <c r="H13"/>
  <c r="I13"/>
  <c r="J13"/>
  <c r="K13"/>
  <c r="L13"/>
  <c r="M13"/>
  <c r="H15"/>
  <c r="I15"/>
  <c r="J15"/>
  <c r="K15"/>
  <c r="L15"/>
  <c r="M15"/>
  <c r="H7"/>
  <c r="I7"/>
  <c r="J7"/>
  <c r="K7"/>
  <c r="L7"/>
  <c r="M7"/>
  <c r="H61"/>
  <c r="I61"/>
  <c r="J61"/>
  <c r="K61"/>
  <c r="L61"/>
  <c r="M61"/>
  <c r="H69"/>
  <c r="I69"/>
  <c r="J69"/>
  <c r="K69"/>
  <c r="L69"/>
  <c r="M69"/>
  <c r="H108"/>
  <c r="I108"/>
  <c r="J108"/>
  <c r="K108"/>
  <c r="L108"/>
  <c r="M108"/>
  <c r="H55"/>
  <c r="I55"/>
  <c r="J55"/>
  <c r="K55"/>
  <c r="L55"/>
  <c r="M55"/>
  <c r="H80"/>
  <c r="I80"/>
  <c r="J80"/>
  <c r="K80"/>
  <c r="L80"/>
  <c r="M80"/>
  <c r="H134"/>
  <c r="I134"/>
  <c r="J134"/>
  <c r="K134"/>
  <c r="L134"/>
  <c r="M134"/>
  <c r="H49"/>
  <c r="I49"/>
  <c r="J49"/>
  <c r="K49"/>
  <c r="L49"/>
  <c r="M49"/>
  <c r="H140"/>
  <c r="I140"/>
  <c r="J140"/>
  <c r="K140"/>
  <c r="L140"/>
  <c r="M140"/>
  <c r="H3"/>
  <c r="I3"/>
  <c r="J3"/>
  <c r="K3"/>
  <c r="L3"/>
  <c r="M3"/>
  <c r="H9"/>
  <c r="I9"/>
  <c r="J9"/>
  <c r="K9"/>
  <c r="L9"/>
  <c r="M9"/>
  <c r="H67"/>
  <c r="I67"/>
  <c r="J67"/>
  <c r="K67"/>
  <c r="L67"/>
  <c r="M67"/>
  <c r="H128"/>
  <c r="I128"/>
  <c r="J128"/>
  <c r="K128"/>
  <c r="L128"/>
  <c r="M128"/>
  <c r="H40"/>
  <c r="I40"/>
  <c r="J40"/>
  <c r="K40"/>
  <c r="L40"/>
  <c r="M40"/>
  <c r="H96"/>
  <c r="I96"/>
  <c r="J96"/>
  <c r="K96"/>
  <c r="L96"/>
  <c r="M96"/>
  <c r="H24"/>
  <c r="I24"/>
  <c r="J24"/>
  <c r="K24"/>
  <c r="L24"/>
  <c r="M24"/>
  <c r="H63"/>
  <c r="I63"/>
  <c r="J63"/>
  <c r="K63"/>
  <c r="L63"/>
  <c r="M63"/>
  <c r="H71"/>
  <c r="I71"/>
  <c r="J71"/>
  <c r="K71"/>
  <c r="L71"/>
  <c r="M71"/>
  <c r="H104"/>
  <c r="I104"/>
  <c r="J104"/>
  <c r="K104"/>
  <c r="L104"/>
  <c r="M104"/>
  <c r="H34"/>
  <c r="I34"/>
  <c r="J34"/>
  <c r="K34"/>
  <c r="L34"/>
  <c r="M34"/>
  <c r="H41"/>
  <c r="I41"/>
  <c r="J41"/>
  <c r="K41"/>
  <c r="L41"/>
  <c r="M41"/>
  <c r="H59"/>
  <c r="I59"/>
  <c r="J59"/>
  <c r="K59"/>
  <c r="L59"/>
  <c r="M59"/>
  <c r="H122"/>
  <c r="I122"/>
  <c r="J122"/>
  <c r="K122"/>
  <c r="L122"/>
  <c r="M122"/>
  <c r="H30"/>
  <c r="I30"/>
  <c r="J30"/>
  <c r="K30"/>
  <c r="L30"/>
  <c r="M30"/>
  <c r="H18"/>
  <c r="I18"/>
  <c r="J18"/>
  <c r="K18"/>
  <c r="L18"/>
  <c r="M18"/>
  <c r="H88"/>
  <c r="I88"/>
  <c r="J88"/>
  <c r="K88"/>
  <c r="L88"/>
  <c r="M88"/>
  <c r="H132"/>
  <c r="I132"/>
  <c r="J132"/>
  <c r="K132"/>
  <c r="L132"/>
  <c r="M132"/>
  <c r="H119"/>
  <c r="I119"/>
  <c r="J119"/>
  <c r="K119"/>
  <c r="L119"/>
  <c r="M119"/>
  <c r="H113"/>
  <c r="I113"/>
  <c r="J113"/>
  <c r="K113"/>
  <c r="L113"/>
  <c r="M113"/>
  <c r="H45"/>
  <c r="I45"/>
  <c r="J45"/>
  <c r="K45"/>
  <c r="L45"/>
  <c r="M45"/>
  <c r="H126"/>
  <c r="I126"/>
  <c r="J126"/>
  <c r="K126"/>
  <c r="L126"/>
  <c r="M126"/>
  <c r="H52"/>
  <c r="I52"/>
  <c r="J52"/>
  <c r="K52"/>
  <c r="L52"/>
  <c r="M52"/>
  <c r="H127"/>
  <c r="I127"/>
  <c r="J127"/>
  <c r="K127"/>
  <c r="L127"/>
  <c r="M127"/>
  <c r="H112"/>
  <c r="I112"/>
  <c r="J112"/>
  <c r="K112"/>
  <c r="L112"/>
  <c r="M112"/>
  <c r="H124"/>
  <c r="I124"/>
  <c r="J124"/>
  <c r="K124"/>
  <c r="L124"/>
  <c r="M124"/>
  <c r="H136"/>
  <c r="I136"/>
  <c r="J136"/>
  <c r="K136"/>
  <c r="L136"/>
  <c r="M136"/>
  <c r="H42"/>
  <c r="I42"/>
  <c r="J42"/>
  <c r="K42"/>
  <c r="L42"/>
  <c r="M42"/>
  <c r="H44"/>
  <c r="I44"/>
  <c r="J44"/>
  <c r="K44"/>
  <c r="L44"/>
  <c r="M44"/>
  <c r="H50"/>
  <c r="I50"/>
  <c r="J50"/>
  <c r="K50"/>
  <c r="L50"/>
  <c r="M50"/>
  <c r="H48"/>
  <c r="I48"/>
  <c r="J48"/>
  <c r="K48"/>
  <c r="L48"/>
  <c r="M48"/>
  <c r="H79"/>
  <c r="I79"/>
  <c r="J79"/>
  <c r="K79"/>
  <c r="L79"/>
  <c r="M79"/>
  <c r="H14"/>
  <c r="I14"/>
  <c r="J14"/>
  <c r="K14"/>
  <c r="L14"/>
  <c r="M14"/>
  <c r="H103"/>
  <c r="I103"/>
  <c r="J103"/>
  <c r="K103"/>
  <c r="L103"/>
  <c r="M103"/>
  <c r="H107"/>
  <c r="I107"/>
  <c r="J107"/>
  <c r="K107"/>
  <c r="L107"/>
  <c r="M107"/>
  <c r="H92"/>
  <c r="I92"/>
  <c r="J92"/>
  <c r="K92"/>
  <c r="L92"/>
  <c r="M92"/>
  <c r="H100"/>
  <c r="I100"/>
  <c r="J100"/>
  <c r="K100"/>
  <c r="L100"/>
  <c r="M100"/>
  <c r="H84"/>
  <c r="I84"/>
  <c r="J84"/>
  <c r="K84"/>
  <c r="L84"/>
  <c r="M84"/>
  <c r="H129"/>
  <c r="I129"/>
  <c r="J129"/>
  <c r="K129"/>
  <c r="L129"/>
  <c r="M129"/>
  <c r="H16"/>
  <c r="I16"/>
  <c r="J16"/>
  <c r="K16"/>
  <c r="L16"/>
  <c r="M16"/>
  <c r="H123"/>
  <c r="I123"/>
  <c r="J123"/>
  <c r="K123"/>
  <c r="L123"/>
  <c r="M123"/>
  <c r="H118"/>
  <c r="I118"/>
  <c r="J118"/>
  <c r="K118"/>
  <c r="L118"/>
  <c r="M118"/>
  <c r="H130"/>
  <c r="I130"/>
  <c r="J130"/>
  <c r="K130"/>
  <c r="L130"/>
  <c r="M130"/>
  <c r="H142"/>
  <c r="I142"/>
  <c r="J142"/>
  <c r="K142"/>
  <c r="L142"/>
  <c r="M142"/>
  <c r="H144"/>
  <c r="I144"/>
  <c r="J144"/>
  <c r="K144"/>
  <c r="L144"/>
  <c r="M144"/>
  <c r="H138"/>
  <c r="I138"/>
  <c r="J138"/>
  <c r="K138"/>
  <c r="L138"/>
  <c r="M138"/>
  <c r="H133"/>
  <c r="I133"/>
  <c r="J133"/>
  <c r="K133"/>
  <c r="L133"/>
  <c r="M133"/>
  <c r="H121"/>
  <c r="I121"/>
  <c r="J121"/>
  <c r="K121"/>
  <c r="L121"/>
  <c r="M121"/>
  <c r="H75"/>
  <c r="I75"/>
  <c r="J75"/>
  <c r="K75"/>
  <c r="L75"/>
  <c r="M75"/>
  <c r="H46"/>
  <c r="I46"/>
  <c r="J46"/>
  <c r="K46"/>
  <c r="L46"/>
  <c r="M46"/>
  <c r="H54"/>
  <c r="I54"/>
  <c r="J54"/>
  <c r="K54"/>
  <c r="L54"/>
  <c r="M54"/>
  <c r="H115"/>
  <c r="I115"/>
  <c r="J115"/>
  <c r="K115"/>
  <c r="L115"/>
  <c r="M115"/>
  <c r="H139"/>
  <c r="I139"/>
  <c r="J139"/>
  <c r="K139"/>
  <c r="L139"/>
  <c r="M139"/>
  <c r="H109"/>
  <c r="I109"/>
  <c r="J109"/>
  <c r="K109"/>
  <c r="L109"/>
  <c r="M109"/>
  <c r="H83"/>
  <c r="I83"/>
  <c r="J83"/>
  <c r="K83"/>
  <c r="L83"/>
  <c r="M83"/>
  <c r="H91"/>
  <c r="I91"/>
  <c r="J91"/>
  <c r="K91"/>
  <c r="L91"/>
  <c r="M91"/>
  <c r="H87"/>
  <c r="I87"/>
  <c r="J87"/>
  <c r="K87"/>
  <c r="L87"/>
  <c r="M87"/>
  <c r="H111"/>
  <c r="I111"/>
  <c r="J111"/>
  <c r="K111"/>
  <c r="L111"/>
  <c r="M111"/>
  <c r="H135"/>
  <c r="I135"/>
  <c r="J135"/>
  <c r="K135"/>
  <c r="L135"/>
  <c r="M135"/>
  <c r="H141"/>
  <c r="I141"/>
  <c r="J141"/>
  <c r="K141"/>
  <c r="L141"/>
  <c r="M141"/>
  <c r="H62"/>
  <c r="I62"/>
  <c r="J62"/>
  <c r="K62"/>
  <c r="L62"/>
  <c r="M62"/>
  <c r="H70"/>
  <c r="I70"/>
  <c r="J70"/>
  <c r="K70"/>
  <c r="L70"/>
  <c r="M70"/>
  <c r="H56"/>
  <c r="I56"/>
  <c r="J56"/>
  <c r="K56"/>
  <c r="L56"/>
  <c r="M56"/>
  <c r="H66"/>
  <c r="I66"/>
  <c r="J66"/>
  <c r="K66"/>
  <c r="L66"/>
  <c r="M66"/>
  <c r="H58"/>
  <c r="I58"/>
  <c r="J58"/>
  <c r="K58"/>
  <c r="L58"/>
  <c r="M58"/>
  <c r="H114"/>
  <c r="I114"/>
  <c r="J114"/>
  <c r="K114"/>
  <c r="L114"/>
  <c r="M114"/>
  <c r="H64"/>
  <c r="I64"/>
  <c r="J64"/>
  <c r="K64"/>
  <c r="L64"/>
  <c r="M64"/>
  <c r="H95"/>
  <c r="I95"/>
  <c r="J95"/>
  <c r="K95"/>
  <c r="L95"/>
  <c r="M95"/>
  <c r="H99"/>
  <c r="I99"/>
  <c r="J99"/>
  <c r="K99"/>
  <c r="L99"/>
  <c r="M99"/>
  <c r="H120"/>
  <c r="I120"/>
  <c r="J120"/>
  <c r="K120"/>
  <c r="L120"/>
  <c r="M120"/>
  <c r="H117"/>
  <c r="I117"/>
  <c r="J117"/>
  <c r="K117"/>
  <c r="L117"/>
  <c r="M117"/>
  <c r="I68"/>
  <c r="J68"/>
  <c r="K68"/>
  <c r="L68"/>
  <c r="M68"/>
  <c r="H68"/>
  <c r="I1"/>
  <c r="J1"/>
  <c r="K1"/>
  <c r="L1"/>
  <c r="M1"/>
  <c r="H1"/>
  <c r="N1"/>
  <c r="N35"/>
  <c r="O35"/>
  <c r="P35"/>
  <c r="Q35"/>
  <c r="R35"/>
  <c r="S35"/>
  <c r="N33"/>
  <c r="O33"/>
  <c r="P33"/>
  <c r="Q33"/>
  <c r="R33"/>
  <c r="S33"/>
  <c r="N39"/>
  <c r="O39"/>
  <c r="P39"/>
  <c r="Q39"/>
  <c r="R39"/>
  <c r="S39"/>
  <c r="N135"/>
  <c r="O135"/>
  <c r="P135"/>
  <c r="Q135"/>
  <c r="R135"/>
  <c r="S135"/>
  <c r="N70"/>
  <c r="O70"/>
  <c r="P70"/>
  <c r="Q70"/>
  <c r="R70"/>
  <c r="S70"/>
  <c r="N16"/>
  <c r="O16"/>
  <c r="P16"/>
  <c r="Q16"/>
  <c r="R16"/>
  <c r="S16"/>
  <c r="N114"/>
  <c r="O114"/>
  <c r="P114"/>
  <c r="Q114"/>
  <c r="R114"/>
  <c r="S114"/>
  <c r="N120"/>
  <c r="O120"/>
  <c r="P120"/>
  <c r="Q120"/>
  <c r="R120"/>
  <c r="S120"/>
  <c r="N64"/>
  <c r="O64"/>
  <c r="P64"/>
  <c r="Q64"/>
  <c r="R64"/>
  <c r="S64"/>
  <c r="N141"/>
  <c r="O141"/>
  <c r="P141"/>
  <c r="Q141"/>
  <c r="R141"/>
  <c r="S141"/>
  <c r="N29"/>
  <c r="O29"/>
  <c r="P29"/>
  <c r="Q29"/>
  <c r="R29"/>
  <c r="S29"/>
  <c r="N60"/>
  <c r="O60"/>
  <c r="P60"/>
  <c r="Q60"/>
  <c r="R60"/>
  <c r="S60"/>
  <c r="N66"/>
  <c r="O66"/>
  <c r="P66"/>
  <c r="Q66"/>
  <c r="R66"/>
  <c r="S66"/>
  <c r="N58"/>
  <c r="O58"/>
  <c r="P58"/>
  <c r="Q58"/>
  <c r="R58"/>
  <c r="S58"/>
  <c r="N68"/>
  <c r="O68"/>
  <c r="P68"/>
  <c r="Q68"/>
  <c r="R68"/>
  <c r="N139"/>
  <c r="O139"/>
  <c r="P139"/>
  <c r="Q139"/>
  <c r="R139"/>
  <c r="S139"/>
  <c r="N62"/>
  <c r="O62"/>
  <c r="P62"/>
  <c r="Q62"/>
  <c r="R62"/>
  <c r="S62"/>
  <c r="N56"/>
  <c r="O56"/>
  <c r="P56"/>
  <c r="Q56"/>
  <c r="R56"/>
  <c r="S56"/>
  <c r="N117"/>
  <c r="O117"/>
  <c r="P117"/>
  <c r="Q117"/>
  <c r="R117"/>
  <c r="S117"/>
  <c r="N91"/>
  <c r="O91"/>
  <c r="P91"/>
  <c r="Q91"/>
  <c r="R91"/>
  <c r="S91"/>
  <c r="N115"/>
  <c r="O115"/>
  <c r="P115"/>
  <c r="Q115"/>
  <c r="R115"/>
  <c r="S115"/>
  <c r="N95"/>
  <c r="O95"/>
  <c r="P95"/>
  <c r="Q95"/>
  <c r="R95"/>
  <c r="S95"/>
  <c r="N99"/>
  <c r="O99"/>
  <c r="P99"/>
  <c r="Q99"/>
  <c r="R99"/>
  <c r="S99"/>
  <c r="N111"/>
  <c r="O111"/>
  <c r="P111"/>
  <c r="Q111"/>
  <c r="R111"/>
  <c r="S111"/>
  <c r="N109"/>
  <c r="O109"/>
  <c r="P109"/>
  <c r="Q109"/>
  <c r="R109"/>
  <c r="S109"/>
  <c r="N133"/>
  <c r="O133"/>
  <c r="P133"/>
  <c r="Q133"/>
  <c r="R133"/>
  <c r="S133"/>
  <c r="N83"/>
  <c r="O83"/>
  <c r="P83"/>
  <c r="Q83"/>
  <c r="R83"/>
  <c r="S83"/>
  <c r="N8"/>
  <c r="O8"/>
  <c r="P8"/>
  <c r="Q8"/>
  <c r="R8"/>
  <c r="S8"/>
  <c r="N2"/>
  <c r="O2"/>
  <c r="P2"/>
  <c r="Q2"/>
  <c r="R2"/>
  <c r="S2"/>
  <c r="N23"/>
  <c r="O23"/>
  <c r="P23"/>
  <c r="Q23"/>
  <c r="R23"/>
  <c r="S23"/>
  <c r="N123"/>
  <c r="O123"/>
  <c r="P123"/>
  <c r="Q123"/>
  <c r="R123"/>
  <c r="S123"/>
  <c r="N138"/>
  <c r="O138"/>
  <c r="P138"/>
  <c r="Q138"/>
  <c r="R138"/>
  <c r="S138"/>
  <c r="N48"/>
  <c r="O48"/>
  <c r="P48"/>
  <c r="Q48"/>
  <c r="R48"/>
  <c r="S48"/>
  <c r="N112"/>
  <c r="O112"/>
  <c r="P112"/>
  <c r="Q112"/>
  <c r="R112"/>
  <c r="S112"/>
  <c r="N124"/>
  <c r="O124"/>
  <c r="P124"/>
  <c r="Q124"/>
  <c r="R124"/>
  <c r="S124"/>
  <c r="N136"/>
  <c r="O136"/>
  <c r="P136"/>
  <c r="Q136"/>
  <c r="R136"/>
  <c r="S136"/>
  <c r="N118"/>
  <c r="O118"/>
  <c r="P118"/>
  <c r="Q118"/>
  <c r="R118"/>
  <c r="S118"/>
  <c r="N130"/>
  <c r="O130"/>
  <c r="P130"/>
  <c r="Q130"/>
  <c r="R130"/>
  <c r="S130"/>
  <c r="N142"/>
  <c r="O142"/>
  <c r="P142"/>
  <c r="Q142"/>
  <c r="R142"/>
  <c r="S142"/>
  <c r="N87"/>
  <c r="O87"/>
  <c r="P87"/>
  <c r="Q87"/>
  <c r="R87"/>
  <c r="S87"/>
  <c r="N14"/>
  <c r="O14"/>
  <c r="P14"/>
  <c r="Q14"/>
  <c r="R14"/>
  <c r="S14"/>
  <c r="N30"/>
  <c r="O30"/>
  <c r="P30"/>
  <c r="Q30"/>
  <c r="R30"/>
  <c r="S30"/>
  <c r="N22"/>
  <c r="O22"/>
  <c r="P22"/>
  <c r="Q22"/>
  <c r="R22"/>
  <c r="S22"/>
  <c r="N27"/>
  <c r="O27"/>
  <c r="P27"/>
  <c r="Q27"/>
  <c r="R27"/>
  <c r="S27"/>
  <c r="N46"/>
  <c r="O46"/>
  <c r="P46"/>
  <c r="Q46"/>
  <c r="R46"/>
  <c r="S46"/>
  <c r="N144"/>
  <c r="O144"/>
  <c r="P144"/>
  <c r="Q144"/>
  <c r="R144"/>
  <c r="S144"/>
  <c r="N52"/>
  <c r="O52"/>
  <c r="P52"/>
  <c r="Q52"/>
  <c r="R52"/>
  <c r="S52"/>
  <c r="N55"/>
  <c r="O55"/>
  <c r="P55"/>
  <c r="Q55"/>
  <c r="R55"/>
  <c r="S55"/>
  <c r="N100"/>
  <c r="O100"/>
  <c r="P100"/>
  <c r="Q100"/>
  <c r="R100"/>
  <c r="S100"/>
  <c r="N134"/>
  <c r="O134"/>
  <c r="P134"/>
  <c r="Q134"/>
  <c r="R134"/>
  <c r="S134"/>
  <c r="N54"/>
  <c r="O54"/>
  <c r="P54"/>
  <c r="Q54"/>
  <c r="R54"/>
  <c r="S54"/>
  <c r="N79"/>
  <c r="O79"/>
  <c r="P79"/>
  <c r="Q79"/>
  <c r="R79"/>
  <c r="S79"/>
  <c r="N21"/>
  <c r="O21"/>
  <c r="P21"/>
  <c r="Q21"/>
  <c r="R21"/>
  <c r="S21"/>
  <c r="N42"/>
  <c r="O42"/>
  <c r="P42"/>
  <c r="Q42"/>
  <c r="R42"/>
  <c r="S42"/>
  <c r="N44"/>
  <c r="O44"/>
  <c r="P44"/>
  <c r="Q44"/>
  <c r="R44"/>
  <c r="S44"/>
  <c r="N126"/>
  <c r="O126"/>
  <c r="P126"/>
  <c r="Q126"/>
  <c r="R126"/>
  <c r="S126"/>
  <c r="N71"/>
  <c r="O71"/>
  <c r="P71"/>
  <c r="Q71"/>
  <c r="R71"/>
  <c r="S71"/>
  <c r="N12"/>
  <c r="O12"/>
  <c r="P12"/>
  <c r="Q12"/>
  <c r="R12"/>
  <c r="S12"/>
  <c r="N45"/>
  <c r="O45"/>
  <c r="P45"/>
  <c r="Q45"/>
  <c r="R45"/>
  <c r="S45"/>
  <c r="N140"/>
  <c r="O140"/>
  <c r="P140"/>
  <c r="Q140"/>
  <c r="R140"/>
  <c r="S140"/>
  <c r="N7"/>
  <c r="O7"/>
  <c r="P7"/>
  <c r="Q7"/>
  <c r="R7"/>
  <c r="S7"/>
  <c r="N6"/>
  <c r="O6"/>
  <c r="P6"/>
  <c r="Q6"/>
  <c r="R6"/>
  <c r="S6"/>
  <c r="N107"/>
  <c r="O107"/>
  <c r="P107"/>
  <c r="Q107"/>
  <c r="R107"/>
  <c r="S107"/>
  <c r="N59"/>
  <c r="O59"/>
  <c r="P59"/>
  <c r="Q59"/>
  <c r="R59"/>
  <c r="S59"/>
  <c r="N63"/>
  <c r="O63"/>
  <c r="P63"/>
  <c r="Q63"/>
  <c r="R63"/>
  <c r="S63"/>
  <c r="N24"/>
  <c r="O24"/>
  <c r="P24"/>
  <c r="Q24"/>
  <c r="R24"/>
  <c r="S24"/>
  <c r="N40"/>
  <c r="O40"/>
  <c r="P40"/>
  <c r="Q40"/>
  <c r="R40"/>
  <c r="S40"/>
  <c r="N69"/>
  <c r="O69"/>
  <c r="P69"/>
  <c r="Q69"/>
  <c r="R69"/>
  <c r="S69"/>
  <c r="N132"/>
  <c r="O132"/>
  <c r="P132"/>
  <c r="Q132"/>
  <c r="R132"/>
  <c r="S132"/>
  <c r="N18"/>
  <c r="O18"/>
  <c r="P18"/>
  <c r="Q18"/>
  <c r="R18"/>
  <c r="S18"/>
  <c r="N75"/>
  <c r="O75"/>
  <c r="P75"/>
  <c r="Q75"/>
  <c r="R75"/>
  <c r="S75"/>
  <c r="N34"/>
  <c r="O34"/>
  <c r="P34"/>
  <c r="Q34"/>
  <c r="R34"/>
  <c r="S34"/>
  <c r="N61"/>
  <c r="O61"/>
  <c r="P61"/>
  <c r="Q61"/>
  <c r="R61"/>
  <c r="S61"/>
  <c r="N17"/>
  <c r="O17"/>
  <c r="P17"/>
  <c r="Q17"/>
  <c r="R17"/>
  <c r="S17"/>
  <c r="N103"/>
  <c r="O103"/>
  <c r="P103"/>
  <c r="Q103"/>
  <c r="R103"/>
  <c r="S103"/>
  <c r="N67"/>
  <c r="O67"/>
  <c r="P67"/>
  <c r="Q67"/>
  <c r="R67"/>
  <c r="S67"/>
  <c r="N49"/>
  <c r="O49"/>
  <c r="P49"/>
  <c r="Q49"/>
  <c r="R49"/>
  <c r="S49"/>
  <c r="N31"/>
  <c r="O31"/>
  <c r="P31"/>
  <c r="Q31"/>
  <c r="R31"/>
  <c r="S31"/>
  <c r="N137"/>
  <c r="O137"/>
  <c r="P137"/>
  <c r="Q137"/>
  <c r="R137"/>
  <c r="S137"/>
  <c r="N13"/>
  <c r="O13"/>
  <c r="P13"/>
  <c r="Q13"/>
  <c r="R13"/>
  <c r="S13"/>
  <c r="N15"/>
  <c r="O15"/>
  <c r="P15"/>
  <c r="Q15"/>
  <c r="R15"/>
  <c r="S15"/>
  <c r="N143"/>
  <c r="O143"/>
  <c r="P143"/>
  <c r="Q143"/>
  <c r="R143"/>
  <c r="S143"/>
  <c r="N129"/>
  <c r="O129"/>
  <c r="P129"/>
  <c r="Q129"/>
  <c r="R129"/>
  <c r="S129"/>
  <c r="N92"/>
  <c r="O92"/>
  <c r="P92"/>
  <c r="Q92"/>
  <c r="R92"/>
  <c r="S92"/>
  <c r="N57"/>
  <c r="O57"/>
  <c r="P57"/>
  <c r="Q57"/>
  <c r="R57"/>
  <c r="S57"/>
  <c r="N36"/>
  <c r="O36"/>
  <c r="P36"/>
  <c r="Q36"/>
  <c r="R36"/>
  <c r="S36"/>
  <c r="N50"/>
  <c r="O50"/>
  <c r="P50"/>
  <c r="Q50"/>
  <c r="R50"/>
  <c r="S50"/>
  <c r="N127"/>
  <c r="O127"/>
  <c r="P127"/>
  <c r="Q127"/>
  <c r="R127"/>
  <c r="S127"/>
  <c r="N113"/>
  <c r="O113"/>
  <c r="P113"/>
  <c r="Q113"/>
  <c r="R113"/>
  <c r="S113"/>
  <c r="N119"/>
  <c r="O119"/>
  <c r="P119"/>
  <c r="Q119"/>
  <c r="R119"/>
  <c r="S119"/>
  <c r="N96"/>
  <c r="O96"/>
  <c r="P96"/>
  <c r="Q96"/>
  <c r="R96"/>
  <c r="S96"/>
  <c r="N121"/>
  <c r="O121"/>
  <c r="P121"/>
  <c r="Q121"/>
  <c r="R121"/>
  <c r="S121"/>
  <c r="N125"/>
  <c r="O125"/>
  <c r="P125"/>
  <c r="Q125"/>
  <c r="R125"/>
  <c r="S125"/>
  <c r="N122"/>
  <c r="O122"/>
  <c r="P122"/>
  <c r="Q122"/>
  <c r="R122"/>
  <c r="S122"/>
  <c r="N116"/>
  <c r="O116"/>
  <c r="P116"/>
  <c r="Q116"/>
  <c r="R116"/>
  <c r="S116"/>
  <c r="N131"/>
  <c r="O131"/>
  <c r="P131"/>
  <c r="Q131"/>
  <c r="R131"/>
  <c r="S131"/>
  <c r="N53"/>
  <c r="O53"/>
  <c r="P53"/>
  <c r="Q53"/>
  <c r="R53"/>
  <c r="S53"/>
  <c r="N128"/>
  <c r="O128"/>
  <c r="P128"/>
  <c r="Q128"/>
  <c r="R128"/>
  <c r="S128"/>
  <c r="N43"/>
  <c r="O43"/>
  <c r="P43"/>
  <c r="Q43"/>
  <c r="R43"/>
  <c r="S43"/>
  <c r="N4"/>
  <c r="O4"/>
  <c r="P4"/>
  <c r="Q4"/>
  <c r="R4"/>
  <c r="S4"/>
  <c r="N88"/>
  <c r="O88"/>
  <c r="P88"/>
  <c r="Q88"/>
  <c r="R88"/>
  <c r="S88"/>
  <c r="N110"/>
  <c r="O110"/>
  <c r="P110"/>
  <c r="Q110"/>
  <c r="R110"/>
  <c r="S110"/>
  <c r="N37"/>
  <c r="O37"/>
  <c r="P37"/>
  <c r="Q37"/>
  <c r="R37"/>
  <c r="S37"/>
  <c r="N47"/>
  <c r="O47"/>
  <c r="P47"/>
  <c r="Q47"/>
  <c r="R47"/>
  <c r="S47"/>
  <c r="N84"/>
  <c r="O84"/>
  <c r="P84"/>
  <c r="Q84"/>
  <c r="R84"/>
  <c r="S84"/>
  <c r="N3"/>
  <c r="O3"/>
  <c r="P3"/>
  <c r="Q3"/>
  <c r="R3"/>
  <c r="S3"/>
  <c r="N80"/>
  <c r="O80"/>
  <c r="P80"/>
  <c r="Q80"/>
  <c r="R80"/>
  <c r="S80"/>
  <c r="N51"/>
  <c r="O51"/>
  <c r="P51"/>
  <c r="Q51"/>
  <c r="R51"/>
  <c r="S51"/>
  <c r="N9"/>
  <c r="O9"/>
  <c r="P9"/>
  <c r="Q9"/>
  <c r="R9"/>
  <c r="S9"/>
  <c r="N28"/>
  <c r="O28"/>
  <c r="P28"/>
  <c r="Q28"/>
  <c r="R28"/>
  <c r="S28"/>
  <c r="N41"/>
  <c r="O41"/>
  <c r="P41"/>
  <c r="Q41"/>
  <c r="R41"/>
  <c r="S41"/>
  <c r="N76"/>
  <c r="O76"/>
  <c r="P76"/>
  <c r="Q76"/>
  <c r="R76"/>
  <c r="S76"/>
  <c r="N10"/>
  <c r="O10"/>
  <c r="P10"/>
  <c r="Q10"/>
  <c r="R10"/>
  <c r="S10"/>
  <c r="N104"/>
  <c r="O104"/>
  <c r="P104"/>
  <c r="Q104"/>
  <c r="R104"/>
  <c r="S104"/>
  <c r="N108"/>
  <c r="O108"/>
  <c r="P108"/>
  <c r="Q108"/>
  <c r="R108"/>
  <c r="S108"/>
  <c r="N65"/>
  <c r="O65"/>
  <c r="P65"/>
  <c r="Q65"/>
  <c r="R65"/>
  <c r="S65"/>
  <c r="N25"/>
  <c r="O25"/>
  <c r="P25"/>
  <c r="Q25"/>
  <c r="R25"/>
  <c r="S25"/>
  <c r="N19"/>
  <c r="O19"/>
  <c r="P19"/>
  <c r="Q19"/>
  <c r="R19"/>
  <c r="S19"/>
  <c r="N38"/>
  <c r="O38"/>
  <c r="P38"/>
  <c r="Q38"/>
  <c r="R38"/>
  <c r="S38"/>
  <c r="N81"/>
  <c r="O81"/>
  <c r="P81"/>
  <c r="Q81"/>
  <c r="R81"/>
  <c r="S81"/>
  <c r="N85"/>
  <c r="O85"/>
  <c r="P85"/>
  <c r="Q85"/>
  <c r="R85"/>
  <c r="S85"/>
  <c r="N89"/>
  <c r="O89"/>
  <c r="P89"/>
  <c r="Q89"/>
  <c r="R89"/>
  <c r="S89"/>
  <c r="N5"/>
  <c r="O5"/>
  <c r="P5"/>
  <c r="Q5"/>
  <c r="R5"/>
  <c r="S5"/>
  <c r="N11"/>
  <c r="O11"/>
  <c r="P11"/>
  <c r="Q11"/>
  <c r="R11"/>
  <c r="S11"/>
  <c r="N20"/>
  <c r="O20"/>
  <c r="P20"/>
  <c r="Q20"/>
  <c r="R20"/>
  <c r="S20"/>
  <c r="N26"/>
  <c r="O26"/>
  <c r="P26"/>
  <c r="Q26"/>
  <c r="R26"/>
  <c r="S26"/>
  <c r="N32"/>
  <c r="O32"/>
  <c r="P32"/>
  <c r="Q32"/>
  <c r="R32"/>
  <c r="S32"/>
  <c r="N73"/>
  <c r="O73"/>
  <c r="P73"/>
  <c r="Q73"/>
  <c r="R73"/>
  <c r="S73"/>
  <c r="N74"/>
  <c r="O74"/>
  <c r="P74"/>
  <c r="Q74"/>
  <c r="R74"/>
  <c r="S74"/>
  <c r="N77"/>
  <c r="O77"/>
  <c r="P77"/>
  <c r="Q77"/>
  <c r="R77"/>
  <c r="S77"/>
  <c r="N78"/>
  <c r="O78"/>
  <c r="P78"/>
  <c r="Q78"/>
  <c r="R78"/>
  <c r="S78"/>
  <c r="N82"/>
  <c r="O82"/>
  <c r="P82"/>
  <c r="Q82"/>
  <c r="R82"/>
  <c r="S82"/>
  <c r="N86"/>
  <c r="O86"/>
  <c r="P86"/>
  <c r="Q86"/>
  <c r="R86"/>
  <c r="S86"/>
  <c r="N90"/>
  <c r="O90"/>
  <c r="P90"/>
  <c r="Q90"/>
  <c r="R90"/>
  <c r="S90"/>
  <c r="N93"/>
  <c r="O93"/>
  <c r="P93"/>
  <c r="Q93"/>
  <c r="R93"/>
  <c r="S93"/>
  <c r="N94"/>
  <c r="O94"/>
  <c r="P94"/>
  <c r="Q94"/>
  <c r="R94"/>
  <c r="S94"/>
  <c r="N97"/>
  <c r="O97"/>
  <c r="P97"/>
  <c r="Q97"/>
  <c r="R97"/>
  <c r="S97"/>
  <c r="N98"/>
  <c r="O98"/>
  <c r="P98"/>
  <c r="Q98"/>
  <c r="R98"/>
  <c r="S98"/>
  <c r="N101"/>
  <c r="O101"/>
  <c r="P101"/>
  <c r="Q101"/>
  <c r="R101"/>
  <c r="S101"/>
  <c r="N102"/>
  <c r="O102"/>
  <c r="P102"/>
  <c r="Q102"/>
  <c r="R102"/>
  <c r="S102"/>
  <c r="N105"/>
  <c r="O105"/>
  <c r="P105"/>
  <c r="Q105"/>
  <c r="R105"/>
  <c r="S105"/>
  <c r="N106"/>
  <c r="O106"/>
  <c r="P106"/>
  <c r="Q106"/>
  <c r="R106"/>
  <c r="S106"/>
  <c r="O72"/>
  <c r="P72"/>
  <c r="Q72"/>
  <c r="R72"/>
  <c r="S72"/>
  <c r="S1"/>
  <c r="O1"/>
  <c r="P1"/>
  <c r="Q1"/>
  <c r="R1"/>
  <c r="N72"/>
  <c r="AL90" i="6" l="1"/>
  <c r="AM90"/>
  <c r="AN90"/>
  <c r="AO90"/>
  <c r="AP90"/>
  <c r="AL116"/>
  <c r="AM116"/>
  <c r="AN116"/>
  <c r="AO116"/>
  <c r="AP116"/>
  <c r="AL138"/>
  <c r="AM138"/>
  <c r="AN138"/>
  <c r="AO138"/>
  <c r="AP138"/>
  <c r="AL110"/>
  <c r="AM110"/>
  <c r="AN110"/>
  <c r="AO110"/>
  <c r="AP110"/>
  <c r="AL78"/>
  <c r="AM78"/>
  <c r="AN78"/>
  <c r="AO78"/>
  <c r="AP78"/>
  <c r="AL113"/>
  <c r="AM113"/>
  <c r="AN113"/>
  <c r="AO113"/>
  <c r="AP113"/>
  <c r="AL89"/>
  <c r="AM89"/>
  <c r="AN89"/>
  <c r="AO89"/>
  <c r="AP89"/>
  <c r="AL117"/>
  <c r="AM117"/>
  <c r="AN117"/>
  <c r="AO117"/>
  <c r="AP117"/>
  <c r="AL124"/>
  <c r="AM124"/>
  <c r="AN124"/>
  <c r="AO124"/>
  <c r="AP124"/>
  <c r="AL108"/>
  <c r="AM108"/>
  <c r="AN108"/>
  <c r="AO108"/>
  <c r="AP108"/>
  <c r="AL81"/>
  <c r="AM81"/>
  <c r="AN81"/>
  <c r="AO81"/>
  <c r="AP81"/>
  <c r="AL34"/>
  <c r="AM34"/>
  <c r="AN34"/>
  <c r="AO34"/>
  <c r="AP34"/>
  <c r="AL82"/>
  <c r="AM82"/>
  <c r="AN82"/>
  <c r="AO82"/>
  <c r="AP82"/>
  <c r="AL54"/>
  <c r="AM54"/>
  <c r="AN54"/>
  <c r="AO54"/>
  <c r="AP54"/>
  <c r="AL114"/>
  <c r="AM114"/>
  <c r="AN114"/>
  <c r="AO114"/>
  <c r="AP114"/>
  <c r="AL59"/>
  <c r="AM59"/>
  <c r="AN59"/>
  <c r="AO59"/>
  <c r="AP59"/>
  <c r="AL119"/>
  <c r="AM119"/>
  <c r="AN119"/>
  <c r="AO119"/>
  <c r="AP119"/>
  <c r="AL139"/>
  <c r="AM139"/>
  <c r="AN139"/>
  <c r="AO139"/>
  <c r="AP139"/>
  <c r="AL109"/>
  <c r="AM109"/>
  <c r="AN109"/>
  <c r="AO109"/>
  <c r="AP109"/>
  <c r="AL87"/>
  <c r="AM87"/>
  <c r="AN87"/>
  <c r="AO87"/>
  <c r="AP87"/>
  <c r="AL111"/>
  <c r="AM111"/>
  <c r="AN111"/>
  <c r="AO111"/>
  <c r="AP111"/>
  <c r="AL70"/>
  <c r="AM70"/>
  <c r="AN70"/>
  <c r="AO70"/>
  <c r="AP70"/>
  <c r="AL120"/>
  <c r="AM120"/>
  <c r="AN120"/>
  <c r="AO120"/>
  <c r="AP120"/>
  <c r="AL140"/>
  <c r="AM140"/>
  <c r="AN140"/>
  <c r="AO140"/>
  <c r="AP140"/>
  <c r="AL105"/>
  <c r="AM105"/>
  <c r="AN105"/>
  <c r="AO105"/>
  <c r="AP105"/>
  <c r="AL96"/>
  <c r="AM96"/>
  <c r="AN96"/>
  <c r="AO96"/>
  <c r="AP96"/>
  <c r="AL107"/>
  <c r="AM107"/>
  <c r="AN107"/>
  <c r="AO107"/>
  <c r="AP107"/>
  <c r="AL61"/>
  <c r="AM61"/>
  <c r="AN61"/>
  <c r="AO61"/>
  <c r="AP61"/>
  <c r="AL115"/>
  <c r="AM115"/>
  <c r="AN115"/>
  <c r="AO115"/>
  <c r="AP115"/>
  <c r="AL141"/>
  <c r="AM141"/>
  <c r="AN141"/>
  <c r="AO141"/>
  <c r="AP141"/>
  <c r="AL104"/>
  <c r="AM104"/>
  <c r="AN104"/>
  <c r="AO104"/>
  <c r="AP104"/>
  <c r="AL66"/>
  <c r="AM66"/>
  <c r="AN66"/>
  <c r="AO66"/>
  <c r="AP66"/>
  <c r="AL106"/>
  <c r="AM106"/>
  <c r="AN106"/>
  <c r="AO106"/>
  <c r="AP106"/>
  <c r="AL95"/>
  <c r="AM95"/>
  <c r="AN95"/>
  <c r="AO95"/>
  <c r="AP95"/>
  <c r="AL118"/>
  <c r="AM118"/>
  <c r="AN118"/>
  <c r="AO118"/>
  <c r="AP118"/>
  <c r="AL123"/>
  <c r="AM123"/>
  <c r="AN123"/>
  <c r="AO123"/>
  <c r="AP123"/>
  <c r="AL103"/>
  <c r="AM103"/>
  <c r="AN103"/>
  <c r="AO103"/>
  <c r="AP103"/>
  <c r="AL71"/>
  <c r="AM71"/>
  <c r="AN71"/>
  <c r="AO71"/>
  <c r="AP71"/>
  <c r="AL79"/>
  <c r="AM79"/>
  <c r="AN79"/>
  <c r="AO79"/>
  <c r="AP79"/>
  <c r="AL50"/>
  <c r="AM50"/>
  <c r="AN50"/>
  <c r="AO50"/>
  <c r="AP50"/>
  <c r="AL98"/>
  <c r="AM98"/>
  <c r="AN98"/>
  <c r="AO98"/>
  <c r="AP98"/>
  <c r="AL37"/>
  <c r="AM37"/>
  <c r="AN37"/>
  <c r="AO37"/>
  <c r="AP37"/>
  <c r="AL58"/>
  <c r="AM58"/>
  <c r="AN58"/>
  <c r="AO58"/>
  <c r="AP58"/>
  <c r="AL32"/>
  <c r="AM32"/>
  <c r="AN32"/>
  <c r="AO32"/>
  <c r="AP32"/>
  <c r="AL101"/>
  <c r="AM101"/>
  <c r="AN101"/>
  <c r="AO101"/>
  <c r="AP101"/>
  <c r="AL35"/>
  <c r="AM35"/>
  <c r="AN35"/>
  <c r="AO35"/>
  <c r="AP35"/>
  <c r="AL75"/>
  <c r="AM75"/>
  <c r="AN75"/>
  <c r="AO75"/>
  <c r="AP75"/>
  <c r="AL48"/>
  <c r="AM48"/>
  <c r="AN48"/>
  <c r="AO48"/>
  <c r="AP48"/>
  <c r="AL92"/>
  <c r="AM92"/>
  <c r="AN92"/>
  <c r="AO92"/>
  <c r="AP92"/>
  <c r="AL38"/>
  <c r="AM38"/>
  <c r="AN38"/>
  <c r="AO38"/>
  <c r="AP38"/>
  <c r="AL100"/>
  <c r="AM100"/>
  <c r="AN100"/>
  <c r="AO100"/>
  <c r="AP100"/>
  <c r="AL25"/>
  <c r="AM25"/>
  <c r="AN25"/>
  <c r="AO25"/>
  <c r="AP25"/>
  <c r="AL77"/>
  <c r="AM77"/>
  <c r="AN77"/>
  <c r="AO77"/>
  <c r="AP77"/>
  <c r="AL10"/>
  <c r="AM10"/>
  <c r="AN10"/>
  <c r="AO10"/>
  <c r="AP10"/>
  <c r="AL97"/>
  <c r="AM97"/>
  <c r="AN97"/>
  <c r="AO97"/>
  <c r="AP97"/>
  <c r="AL9"/>
  <c r="AM9"/>
  <c r="AN9"/>
  <c r="AO9"/>
  <c r="AP9"/>
  <c r="AL64"/>
  <c r="AM64"/>
  <c r="AN64"/>
  <c r="AO64"/>
  <c r="AP64"/>
  <c r="AL3"/>
  <c r="AM3"/>
  <c r="AN3"/>
  <c r="AO3"/>
  <c r="AP3"/>
  <c r="AL80"/>
  <c r="AM80"/>
  <c r="AN80"/>
  <c r="AO80"/>
  <c r="AP80"/>
  <c r="AL15"/>
  <c r="AM15"/>
  <c r="AN15"/>
  <c r="AO15"/>
  <c r="AP15"/>
  <c r="AL69"/>
  <c r="AM69"/>
  <c r="AN69"/>
  <c r="AO69"/>
  <c r="AP69"/>
  <c r="AL6"/>
  <c r="AM6"/>
  <c r="AN6"/>
  <c r="AO6"/>
  <c r="AP6"/>
  <c r="AL102"/>
  <c r="AM102"/>
  <c r="AN102"/>
  <c r="AO102"/>
  <c r="AP102"/>
  <c r="AL11"/>
  <c r="AM11"/>
  <c r="AN11"/>
  <c r="AO11"/>
  <c r="AP11"/>
  <c r="AL85"/>
  <c r="AM85"/>
  <c r="AN85"/>
  <c r="AO85"/>
  <c r="AP85"/>
  <c r="AL2"/>
  <c r="AM2"/>
  <c r="AN2"/>
  <c r="AO2"/>
  <c r="AP2"/>
  <c r="AL86"/>
  <c r="AM86"/>
  <c r="AN86"/>
  <c r="AO86"/>
  <c r="AP86"/>
  <c r="AL12"/>
  <c r="AM12"/>
  <c r="AN12"/>
  <c r="AO12"/>
  <c r="AP12"/>
  <c r="AL65"/>
  <c r="AM65"/>
  <c r="AN65"/>
  <c r="AO65"/>
  <c r="AP65"/>
  <c r="AL4"/>
  <c r="AM4"/>
  <c r="AN4"/>
  <c r="AO4"/>
  <c r="AP4"/>
  <c r="AL121"/>
  <c r="AM121"/>
  <c r="AN121"/>
  <c r="AO121"/>
  <c r="AP121"/>
  <c r="AL142"/>
  <c r="AM142"/>
  <c r="AN142"/>
  <c r="AO142"/>
  <c r="AP142"/>
  <c r="AL28"/>
  <c r="AM28"/>
  <c r="AN28"/>
  <c r="AO28"/>
  <c r="AP28"/>
  <c r="AL83"/>
  <c r="AM83"/>
  <c r="AN83"/>
  <c r="AO83"/>
  <c r="AP83"/>
  <c r="AL122"/>
  <c r="AM122"/>
  <c r="AN122"/>
  <c r="AO122"/>
  <c r="AP122"/>
  <c r="AL143"/>
  <c r="AM143"/>
  <c r="AN143"/>
  <c r="AO143"/>
  <c r="AP143"/>
  <c r="AL44"/>
  <c r="AM44"/>
  <c r="AN44"/>
  <c r="AO44"/>
  <c r="AP44"/>
  <c r="AL62"/>
  <c r="AM62"/>
  <c r="AN62"/>
  <c r="AO62"/>
  <c r="AP62"/>
  <c r="AL128"/>
  <c r="AM128"/>
  <c r="AN128"/>
  <c r="AO128"/>
  <c r="AP128"/>
  <c r="AL134"/>
  <c r="AM134"/>
  <c r="AN134"/>
  <c r="AO134"/>
  <c r="AP134"/>
  <c r="AL21"/>
  <c r="AM21"/>
  <c r="AN21"/>
  <c r="AO21"/>
  <c r="AP21"/>
  <c r="AL55"/>
  <c r="AM55"/>
  <c r="AN55"/>
  <c r="AO55"/>
  <c r="AP55"/>
  <c r="AL129"/>
  <c r="AM129"/>
  <c r="AN129"/>
  <c r="AO129"/>
  <c r="AP129"/>
  <c r="AL135"/>
  <c r="AM135"/>
  <c r="AN135"/>
  <c r="AO135"/>
  <c r="AP135"/>
  <c r="AL20"/>
  <c r="AM20"/>
  <c r="AN20"/>
  <c r="AO20"/>
  <c r="AP20"/>
  <c r="AL56"/>
  <c r="AM56"/>
  <c r="AN56"/>
  <c r="AO56"/>
  <c r="AP56"/>
  <c r="AL130"/>
  <c r="AM130"/>
  <c r="AN130"/>
  <c r="AO130"/>
  <c r="AP130"/>
  <c r="AL136"/>
  <c r="AM136"/>
  <c r="AN136"/>
  <c r="AO136"/>
  <c r="AP136"/>
  <c r="AL19"/>
  <c r="AM19"/>
  <c r="AN19"/>
  <c r="AO19"/>
  <c r="AP19"/>
  <c r="AL53"/>
  <c r="AM53"/>
  <c r="AN53"/>
  <c r="AO53"/>
  <c r="AP53"/>
  <c r="AL131"/>
  <c r="AM131"/>
  <c r="AN131"/>
  <c r="AO131"/>
  <c r="AP131"/>
  <c r="AL137"/>
  <c r="AM137"/>
  <c r="AN137"/>
  <c r="AO137"/>
  <c r="AP137"/>
  <c r="AL13"/>
  <c r="AM13"/>
  <c r="AN13"/>
  <c r="AO13"/>
  <c r="AP13"/>
  <c r="AL57"/>
  <c r="AM57"/>
  <c r="AN57"/>
  <c r="AO57"/>
  <c r="AP57"/>
  <c r="AL144"/>
  <c r="AM144"/>
  <c r="AN144"/>
  <c r="AO144"/>
  <c r="AP144"/>
  <c r="AL125"/>
  <c r="AM125"/>
  <c r="AN125"/>
  <c r="AO125"/>
  <c r="AP125"/>
  <c r="AL14"/>
  <c r="AM14"/>
  <c r="AN14"/>
  <c r="AO14"/>
  <c r="AP14"/>
  <c r="AL51"/>
  <c r="AM51"/>
  <c r="AN51"/>
  <c r="AO51"/>
  <c r="AP51"/>
  <c r="AL126"/>
  <c r="AM126"/>
  <c r="AN126"/>
  <c r="AO126"/>
  <c r="AP126"/>
  <c r="AL132"/>
  <c r="AM132"/>
  <c r="AN132"/>
  <c r="AO132"/>
  <c r="AP132"/>
  <c r="AL43"/>
  <c r="AM43"/>
  <c r="AN43"/>
  <c r="AO43"/>
  <c r="AP43"/>
  <c r="AL60"/>
  <c r="AM60"/>
  <c r="AN60"/>
  <c r="AO60"/>
  <c r="AP60"/>
  <c r="AL127"/>
  <c r="AM127"/>
  <c r="AN127"/>
  <c r="AO127"/>
  <c r="AP127"/>
  <c r="AL133"/>
  <c r="AM133"/>
  <c r="AN133"/>
  <c r="AO133"/>
  <c r="AP133"/>
  <c r="AL46"/>
  <c r="AM46"/>
  <c r="AN46"/>
  <c r="AO46"/>
  <c r="AP46"/>
  <c r="AL76"/>
  <c r="AM76"/>
  <c r="AN76"/>
  <c r="AO76"/>
  <c r="AP76"/>
  <c r="AL22"/>
  <c r="AM22"/>
  <c r="AN22"/>
  <c r="AO22"/>
  <c r="AP22"/>
  <c r="AL99"/>
  <c r="AM99"/>
  <c r="AN99"/>
  <c r="AO99"/>
  <c r="AP99"/>
  <c r="AL16"/>
  <c r="AM16"/>
  <c r="AN16"/>
  <c r="AO16"/>
  <c r="AP16"/>
  <c r="AL40"/>
  <c r="AM40"/>
  <c r="AN40"/>
  <c r="AO40"/>
  <c r="AP40"/>
  <c r="AL68"/>
  <c r="AM68"/>
  <c r="AN68"/>
  <c r="AO68"/>
  <c r="AP68"/>
  <c r="AL7"/>
  <c r="AM7"/>
  <c r="AN7"/>
  <c r="AO7"/>
  <c r="AP7"/>
  <c r="AL23"/>
  <c r="AM23"/>
  <c r="AN23"/>
  <c r="AO23"/>
  <c r="AP23"/>
  <c r="AL94"/>
  <c r="AM94"/>
  <c r="AN94"/>
  <c r="AO94"/>
  <c r="AP94"/>
  <c r="AL8"/>
  <c r="AM8"/>
  <c r="AN8"/>
  <c r="AO8"/>
  <c r="AP8"/>
  <c r="AL29"/>
  <c r="AM29"/>
  <c r="AN29"/>
  <c r="AO29"/>
  <c r="AP29"/>
  <c r="AL67"/>
  <c r="AM67"/>
  <c r="AN67"/>
  <c r="AO67"/>
  <c r="AP67"/>
  <c r="AL5"/>
  <c r="AM5"/>
  <c r="AN5"/>
  <c r="AO5"/>
  <c r="AP5"/>
  <c r="AL39"/>
  <c r="AM39"/>
  <c r="AN39"/>
  <c r="AO39"/>
  <c r="AP39"/>
  <c r="AL63"/>
  <c r="AM63"/>
  <c r="AN63"/>
  <c r="AO63"/>
  <c r="AP63"/>
  <c r="AL36"/>
  <c r="AM36"/>
  <c r="AN36"/>
  <c r="AO36"/>
  <c r="AP36"/>
  <c r="AL41"/>
  <c r="AM41"/>
  <c r="AN41"/>
  <c r="AO41"/>
  <c r="AP41"/>
  <c r="AL91"/>
  <c r="AM91"/>
  <c r="AN91"/>
  <c r="AO91"/>
  <c r="AP91"/>
  <c r="AL45"/>
  <c r="AM45"/>
  <c r="AN45"/>
  <c r="AO45"/>
  <c r="AP45"/>
  <c r="AL52"/>
  <c r="AM52"/>
  <c r="AN52"/>
  <c r="AO52"/>
  <c r="AP52"/>
  <c r="AL73"/>
  <c r="AM73"/>
  <c r="AN73"/>
  <c r="AO73"/>
  <c r="AP73"/>
  <c r="AL49"/>
  <c r="AM49"/>
  <c r="AN49"/>
  <c r="AO49"/>
  <c r="AP49"/>
  <c r="AL30"/>
  <c r="AM30"/>
  <c r="AN30"/>
  <c r="AO30"/>
  <c r="AP30"/>
  <c r="AL93"/>
  <c r="AM93"/>
  <c r="AN93"/>
  <c r="AO93"/>
  <c r="AP93"/>
  <c r="AL47"/>
  <c r="AM47"/>
  <c r="AN47"/>
  <c r="AO47"/>
  <c r="AP47"/>
  <c r="AL33"/>
  <c r="AM33"/>
  <c r="AN33"/>
  <c r="AO33"/>
  <c r="AP33"/>
  <c r="AL74"/>
  <c r="AM74"/>
  <c r="AN74"/>
  <c r="AO74"/>
  <c r="AP74"/>
  <c r="AL17"/>
  <c r="AM17"/>
  <c r="AN17"/>
  <c r="AO17"/>
  <c r="AP17"/>
  <c r="AL42"/>
  <c r="AM42"/>
  <c r="AN42"/>
  <c r="AO42"/>
  <c r="AP42"/>
  <c r="AL84"/>
  <c r="AM84"/>
  <c r="AN84"/>
  <c r="AO84"/>
  <c r="AP84"/>
  <c r="AL26"/>
  <c r="AM26"/>
  <c r="AN26"/>
  <c r="AO26"/>
  <c r="AP26"/>
  <c r="AL24"/>
  <c r="AM24"/>
  <c r="AN24"/>
  <c r="AO24"/>
  <c r="AP24"/>
  <c r="AL72"/>
  <c r="AM72"/>
  <c r="AN72"/>
  <c r="AO72"/>
  <c r="AP72"/>
  <c r="AL18"/>
  <c r="AM18"/>
  <c r="AN18"/>
  <c r="AO18"/>
  <c r="AP18"/>
  <c r="AL31"/>
  <c r="AM31"/>
  <c r="AN31"/>
  <c r="AO31"/>
  <c r="AP31"/>
  <c r="AL88"/>
  <c r="AM88"/>
  <c r="AN88"/>
  <c r="AO88"/>
  <c r="AP88"/>
  <c r="AL27"/>
  <c r="AM27"/>
  <c r="AN27"/>
  <c r="AO27"/>
  <c r="AP27"/>
  <c r="AP112"/>
  <c r="AO112"/>
  <c r="AM112"/>
  <c r="AN112"/>
  <c r="AL112"/>
  <c r="F3" i="4"/>
  <c r="G3"/>
  <c r="H3"/>
  <c r="I3"/>
  <c r="J3"/>
  <c r="K3"/>
  <c r="L3"/>
  <c r="M3"/>
  <c r="F4"/>
  <c r="G4"/>
  <c r="K4" s="1"/>
  <c r="H4"/>
  <c r="I4"/>
  <c r="J4"/>
  <c r="L4"/>
  <c r="M4"/>
  <c r="F5"/>
  <c r="G5"/>
  <c r="H5"/>
  <c r="I5"/>
  <c r="M5" s="1"/>
  <c r="J5"/>
  <c r="K5"/>
  <c r="L5"/>
  <c r="F6"/>
  <c r="J6" s="1"/>
  <c r="G6"/>
  <c r="K6" s="1"/>
  <c r="H6"/>
  <c r="I6"/>
  <c r="L6"/>
  <c r="M6"/>
  <c r="F7"/>
  <c r="G7"/>
  <c r="H7"/>
  <c r="L7" s="1"/>
  <c r="I7"/>
  <c r="M7" s="1"/>
  <c r="J7"/>
  <c r="K7"/>
  <c r="F8"/>
  <c r="G8"/>
  <c r="H8"/>
  <c r="I8"/>
  <c r="J8"/>
  <c r="K8"/>
  <c r="L8"/>
  <c r="M8"/>
  <c r="F9"/>
  <c r="G9"/>
  <c r="K9" s="1"/>
  <c r="H9"/>
  <c r="I9"/>
  <c r="J9"/>
  <c r="L9"/>
  <c r="M9"/>
  <c r="F10"/>
  <c r="G10"/>
  <c r="H10"/>
  <c r="I10"/>
  <c r="M10" s="1"/>
  <c r="J10"/>
  <c r="K10"/>
  <c r="L10"/>
  <c r="F11"/>
  <c r="J11" s="1"/>
  <c r="G11"/>
  <c r="K11" s="1"/>
  <c r="H11"/>
  <c r="I11"/>
  <c r="L11"/>
  <c r="M11"/>
  <c r="F12"/>
  <c r="G12"/>
  <c r="H12"/>
  <c r="L12" s="1"/>
  <c r="I12"/>
  <c r="M12" s="1"/>
  <c r="J12"/>
  <c r="K12"/>
  <c r="F13"/>
  <c r="G13"/>
  <c r="H13"/>
  <c r="I13"/>
  <c r="J13"/>
  <c r="K13"/>
  <c r="L13"/>
  <c r="M13"/>
  <c r="F14"/>
  <c r="G14"/>
  <c r="K14" s="1"/>
  <c r="H14"/>
  <c r="I14"/>
  <c r="J14"/>
  <c r="L14"/>
  <c r="M14"/>
  <c r="F15"/>
  <c r="G15"/>
  <c r="H15"/>
  <c r="I15"/>
  <c r="M15" s="1"/>
  <c r="J15"/>
  <c r="K15"/>
  <c r="L15"/>
  <c r="F16"/>
  <c r="J16" s="1"/>
  <c r="G16"/>
  <c r="K16" s="1"/>
  <c r="H16"/>
  <c r="I16"/>
  <c r="L16"/>
  <c r="M16"/>
  <c r="F17"/>
  <c r="G17"/>
  <c r="H17"/>
  <c r="L17" s="1"/>
  <c r="I17"/>
  <c r="M17" s="1"/>
  <c r="J17"/>
  <c r="K17"/>
  <c r="F18"/>
  <c r="G18"/>
  <c r="H18"/>
  <c r="I18"/>
  <c r="J18"/>
  <c r="K18"/>
  <c r="L18"/>
  <c r="M18"/>
  <c r="F19"/>
  <c r="G19"/>
  <c r="K19" s="1"/>
  <c r="H19"/>
  <c r="I19"/>
  <c r="J19"/>
  <c r="L19"/>
  <c r="M19"/>
  <c r="F20"/>
  <c r="G20"/>
  <c r="H20"/>
  <c r="I20"/>
  <c r="M20" s="1"/>
  <c r="J20"/>
  <c r="K20"/>
  <c r="L20"/>
  <c r="F21"/>
  <c r="J21" s="1"/>
  <c r="G21"/>
  <c r="K21" s="1"/>
  <c r="H21"/>
  <c r="I21"/>
  <c r="L21"/>
  <c r="M21"/>
  <c r="F22"/>
  <c r="G22"/>
  <c r="H22"/>
  <c r="L22" s="1"/>
  <c r="I22"/>
  <c r="M22" s="1"/>
  <c r="J22"/>
  <c r="K22"/>
  <c r="F23"/>
  <c r="G23"/>
  <c r="H23"/>
  <c r="I23"/>
  <c r="J23"/>
  <c r="K23"/>
  <c r="L23"/>
  <c r="M23"/>
  <c r="F24"/>
  <c r="G24"/>
  <c r="K24" s="1"/>
  <c r="H24"/>
  <c r="I24"/>
  <c r="J24"/>
  <c r="L24"/>
  <c r="M24"/>
  <c r="F25"/>
  <c r="G25"/>
  <c r="H25"/>
  <c r="I25"/>
  <c r="M25" s="1"/>
  <c r="J25"/>
  <c r="K25"/>
  <c r="L25"/>
  <c r="F26"/>
  <c r="J26" s="1"/>
  <c r="G26"/>
  <c r="K26" s="1"/>
  <c r="H26"/>
  <c r="I26"/>
  <c r="L26"/>
  <c r="M26"/>
  <c r="F27"/>
  <c r="G27"/>
  <c r="H27"/>
  <c r="L27" s="1"/>
  <c r="I27"/>
  <c r="M27" s="1"/>
  <c r="J27"/>
  <c r="K27"/>
  <c r="F28"/>
  <c r="G28"/>
  <c r="H28"/>
  <c r="I28"/>
  <c r="J28"/>
  <c r="K28"/>
  <c r="L28"/>
  <c r="M28"/>
  <c r="F29"/>
  <c r="G29"/>
  <c r="K29" s="1"/>
  <c r="H29"/>
  <c r="I29"/>
  <c r="J29"/>
  <c r="L29"/>
  <c r="M29"/>
  <c r="F30"/>
  <c r="G30"/>
  <c r="H30"/>
  <c r="I30"/>
  <c r="M30" s="1"/>
  <c r="J30"/>
  <c r="K30"/>
  <c r="L30"/>
  <c r="F31"/>
  <c r="J31" s="1"/>
  <c r="G31"/>
  <c r="K31" s="1"/>
  <c r="H31"/>
  <c r="I31"/>
  <c r="L31"/>
  <c r="M31"/>
  <c r="F32"/>
  <c r="G32"/>
  <c r="H32"/>
  <c r="L32" s="1"/>
  <c r="I32"/>
  <c r="M32" s="1"/>
  <c r="J32"/>
  <c r="K32"/>
  <c r="F33"/>
  <c r="G33"/>
  <c r="H33"/>
  <c r="I33"/>
  <c r="J33"/>
  <c r="K33"/>
  <c r="L33"/>
  <c r="M33"/>
  <c r="F34"/>
  <c r="G34"/>
  <c r="K34" s="1"/>
  <c r="H34"/>
  <c r="I34"/>
  <c r="J34"/>
  <c r="L34"/>
  <c r="M34"/>
  <c r="F35"/>
  <c r="G35"/>
  <c r="H35"/>
  <c r="I35"/>
  <c r="M35" s="1"/>
  <c r="J35"/>
  <c r="K35"/>
  <c r="L35"/>
  <c r="F36"/>
  <c r="J36" s="1"/>
  <c r="G36"/>
  <c r="K36" s="1"/>
  <c r="H36"/>
  <c r="I36"/>
  <c r="L36"/>
  <c r="M36"/>
  <c r="F37"/>
  <c r="G37"/>
  <c r="H37"/>
  <c r="L37" s="1"/>
  <c r="I37"/>
  <c r="M37" s="1"/>
  <c r="J37"/>
  <c r="K37"/>
  <c r="F38"/>
  <c r="G38"/>
  <c r="H38"/>
  <c r="I38"/>
  <c r="J38"/>
  <c r="K38"/>
  <c r="L38"/>
  <c r="M38"/>
  <c r="F39"/>
  <c r="G39"/>
  <c r="K39" s="1"/>
  <c r="H39"/>
  <c r="I39"/>
  <c r="J39"/>
  <c r="L39"/>
  <c r="M39"/>
  <c r="F40"/>
  <c r="G40"/>
  <c r="H40"/>
  <c r="I40"/>
  <c r="M40" s="1"/>
  <c r="J40"/>
  <c r="K40"/>
  <c r="L40"/>
  <c r="F41"/>
  <c r="J41" s="1"/>
  <c r="G41"/>
  <c r="K41" s="1"/>
  <c r="H41"/>
  <c r="I41"/>
  <c r="L41"/>
  <c r="M41"/>
  <c r="F42"/>
  <c r="G42"/>
  <c r="H42"/>
  <c r="L42" s="1"/>
  <c r="I42"/>
  <c r="M42" s="1"/>
  <c r="J42"/>
  <c r="K42"/>
  <c r="F43"/>
  <c r="G43"/>
  <c r="H43"/>
  <c r="I43"/>
  <c r="J43"/>
  <c r="K43"/>
  <c r="L43"/>
  <c r="M43"/>
  <c r="F44"/>
  <c r="G44"/>
  <c r="K44" s="1"/>
  <c r="H44"/>
  <c r="I44"/>
  <c r="J44"/>
  <c r="L44"/>
  <c r="M44"/>
  <c r="F45"/>
  <c r="G45"/>
  <c r="H45"/>
  <c r="I45"/>
  <c r="M45" s="1"/>
  <c r="J45"/>
  <c r="K45"/>
  <c r="L45"/>
  <c r="F46"/>
  <c r="J46" s="1"/>
  <c r="G46"/>
  <c r="K46" s="1"/>
  <c r="H46"/>
  <c r="I46"/>
  <c r="L46"/>
  <c r="M46"/>
  <c r="F47"/>
  <c r="G47"/>
  <c r="H47"/>
  <c r="L47" s="1"/>
  <c r="I47"/>
  <c r="M47" s="1"/>
  <c r="J47"/>
  <c r="K47"/>
  <c r="F48"/>
  <c r="G48"/>
  <c r="H48"/>
  <c r="I48"/>
  <c r="J48"/>
  <c r="K48"/>
  <c r="L48"/>
  <c r="M48"/>
  <c r="F49"/>
  <c r="G49"/>
  <c r="K49" s="1"/>
  <c r="H49"/>
  <c r="I49"/>
  <c r="J49"/>
  <c r="L49"/>
  <c r="M49"/>
  <c r="F50"/>
  <c r="G50"/>
  <c r="H50"/>
  <c r="I50"/>
  <c r="M50" s="1"/>
  <c r="J50"/>
  <c r="K50"/>
  <c r="L50"/>
  <c r="F51"/>
  <c r="J51" s="1"/>
  <c r="G51"/>
  <c r="K51" s="1"/>
  <c r="H51"/>
  <c r="I51"/>
  <c r="L51"/>
  <c r="M51"/>
  <c r="F52"/>
  <c r="G52"/>
  <c r="H52"/>
  <c r="L52" s="1"/>
  <c r="I52"/>
  <c r="M52" s="1"/>
  <c r="J52"/>
  <c r="K52"/>
  <c r="F53"/>
  <c r="G53"/>
  <c r="H53"/>
  <c r="I53"/>
  <c r="J53"/>
  <c r="K53"/>
  <c r="L53"/>
  <c r="M53"/>
  <c r="F54"/>
  <c r="G54"/>
  <c r="K54" s="1"/>
  <c r="H54"/>
  <c r="I54"/>
  <c r="J54"/>
  <c r="L54"/>
  <c r="M54"/>
  <c r="F55"/>
  <c r="G55"/>
  <c r="H55"/>
  <c r="I55"/>
  <c r="M55" s="1"/>
  <c r="J55"/>
  <c r="K55"/>
  <c r="L55"/>
  <c r="F56"/>
  <c r="J56" s="1"/>
  <c r="G56"/>
  <c r="K56" s="1"/>
  <c r="H56"/>
  <c r="I56"/>
  <c r="L56"/>
  <c r="M56"/>
  <c r="F57"/>
  <c r="G57"/>
  <c r="H57"/>
  <c r="L57" s="1"/>
  <c r="I57"/>
  <c r="M57" s="1"/>
  <c r="J57"/>
  <c r="K57"/>
  <c r="F58"/>
  <c r="G58"/>
  <c r="H58"/>
  <c r="I58"/>
  <c r="J58"/>
  <c r="K58"/>
  <c r="L58"/>
  <c r="M58"/>
  <c r="F59"/>
  <c r="G59"/>
  <c r="K59" s="1"/>
  <c r="H59"/>
  <c r="I59"/>
  <c r="J59"/>
  <c r="L59"/>
  <c r="M59"/>
  <c r="F60"/>
  <c r="G60"/>
  <c r="H60"/>
  <c r="I60"/>
  <c r="M60" s="1"/>
  <c r="J60"/>
  <c r="K60"/>
  <c r="L60"/>
  <c r="F61"/>
  <c r="J61" s="1"/>
  <c r="G61"/>
  <c r="K61" s="1"/>
  <c r="H61"/>
  <c r="I61"/>
  <c r="L61"/>
  <c r="M61"/>
  <c r="F62"/>
  <c r="G62"/>
  <c r="H62"/>
  <c r="L62" s="1"/>
  <c r="I62"/>
  <c r="M62" s="1"/>
  <c r="J62"/>
  <c r="K62"/>
  <c r="F63"/>
  <c r="G63"/>
  <c r="H63"/>
  <c r="I63"/>
  <c r="J63"/>
  <c r="K63"/>
  <c r="L63"/>
  <c r="M63"/>
  <c r="F64"/>
  <c r="G64"/>
  <c r="K64" s="1"/>
  <c r="H64"/>
  <c r="I64"/>
  <c r="J64"/>
  <c r="L64"/>
  <c r="M64"/>
  <c r="F65"/>
  <c r="G65"/>
  <c r="H65"/>
  <c r="I65"/>
  <c r="M65" s="1"/>
  <c r="J65"/>
  <c r="K65"/>
  <c r="L65"/>
  <c r="F66"/>
  <c r="J66" s="1"/>
  <c r="G66"/>
  <c r="K66" s="1"/>
  <c r="H66"/>
  <c r="I66"/>
  <c r="L66"/>
  <c r="M66"/>
  <c r="F67"/>
  <c r="G67"/>
  <c r="H67"/>
  <c r="L67" s="1"/>
  <c r="I67"/>
  <c r="M67" s="1"/>
  <c r="J67"/>
  <c r="K67"/>
  <c r="F68"/>
  <c r="G68"/>
  <c r="H68"/>
  <c r="I68"/>
  <c r="J68"/>
  <c r="K68"/>
  <c r="L68"/>
  <c r="M68"/>
  <c r="F69"/>
  <c r="G69"/>
  <c r="K69" s="1"/>
  <c r="H69"/>
  <c r="I69"/>
  <c r="J69"/>
  <c r="L69"/>
  <c r="M69"/>
  <c r="F70"/>
  <c r="G70"/>
  <c r="H70"/>
  <c r="I70"/>
  <c r="M70" s="1"/>
  <c r="J70"/>
  <c r="K70"/>
  <c r="L70"/>
  <c r="F71"/>
  <c r="J71" s="1"/>
  <c r="G71"/>
  <c r="K71" s="1"/>
  <c r="H71"/>
  <c r="I71"/>
  <c r="L71"/>
  <c r="M71"/>
  <c r="F72"/>
  <c r="G72"/>
  <c r="H72"/>
  <c r="L72" s="1"/>
  <c r="I72"/>
  <c r="M72" s="1"/>
  <c r="J72"/>
  <c r="K72"/>
  <c r="F73"/>
  <c r="G73"/>
  <c r="H73"/>
  <c r="I73"/>
  <c r="J73"/>
  <c r="K73"/>
  <c r="L73"/>
  <c r="M73"/>
  <c r="F74"/>
  <c r="G74"/>
  <c r="K74" s="1"/>
  <c r="H74"/>
  <c r="I74"/>
  <c r="J74"/>
  <c r="L74"/>
  <c r="M74"/>
  <c r="F75"/>
  <c r="G75"/>
  <c r="H75"/>
  <c r="I75"/>
  <c r="M75" s="1"/>
  <c r="J75"/>
  <c r="K75"/>
  <c r="L75"/>
  <c r="F76"/>
  <c r="J76" s="1"/>
  <c r="G76"/>
  <c r="K76" s="1"/>
  <c r="H76"/>
  <c r="I76"/>
  <c r="L76"/>
  <c r="M76"/>
  <c r="F77"/>
  <c r="G77"/>
  <c r="H77"/>
  <c r="L77" s="1"/>
  <c r="I77"/>
  <c r="M77" s="1"/>
  <c r="J77"/>
  <c r="K77"/>
  <c r="F78"/>
  <c r="G78"/>
  <c r="H78"/>
  <c r="I78"/>
  <c r="J78"/>
  <c r="K78"/>
  <c r="L78"/>
  <c r="M78"/>
  <c r="F79"/>
  <c r="G79"/>
  <c r="K79" s="1"/>
  <c r="H79"/>
  <c r="I79"/>
  <c r="J79"/>
  <c r="L79"/>
  <c r="M79"/>
  <c r="F80"/>
  <c r="G80"/>
  <c r="H80"/>
  <c r="I80"/>
  <c r="M80" s="1"/>
  <c r="J80"/>
  <c r="K80"/>
  <c r="L80"/>
  <c r="F81"/>
  <c r="J81" s="1"/>
  <c r="G81"/>
  <c r="K81" s="1"/>
  <c r="H81"/>
  <c r="I81"/>
  <c r="L81"/>
  <c r="M81"/>
  <c r="F82"/>
  <c r="G82"/>
  <c r="H82"/>
  <c r="L82" s="1"/>
  <c r="I82"/>
  <c r="M82" s="1"/>
  <c r="J82"/>
  <c r="K82"/>
  <c r="F83"/>
  <c r="G83"/>
  <c r="H83"/>
  <c r="I83"/>
  <c r="J83"/>
  <c r="K83"/>
  <c r="L83"/>
  <c r="M83"/>
  <c r="F84"/>
  <c r="G84"/>
  <c r="K84" s="1"/>
  <c r="H84"/>
  <c r="I84"/>
  <c r="J84"/>
  <c r="L84"/>
  <c r="M84"/>
  <c r="F85"/>
  <c r="G85"/>
  <c r="H85"/>
  <c r="I85"/>
  <c r="M85" s="1"/>
  <c r="J85"/>
  <c r="K85"/>
  <c r="L85"/>
  <c r="F86"/>
  <c r="J86" s="1"/>
  <c r="G86"/>
  <c r="K86" s="1"/>
  <c r="H86"/>
  <c r="I86"/>
  <c r="L86"/>
  <c r="M86"/>
  <c r="F87"/>
  <c r="G87"/>
  <c r="H87"/>
  <c r="L87" s="1"/>
  <c r="I87"/>
  <c r="M87" s="1"/>
  <c r="J87"/>
  <c r="K87"/>
  <c r="F88"/>
  <c r="G88"/>
  <c r="H88"/>
  <c r="I88"/>
  <c r="J88"/>
  <c r="K88"/>
  <c r="L88"/>
  <c r="M88"/>
  <c r="F89"/>
  <c r="G89"/>
  <c r="K89" s="1"/>
  <c r="H89"/>
  <c r="I89"/>
  <c r="J89"/>
  <c r="L89"/>
  <c r="M89"/>
  <c r="F90"/>
  <c r="G90"/>
  <c r="H90"/>
  <c r="I90"/>
  <c r="M90" s="1"/>
  <c r="J90"/>
  <c r="K90"/>
  <c r="L90"/>
  <c r="F91"/>
  <c r="J91" s="1"/>
  <c r="G91"/>
  <c r="K91" s="1"/>
  <c r="H91"/>
  <c r="I91"/>
  <c r="L91"/>
  <c r="M91"/>
  <c r="F92"/>
  <c r="G92"/>
  <c r="H92"/>
  <c r="L92" s="1"/>
  <c r="I92"/>
  <c r="M92" s="1"/>
  <c r="J92"/>
  <c r="K92"/>
  <c r="F93"/>
  <c r="G93"/>
  <c r="H93"/>
  <c r="I93"/>
  <c r="J93"/>
  <c r="K93"/>
  <c r="L93"/>
  <c r="M93"/>
  <c r="F94"/>
  <c r="G94"/>
  <c r="K94" s="1"/>
  <c r="H94"/>
  <c r="I94"/>
  <c r="J94"/>
  <c r="L94"/>
  <c r="M94"/>
  <c r="F95"/>
  <c r="G95"/>
  <c r="H95"/>
  <c r="I95"/>
  <c r="M95" s="1"/>
  <c r="J95"/>
  <c r="K95"/>
  <c r="L95"/>
  <c r="F96"/>
  <c r="J96" s="1"/>
  <c r="G96"/>
  <c r="K96" s="1"/>
  <c r="H96"/>
  <c r="I96"/>
  <c r="L96"/>
  <c r="M96"/>
  <c r="F97"/>
  <c r="G97"/>
  <c r="H97"/>
  <c r="L97" s="1"/>
  <c r="I97"/>
  <c r="M97" s="1"/>
  <c r="J97"/>
  <c r="K97"/>
  <c r="F98"/>
  <c r="G98"/>
  <c r="H98"/>
  <c r="I98"/>
  <c r="J98"/>
  <c r="K98"/>
  <c r="L98"/>
  <c r="M98"/>
  <c r="F99"/>
  <c r="G99"/>
  <c r="K99" s="1"/>
  <c r="H99"/>
  <c r="I99"/>
  <c r="J99"/>
  <c r="L99"/>
  <c r="M99"/>
  <c r="F100"/>
  <c r="G100"/>
  <c r="H100"/>
  <c r="I100"/>
  <c r="M100" s="1"/>
  <c r="J100"/>
  <c r="K100"/>
  <c r="L100"/>
  <c r="F101"/>
  <c r="J101" s="1"/>
  <c r="G101"/>
  <c r="K101" s="1"/>
  <c r="H101"/>
  <c r="I101"/>
  <c r="L101"/>
  <c r="M101"/>
  <c r="F102"/>
  <c r="G102"/>
  <c r="H102"/>
  <c r="L102" s="1"/>
  <c r="I102"/>
  <c r="M102" s="1"/>
  <c r="J102"/>
  <c r="K102"/>
  <c r="F103"/>
  <c r="G103"/>
  <c r="H103"/>
  <c r="I103"/>
  <c r="J103"/>
  <c r="K103"/>
  <c r="L103"/>
  <c r="M103"/>
  <c r="F104"/>
  <c r="G104"/>
  <c r="K104" s="1"/>
  <c r="H104"/>
  <c r="I104"/>
  <c r="J104"/>
  <c r="L104"/>
  <c r="M104"/>
  <c r="F105"/>
  <c r="G105"/>
  <c r="H105"/>
  <c r="I105"/>
  <c r="M105" s="1"/>
  <c r="J105"/>
  <c r="K105"/>
  <c r="L105"/>
  <c r="F106"/>
  <c r="J106" s="1"/>
  <c r="G106"/>
  <c r="K106" s="1"/>
  <c r="H106"/>
  <c r="I106"/>
  <c r="L106"/>
  <c r="M106"/>
  <c r="F107"/>
  <c r="G107"/>
  <c r="H107"/>
  <c r="L107" s="1"/>
  <c r="I107"/>
  <c r="M107" s="1"/>
  <c r="J107"/>
  <c r="K107"/>
  <c r="F108"/>
  <c r="G108"/>
  <c r="H108"/>
  <c r="I108"/>
  <c r="J108"/>
  <c r="K108"/>
  <c r="L108"/>
  <c r="M108"/>
  <c r="F109"/>
  <c r="G109"/>
  <c r="K109" s="1"/>
  <c r="H109"/>
  <c r="I109"/>
  <c r="J109"/>
  <c r="L109"/>
  <c r="M109"/>
  <c r="F110"/>
  <c r="G110"/>
  <c r="H110"/>
  <c r="I110"/>
  <c r="M110" s="1"/>
  <c r="J110"/>
  <c r="K110"/>
  <c r="L110"/>
  <c r="F111"/>
  <c r="J111" s="1"/>
  <c r="G111"/>
  <c r="K111" s="1"/>
  <c r="H111"/>
  <c r="I111"/>
  <c r="L111"/>
  <c r="M111"/>
  <c r="F112"/>
  <c r="G112"/>
  <c r="H112"/>
  <c r="L112" s="1"/>
  <c r="I112"/>
  <c r="M112" s="1"/>
  <c r="J112"/>
  <c r="K112"/>
  <c r="F113"/>
  <c r="G113"/>
  <c r="H113"/>
  <c r="I113"/>
  <c r="J113"/>
  <c r="K113"/>
  <c r="L113"/>
  <c r="M113"/>
  <c r="F114"/>
  <c r="G114"/>
  <c r="K114" s="1"/>
  <c r="H114"/>
  <c r="I114"/>
  <c r="J114"/>
  <c r="L114"/>
  <c r="M114"/>
  <c r="F115"/>
  <c r="G115"/>
  <c r="H115"/>
  <c r="I115"/>
  <c r="M115" s="1"/>
  <c r="J115"/>
  <c r="K115"/>
  <c r="L115"/>
  <c r="F116"/>
  <c r="J116" s="1"/>
  <c r="G116"/>
  <c r="K116" s="1"/>
  <c r="H116"/>
  <c r="I116"/>
  <c r="L116"/>
  <c r="M116"/>
  <c r="F117"/>
  <c r="G117"/>
  <c r="H117"/>
  <c r="L117" s="1"/>
  <c r="I117"/>
  <c r="M117" s="1"/>
  <c r="J117"/>
  <c r="K117"/>
  <c r="F118"/>
  <c r="G118"/>
  <c r="H118"/>
  <c r="I118"/>
  <c r="J118"/>
  <c r="K118"/>
  <c r="L118"/>
  <c r="M118"/>
  <c r="F119"/>
  <c r="G119"/>
  <c r="K119" s="1"/>
  <c r="H119"/>
  <c r="I119"/>
  <c r="J119"/>
  <c r="L119"/>
  <c r="M119"/>
  <c r="F120"/>
  <c r="G120"/>
  <c r="H120"/>
  <c r="I120"/>
  <c r="M120" s="1"/>
  <c r="J120"/>
  <c r="K120"/>
  <c r="L120"/>
  <c r="F121"/>
  <c r="J121" s="1"/>
  <c r="G121"/>
  <c r="K121" s="1"/>
  <c r="H121"/>
  <c r="I121"/>
  <c r="L121"/>
  <c r="M121"/>
  <c r="F122"/>
  <c r="G122"/>
  <c r="H122"/>
  <c r="L122" s="1"/>
  <c r="I122"/>
  <c r="M122" s="1"/>
  <c r="J122"/>
  <c r="K122"/>
  <c r="F123"/>
  <c r="G123"/>
  <c r="H123"/>
  <c r="I123"/>
  <c r="J123"/>
  <c r="K123"/>
  <c r="L123"/>
  <c r="M123"/>
  <c r="F124"/>
  <c r="G124"/>
  <c r="K124" s="1"/>
  <c r="H124"/>
  <c r="I124"/>
  <c r="J124"/>
  <c r="L124"/>
  <c r="M124"/>
  <c r="F125"/>
  <c r="G125"/>
  <c r="H125"/>
  <c r="I125"/>
  <c r="M125" s="1"/>
  <c r="J125"/>
  <c r="K125"/>
  <c r="L125"/>
  <c r="F126"/>
  <c r="J126" s="1"/>
  <c r="G126"/>
  <c r="K126" s="1"/>
  <c r="H126"/>
  <c r="I126"/>
  <c r="L126"/>
  <c r="M126"/>
  <c r="F127"/>
  <c r="G127"/>
  <c r="H127"/>
  <c r="L127" s="1"/>
  <c r="I127"/>
  <c r="M127" s="1"/>
  <c r="J127"/>
  <c r="K127"/>
  <c r="F128"/>
  <c r="G128"/>
  <c r="H128"/>
  <c r="I128"/>
  <c r="J128"/>
  <c r="K128"/>
  <c r="L128"/>
  <c r="M128"/>
  <c r="F129"/>
  <c r="G129"/>
  <c r="K129" s="1"/>
  <c r="H129"/>
  <c r="I129"/>
  <c r="J129"/>
  <c r="L129"/>
  <c r="M129"/>
  <c r="F130"/>
  <c r="G130"/>
  <c r="H130"/>
  <c r="I130"/>
  <c r="M130" s="1"/>
  <c r="J130"/>
  <c r="K130"/>
  <c r="L130"/>
  <c r="F131"/>
  <c r="J131" s="1"/>
  <c r="G131"/>
  <c r="K131" s="1"/>
  <c r="H131"/>
  <c r="I131"/>
  <c r="L131"/>
  <c r="M131"/>
  <c r="F132"/>
  <c r="G132"/>
  <c r="H132"/>
  <c r="L132" s="1"/>
  <c r="I132"/>
  <c r="M132" s="1"/>
  <c r="J132"/>
  <c r="K132"/>
  <c r="F133"/>
  <c r="G133"/>
  <c r="H133"/>
  <c r="I133"/>
  <c r="J133"/>
  <c r="K133"/>
  <c r="L133"/>
  <c r="M133"/>
  <c r="F134"/>
  <c r="G134"/>
  <c r="K134" s="1"/>
  <c r="H134"/>
  <c r="I134"/>
  <c r="J134"/>
  <c r="L134"/>
  <c r="M134"/>
  <c r="F135"/>
  <c r="G135"/>
  <c r="H135"/>
  <c r="I135"/>
  <c r="M135" s="1"/>
  <c r="J135"/>
  <c r="K135"/>
  <c r="L135"/>
  <c r="F136"/>
  <c r="J136" s="1"/>
  <c r="G136"/>
  <c r="K136" s="1"/>
  <c r="H136"/>
  <c r="I136"/>
  <c r="L136"/>
  <c r="M136"/>
  <c r="F137"/>
  <c r="G137"/>
  <c r="H137"/>
  <c r="L137" s="1"/>
  <c r="I137"/>
  <c r="M137" s="1"/>
  <c r="J137"/>
  <c r="K137"/>
  <c r="F138"/>
  <c r="G138"/>
  <c r="H138"/>
  <c r="I138"/>
  <c r="J138"/>
  <c r="K138"/>
  <c r="L138"/>
  <c r="M138"/>
  <c r="F139"/>
  <c r="G139"/>
  <c r="K139" s="1"/>
  <c r="H139"/>
  <c r="I139"/>
  <c r="J139"/>
  <c r="L139"/>
  <c r="M139"/>
  <c r="F140"/>
  <c r="G140"/>
  <c r="H140"/>
  <c r="I140"/>
  <c r="M140" s="1"/>
  <c r="J140"/>
  <c r="K140"/>
  <c r="L140"/>
  <c r="F141"/>
  <c r="J141" s="1"/>
  <c r="G141"/>
  <c r="K141" s="1"/>
  <c r="H141"/>
  <c r="I141"/>
  <c r="L141"/>
  <c r="M141"/>
  <c r="F142"/>
  <c r="G142"/>
  <c r="H142"/>
  <c r="L142" s="1"/>
  <c r="I142"/>
  <c r="M142" s="1"/>
  <c r="J142"/>
  <c r="K142"/>
  <c r="F143"/>
  <c r="G143"/>
  <c r="H143"/>
  <c r="I143"/>
  <c r="J143"/>
  <c r="K143"/>
  <c r="L143"/>
  <c r="M143"/>
  <c r="F144"/>
  <c r="G144"/>
  <c r="K144" s="1"/>
  <c r="H144"/>
  <c r="I144"/>
  <c r="J144"/>
  <c r="L144"/>
  <c r="M144"/>
  <c r="M2"/>
  <c r="L2"/>
  <c r="K2"/>
  <c r="J2"/>
  <c r="I2"/>
  <c r="H2"/>
  <c r="G2"/>
  <c r="F2"/>
</calcChain>
</file>

<file path=xl/sharedStrings.xml><?xml version="1.0" encoding="utf-8"?>
<sst xmlns="http://schemas.openxmlformats.org/spreadsheetml/2006/main" count="965" uniqueCount="166">
  <si>
    <t>setting</t>
  </si>
  <si>
    <t>Box-F1</t>
  </si>
  <si>
    <t>mAP50</t>
  </si>
  <si>
    <t>mAP50-95</t>
  </si>
  <si>
    <t>Mask-F1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</si>
  <si>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</si>
  <si>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</si>
  <si>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</si>
  <si>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</si>
  <si>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</si>
  <si>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</si>
  <si>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ft21fin_SGD_finloop.pt_feval.csv</t>
  </si>
  <si>
    <t>ft21v8_SGD_feval.csv</t>
  </si>
  <si>
    <t>ft21v8_SGD_yolov8l-seg.pt_feval.csv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</si>
  <si>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</si>
  <si>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</si>
  <si>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</si>
  <si>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</si>
  <si>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</si>
  <si>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</si>
  <si>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</si>
  <si>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</si>
  <si>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</si>
  <si>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</si>
  <si>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</si>
  <si>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</si>
  <si>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</si>
  <si>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</si>
  <si>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</si>
  <si>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</si>
  <si>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</si>
  <si>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</si>
  <si>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</si>
  <si>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</si>
  <si>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</si>
  <si>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</si>
  <si>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</si>
  <si>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</si>
  <si>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</si>
  <si>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</si>
  <si>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</si>
  <si>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</si>
  <si>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</si>
  <si>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</si>
  <si>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</si>
  <si>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</si>
  <si>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</si>
  <si>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</si>
  <si>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</si>
  <si>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</si>
  <si>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</si>
  <si>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</si>
  <si>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</si>
  <si>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</si>
  <si>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</si>
  <si>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</si>
  <si>
    <t>ft29_AdamW_feval.csv</t>
  </si>
  <si>
    <t>ft29_AdamW_finloop.pt_feval.csv</t>
  </si>
  <si>
    <t>ft29_SGD_feval.csv</t>
  </si>
  <si>
    <t>ft29_SGD_finloop.pt_feval.csv</t>
  </si>
  <si>
    <t>ft30_AdamW_feval.csv</t>
  </si>
  <si>
    <t>ft30_AdamW_finloop.pt_feval.csv</t>
  </si>
  <si>
    <t>ft30_SGD_feval.csv</t>
  </si>
  <si>
    <t>ft30_SGD_finloop.pt_feval.csv</t>
  </si>
  <si>
    <t>ft31_AdamW_feval.csv</t>
  </si>
  <si>
    <t>ft31_AdamW_finloop.pt_feval.csv</t>
  </si>
  <si>
    <t>ft31_SGD_feval.csv</t>
  </si>
  <si>
    <t>ft31_SGD_finloop.pt_feval.csv</t>
  </si>
  <si>
    <t>ft32_AdamW_feval.csv</t>
  </si>
  <si>
    <t>ft32_AdamW_finloop.pt_feval.csv</t>
  </si>
  <si>
    <t>ft32_SGD_feval.csv</t>
  </si>
  <si>
    <t>ft32_SGD_finloop.pt_feval.csv</t>
  </si>
  <si>
    <t>ft33_AdamW_feval.csv</t>
  </si>
  <si>
    <t>ft33_AdamW_finloop.pt_feval.csv</t>
  </si>
  <si>
    <t>ft33_SGD_feval.csv</t>
  </si>
  <si>
    <t>ft33_SGD_finloop.pt_feval.csv</t>
  </si>
  <si>
    <t>ft34_AdamW_finloop.pt_feval.csv</t>
  </si>
  <si>
    <t>ft34_Adam_finloop.pt_feval.csv</t>
  </si>
  <si>
    <t>ft34_auto_finloop.pt_feval.csv</t>
  </si>
  <si>
    <t>ft34_SGD_finloop.pt_feval.csv</t>
  </si>
  <si>
    <t>ft35_AdamW_finloop.pt_feval.csv</t>
  </si>
  <si>
    <t>ft35_Adam_finloop.pt_feval.csv</t>
  </si>
  <si>
    <t>ft35_auto_finloop.pt_feval.csv</t>
  </si>
  <si>
    <t>ft35_SGD_finloop.pt_feval.csv</t>
  </si>
  <si>
    <t>ft36_AdamW_finloop.pt_feval.csv</t>
  </si>
  <si>
    <t>ft36_Adam_finloop.pt_feval.csv</t>
  </si>
  <si>
    <t>ft36_auto_finloop.pt_feval.csv</t>
  </si>
  <si>
    <t>ft36_SGD_finloop.pt_feval.csv</t>
  </si>
  <si>
    <t>ft37_AdamW_finloop.pt_feval.csv</t>
  </si>
  <si>
    <t>ft37_Adam_finloop.pt_feval.csv</t>
  </si>
  <si>
    <t>ft37_auto_finloop.pt_feval.csv</t>
  </si>
  <si>
    <t>ft37_SGD_finloop.pt_feval.csv</t>
  </si>
  <si>
    <t>ft38_AdamW_finloop.pt_feval.csv</t>
  </si>
  <si>
    <t>ft38_Adam_finloop.pt_feval.csv</t>
  </si>
  <si>
    <t>ft38_auto_finloop.pt_feval.csv</t>
  </si>
  <si>
    <t>ft38_SGD_finloop.pt_feval.csv</t>
  </si>
  <si>
    <t>ft39_AdamW_finloop.pt_feval.csv</t>
  </si>
  <si>
    <t>ft39_Adam_finloop.pt_feval.csv</t>
  </si>
  <si>
    <t>ft39_auto_finloop.pt_feval.csv</t>
  </si>
  <si>
    <t>ft39_SGD_finloop.pt_feval.csv</t>
  </si>
  <si>
    <t>ft40_AdamW_finloop.pt_feval.csv</t>
  </si>
  <si>
    <t>ft40_Adam_finloop.pt_feval.csv</t>
  </si>
  <si>
    <t>ft40_auto_finloop.pt_feval.csv</t>
  </si>
  <si>
    <t>ft40_SGD_finloop.pt_feval.csv</t>
  </si>
  <si>
    <t>ft41_AdamW_finloop.pt_feval.csv</t>
  </si>
  <si>
    <t>ft41_Adam_finloop.pt_feval.csv</t>
  </si>
  <si>
    <t>ft41_auto_finloop.pt_feval.csv</t>
  </si>
  <si>
    <t>ft41_SGD_finloop.pt_feval.csv</t>
  </si>
  <si>
    <t>ft42_AdamW_finloop.pt_feval.csv</t>
  </si>
  <si>
    <t>ft42_Adam_finloop.pt_feval.csv</t>
  </si>
  <si>
    <t>ft42_auto_finloop.pt_feval.csv</t>
  </si>
  <si>
    <t>ft42_SGD_finloop.pt_feval.csv</t>
  </si>
  <si>
    <t>ft43cos_AdamW_feval.csv</t>
  </si>
  <si>
    <t>ft43cos_AdamW_finloop.pt_feval.csv</t>
  </si>
  <si>
    <t>ft43cos_Adam_finloop.pt_feval.csv</t>
  </si>
  <si>
    <t>ft43cos_auto_finloop.pt_feval.csv</t>
  </si>
  <si>
    <t>ft43cos_SGD_feval.csv</t>
  </si>
  <si>
    <t>ft43cos_SGD_finloop.pt_feval.csv</t>
  </si>
  <si>
    <t>ft43_AdamW_feval.csv</t>
  </si>
  <si>
    <t>ft43_AdamW_finloop.pt_feval.csv</t>
  </si>
  <si>
    <t>ft43_Adam_finloop.pt_feval.csv</t>
  </si>
  <si>
    <t>ft43_auto_finloop.pt_feval.csv</t>
  </si>
  <si>
    <t>ft43_SGD_feval.csv</t>
  </si>
  <si>
    <t>ft43_SGD_finloop.pt_feval.csv</t>
  </si>
  <si>
    <t>ft44cos_AdamW_feval.csv</t>
  </si>
  <si>
    <t>ft44cos_AdamW_finloop.pt_feval.csv</t>
  </si>
  <si>
    <t>ft44cos_Adam_finloop.pt_feval.csv</t>
  </si>
  <si>
    <t>ft44cos_auto_finloop.pt_feval.csv</t>
  </si>
  <si>
    <t>ft44cos_SGD_feval.csv</t>
  </si>
  <si>
    <t>ft44cos_SGD_finloop.pt_feval.csv</t>
  </si>
  <si>
    <t>ft44_AdamW_feval.csv</t>
  </si>
  <si>
    <t>ft44_AdamW_finloop.pt_feval.csv</t>
  </si>
  <si>
    <t>ft44_Adam_finloop.pt_feval.csv</t>
  </si>
  <si>
    <t>ft44_auto_finloop.pt_feval.csv</t>
  </si>
  <si>
    <t>ft44_SGD_feval.csv</t>
  </si>
  <si>
    <t>ft44_SGD_finloop.pt_feval.csv</t>
  </si>
  <si>
    <t>ft45cos_AdamW_feval.csv</t>
  </si>
  <si>
    <t>ft45cos_AdamW_finloop.pt_feval.csv</t>
  </si>
  <si>
    <t>ft45cos_Adam_finloop.pt_feval.csv</t>
  </si>
  <si>
    <t>ft45cos_auto_finloop.pt_feval.csv</t>
  </si>
  <si>
    <t>ft45cos_SGD_feval.csv</t>
  </si>
  <si>
    <t>ft45cos_SGD_finloop.pt_feval.csv</t>
  </si>
  <si>
    <t>ft45_AdamW_feval.csv</t>
  </si>
  <si>
    <t>ft45_AdamW_finloop.pt_feval.csv</t>
  </si>
  <si>
    <t>ft45_Adam_finloop.pt_feval.csv</t>
  </si>
  <si>
    <t>ft45_auto_finloop.pt_feval.csv</t>
  </si>
  <si>
    <t>ft45_SGD_feval.csv</t>
  </si>
  <si>
    <t>ft45_SGD_finloop.pt_feval.csv</t>
  </si>
  <si>
    <t>zm-B-F1</t>
  </si>
  <si>
    <t>zm-mAP50</t>
  </si>
  <si>
    <t>zm-mAP50-95</t>
  </si>
  <si>
    <t>zm-M-F1</t>
  </si>
  <si>
    <t>zmp-B-F1</t>
  </si>
  <si>
    <t>zmp-mAP50</t>
  </si>
  <si>
    <t>zmp-mAP50-95</t>
  </si>
  <si>
    <t>zmp-M-F1</t>
  </si>
  <si>
    <t>rpB-F1</t>
  </si>
  <si>
    <t>rpAP50</t>
  </si>
  <si>
    <t>rpAP50-95</t>
  </si>
  <si>
    <t>rpM-F1</t>
  </si>
  <si>
    <t>rpF1</t>
  </si>
  <si>
    <t>finloop</t>
  </si>
  <si>
    <t>B-mAP50</t>
  </si>
  <si>
    <t>B-mAP50-95</t>
  </si>
  <si>
    <t>M-mAP50</t>
  </si>
  <si>
    <t>M-mAP50-95</t>
  </si>
</sst>
</file>

<file path=xl/styles.xml><?xml version="1.0" encoding="utf-8"?>
<styleSheet xmlns="http://schemas.openxmlformats.org/spreadsheetml/2006/main">
  <numFmts count="3">
    <numFmt numFmtId="43" formatCode="_-* #,##0.00\ _z_ł_-;\-* #,##0.00\ _z_ł_-;_-* &quot;-&quot;??\ _z_ł_-;_-@_-"/>
    <numFmt numFmtId="164" formatCode="_-* #,##0.000\ _z_ł_-;\-* #,##0.000\ _z_ł_-;_-* &quot;-&quot;??\ _z_ł_-;_-@_-"/>
    <numFmt numFmtId="165" formatCode="_-* #,##0.0000\ _z_ł_-;\-* #,##0.0000\ _z_ł_-;_-* &quot;-&quot;??\ _z_ł_-;_-@_-"/>
  </numFmts>
  <fonts count="3">
    <font>
      <sz val="11"/>
      <color theme="1"/>
      <name val="Czcionka tekstu podstawowego"/>
      <family val="2"/>
      <charset val="238"/>
    </font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9" fontId="0" fillId="0" borderId="0" xfId="2" applyFont="1"/>
    <xf numFmtId="43" fontId="0" fillId="0" borderId="0" xfId="1" applyFont="1"/>
    <xf numFmtId="164" fontId="0" fillId="0" borderId="0" xfId="1" applyNumberFormat="1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43" fontId="0" fillId="0" borderId="0" xfId="0" applyNumberFormat="1"/>
    <xf numFmtId="43" fontId="0" fillId="0" borderId="1" xfId="1" applyFont="1" applyBorder="1"/>
    <xf numFmtId="0" fontId="0" fillId="0" borderId="1" xfId="0" applyBorder="1"/>
    <xf numFmtId="43" fontId="0" fillId="0" borderId="1" xfId="0" applyNumberFormat="1" applyBorder="1"/>
    <xf numFmtId="0" fontId="0" fillId="3" borderId="0" xfId="0" applyFill="1"/>
    <xf numFmtId="43" fontId="0" fillId="3" borderId="0" xfId="1" applyFont="1" applyFill="1"/>
    <xf numFmtId="0" fontId="0" fillId="4" borderId="0" xfId="0" applyFill="1"/>
    <xf numFmtId="165" fontId="0" fillId="0" borderId="0" xfId="1" applyNumberFormat="1" applyFont="1"/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44"/>
  <sheetViews>
    <sheetView workbookViewId="0">
      <selection activeCell="H18" sqref="H18"/>
    </sheetView>
  </sheetViews>
  <sheetFormatPr defaultRowHeight="13.8"/>
  <cols>
    <col min="1" max="1" width="31.296875" bestFit="1" customWidth="1"/>
    <col min="2" max="2" width="7.3984375" style="2" customWidth="1"/>
    <col min="3" max="3" width="9.59765625" style="2" bestFit="1" customWidth="1"/>
    <col min="4" max="4" width="12.19921875" style="2" bestFit="1" customWidth="1"/>
    <col min="5" max="5" width="9.8984375" style="2" bestFit="1" customWidth="1"/>
    <col min="6" max="6" width="12.5" style="2" bestFit="1" customWidth="1"/>
    <col min="7" max="7" width="9.09765625" style="2" bestFit="1" customWidth="1"/>
    <col min="8" max="13" width="9.09765625" style="2" customWidth="1"/>
    <col min="14" max="14" width="7.59765625" bestFit="1" customWidth="1"/>
    <col min="15" max="15" width="9.3984375" bestFit="1" customWidth="1"/>
    <col min="16" max="16" width="12" bestFit="1" customWidth="1"/>
    <col min="17" max="18" width="12" customWidth="1"/>
    <col min="19" max="19" width="7.8984375" bestFit="1" customWidth="1"/>
    <col min="20" max="20" width="9.8984375" customWidth="1"/>
  </cols>
  <sheetData>
    <row r="1" spans="1:27">
      <c r="A1" t="s">
        <v>0</v>
      </c>
      <c r="B1" s="2" t="s">
        <v>1</v>
      </c>
      <c r="C1" s="2" t="s">
        <v>162</v>
      </c>
      <c r="D1" s="2" t="s">
        <v>163</v>
      </c>
      <c r="E1" s="2" t="s">
        <v>164</v>
      </c>
      <c r="F1" s="2" t="s">
        <v>165</v>
      </c>
      <c r="G1" s="8" t="s">
        <v>4</v>
      </c>
      <c r="H1" s="2" t="str">
        <f>CONCATENATE("r",B1)</f>
        <v>rBox-F1</v>
      </c>
      <c r="I1" s="2" t="str">
        <f t="shared" ref="I1:M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si="0"/>
        <v>rM-mAP50-95</v>
      </c>
      <c r="M1" s="8" t="str">
        <f t="shared" si="0"/>
        <v>rMask-F1</v>
      </c>
      <c r="N1" t="str">
        <f>CONCATENATE("d",B1)</f>
        <v>dBox-F1</v>
      </c>
      <c r="O1" t="str">
        <f t="shared" ref="O1:R1" si="1">CONCATENATE("d",C1)</f>
        <v>dB-mAP50</v>
      </c>
      <c r="P1" t="str">
        <f t="shared" si="1"/>
        <v>dB-mAP50-95</v>
      </c>
      <c r="Q1" t="str">
        <f t="shared" si="1"/>
        <v>dM-mAP50</v>
      </c>
      <c r="R1" t="str">
        <f t="shared" si="1"/>
        <v>dM-mAP50-95</v>
      </c>
      <c r="S1" t="str">
        <f>CONCATENATE("d",G1)</f>
        <v>dMask-F1</v>
      </c>
      <c r="V1" t="s">
        <v>1</v>
      </c>
      <c r="W1" t="s">
        <v>162</v>
      </c>
      <c r="X1" t="s">
        <v>163</v>
      </c>
      <c r="Y1" t="s">
        <v>164</v>
      </c>
      <c r="Z1" t="s">
        <v>165</v>
      </c>
      <c r="AA1" t="s">
        <v>4</v>
      </c>
    </row>
    <row r="2" spans="1:27">
      <c r="A2" t="s">
        <v>5</v>
      </c>
      <c r="B2" s="2">
        <v>0.28299999999999997</v>
      </c>
      <c r="C2" s="2">
        <v>0.17799999999999999</v>
      </c>
      <c r="D2" s="2">
        <v>6.7000000000000004E-2</v>
      </c>
      <c r="E2" s="2">
        <v>0</v>
      </c>
      <c r="F2" s="2">
        <v>0</v>
      </c>
      <c r="G2" s="8">
        <v>0</v>
      </c>
      <c r="H2" s="7">
        <f t="shared" ref="H2:H33" si="2">B2-V$2</f>
        <v>-0.188</v>
      </c>
      <c r="I2" s="7">
        <f t="shared" ref="I2:I33" si="3">C2-W$2</f>
        <v>-0.20100000000000001</v>
      </c>
      <c r="J2" s="7">
        <f t="shared" ref="J2:J33" si="4">D2-X$2</f>
        <v>-0.13500000000000001</v>
      </c>
      <c r="K2" s="7">
        <f t="shared" ref="K2:K33" si="5">E2-Y$2</f>
        <v>-7.1185883783579498E-2</v>
      </c>
      <c r="L2" s="7">
        <f t="shared" ref="L2:L33" si="6">F2-Z$2</f>
        <v>-1.51306484795731E-2</v>
      </c>
      <c r="M2" s="10">
        <f t="shared" ref="M2:M33" si="7">G2-AA$2</f>
        <v>-0.17799999999999999</v>
      </c>
      <c r="N2" s="1">
        <f t="shared" ref="N2:N33" si="8">(B2-V$2)/V$2</f>
        <v>-0.39915074309978771</v>
      </c>
      <c r="O2" s="1">
        <f t="shared" ref="O2:O33" si="9">(C2-W$2)/W$2</f>
        <v>-0.53034300791556732</v>
      </c>
      <c r="P2" s="1">
        <f t="shared" ref="P2:P33" si="10">(D2-X$2)/X$2</f>
        <v>-0.66831683168316836</v>
      </c>
      <c r="Q2" s="1">
        <f t="shared" ref="Q2:Q33" si="11">(E2-Y$2)/Y$2</f>
        <v>-1</v>
      </c>
      <c r="R2" s="1">
        <f t="shared" ref="R2:R33" si="12">(F2-Z$2)/Z$2</f>
        <v>-1</v>
      </c>
      <c r="S2" s="1">
        <f t="shared" ref="S2:S33" si="13">(G2-AA$2)/AA$2</f>
        <v>-1</v>
      </c>
      <c r="T2" s="1"/>
      <c r="U2" t="s">
        <v>161</v>
      </c>
      <c r="V2">
        <v>0.47099999999999997</v>
      </c>
      <c r="W2">
        <v>0.379</v>
      </c>
      <c r="X2">
        <v>0.20200000000000001</v>
      </c>
      <c r="Y2" s="2">
        <v>7.1185883783579498E-2</v>
      </c>
      <c r="Z2" s="2">
        <v>1.51306484795731E-2</v>
      </c>
      <c r="AA2">
        <v>0.17799999999999999</v>
      </c>
    </row>
    <row r="3" spans="1:27">
      <c r="A3" t="s">
        <v>6</v>
      </c>
      <c r="B3" s="2">
        <v>0.183</v>
      </c>
      <c r="C3" s="2">
        <v>0.107</v>
      </c>
      <c r="D3" s="2">
        <v>3.7999999999999999E-2</v>
      </c>
      <c r="E3" s="2">
        <v>0.105</v>
      </c>
      <c r="F3" s="2">
        <v>3.4500000000000003E-2</v>
      </c>
      <c r="G3" s="8">
        <v>0.17100000000000001</v>
      </c>
      <c r="H3" s="7">
        <f t="shared" si="2"/>
        <v>-0.28799999999999998</v>
      </c>
      <c r="I3" s="7">
        <f t="shared" si="3"/>
        <v>-0.27200000000000002</v>
      </c>
      <c r="J3" s="7">
        <f t="shared" si="4"/>
        <v>-0.16400000000000001</v>
      </c>
      <c r="K3" s="7">
        <f t="shared" si="5"/>
        <v>3.3814116216420498E-2</v>
      </c>
      <c r="L3" s="7">
        <f t="shared" si="6"/>
        <v>1.9369351520426903E-2</v>
      </c>
      <c r="M3" s="10">
        <f t="shared" si="7"/>
        <v>-6.9999999999999785E-3</v>
      </c>
      <c r="N3" s="1">
        <f t="shared" si="8"/>
        <v>-0.61146496815286622</v>
      </c>
      <c r="O3" s="1">
        <f t="shared" si="9"/>
        <v>-0.71767810026385226</v>
      </c>
      <c r="P3" s="1">
        <f t="shared" si="10"/>
        <v>-0.81188118811881183</v>
      </c>
      <c r="Q3" s="1">
        <f t="shared" si="11"/>
        <v>0.4750115390745549</v>
      </c>
      <c r="R3" s="1">
        <f t="shared" si="12"/>
        <v>1.2801402098909507</v>
      </c>
      <c r="S3" s="1">
        <f t="shared" si="13"/>
        <v>-3.9325842696629094E-2</v>
      </c>
      <c r="T3" s="1"/>
    </row>
    <row r="4" spans="1:27">
      <c r="A4" t="s">
        <v>7</v>
      </c>
      <c r="B4" s="2">
        <v>0.24099999999999999</v>
      </c>
      <c r="C4" s="2">
        <v>0.14899999999999999</v>
      </c>
      <c r="D4" s="2">
        <v>4.1000000000000002E-2</v>
      </c>
      <c r="E4" s="2">
        <v>0</v>
      </c>
      <c r="F4" s="2">
        <v>0</v>
      </c>
      <c r="G4" s="8">
        <v>0</v>
      </c>
      <c r="H4" s="7">
        <f t="shared" si="2"/>
        <v>-0.22999999999999998</v>
      </c>
      <c r="I4" s="7">
        <f t="shared" si="3"/>
        <v>-0.23</v>
      </c>
      <c r="J4" s="7">
        <f t="shared" si="4"/>
        <v>-0.161</v>
      </c>
      <c r="K4" s="7">
        <f t="shared" si="5"/>
        <v>-7.1185883783579498E-2</v>
      </c>
      <c r="L4" s="7">
        <f t="shared" si="6"/>
        <v>-1.51306484795731E-2</v>
      </c>
      <c r="M4" s="10">
        <f t="shared" si="7"/>
        <v>-0.17799999999999999</v>
      </c>
      <c r="N4" s="1">
        <f t="shared" si="8"/>
        <v>-0.48832271762208068</v>
      </c>
      <c r="O4" s="1">
        <f t="shared" si="9"/>
        <v>-0.60686015831134565</v>
      </c>
      <c r="P4" s="1">
        <f t="shared" si="10"/>
        <v>-0.79702970297029696</v>
      </c>
      <c r="Q4" s="1">
        <f t="shared" si="11"/>
        <v>-1</v>
      </c>
      <c r="R4" s="1">
        <f t="shared" si="12"/>
        <v>-1</v>
      </c>
      <c r="S4" s="1">
        <f t="shared" si="13"/>
        <v>-1</v>
      </c>
      <c r="T4" s="1"/>
    </row>
    <row r="5" spans="1:27">
      <c r="A5" t="s">
        <v>8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8">
        <v>0</v>
      </c>
      <c r="H5" s="7">
        <f t="shared" si="2"/>
        <v>-0.47099999999999997</v>
      </c>
      <c r="I5" s="7">
        <f t="shared" si="3"/>
        <v>-0.379</v>
      </c>
      <c r="J5" s="7">
        <f t="shared" si="4"/>
        <v>-0.20200000000000001</v>
      </c>
      <c r="K5" s="7">
        <f t="shared" si="5"/>
        <v>-7.1185883783579498E-2</v>
      </c>
      <c r="L5" s="7">
        <f t="shared" si="6"/>
        <v>-1.51306484795731E-2</v>
      </c>
      <c r="M5" s="10">
        <f t="shared" si="7"/>
        <v>-0.17799999999999999</v>
      </c>
      <c r="N5" s="1">
        <f t="shared" si="8"/>
        <v>-1</v>
      </c>
      <c r="O5" s="1">
        <f t="shared" si="9"/>
        <v>-1</v>
      </c>
      <c r="P5" s="1">
        <f t="shared" si="10"/>
        <v>-1</v>
      </c>
      <c r="Q5" s="1">
        <f t="shared" si="11"/>
        <v>-1</v>
      </c>
      <c r="R5" s="1">
        <f t="shared" si="12"/>
        <v>-1</v>
      </c>
      <c r="S5" s="1">
        <f t="shared" si="13"/>
        <v>-1</v>
      </c>
      <c r="T5" s="1"/>
    </row>
    <row r="6" spans="1:27">
      <c r="A6" t="s">
        <v>9</v>
      </c>
      <c r="B6" s="2">
        <v>0.26</v>
      </c>
      <c r="C6" s="2">
        <v>0.184</v>
      </c>
      <c r="D6" s="2">
        <v>5.6000000000000001E-2</v>
      </c>
      <c r="E6" s="2">
        <v>0</v>
      </c>
      <c r="F6" s="2">
        <v>0</v>
      </c>
      <c r="G6" s="8">
        <v>0</v>
      </c>
      <c r="H6" s="7">
        <f t="shared" si="2"/>
        <v>-0.21099999999999997</v>
      </c>
      <c r="I6" s="7">
        <f t="shared" si="3"/>
        <v>-0.19500000000000001</v>
      </c>
      <c r="J6" s="7">
        <f t="shared" si="4"/>
        <v>-0.14600000000000002</v>
      </c>
      <c r="K6" s="7">
        <f t="shared" si="5"/>
        <v>-7.1185883783579498E-2</v>
      </c>
      <c r="L6" s="7">
        <f t="shared" si="6"/>
        <v>-1.51306484795731E-2</v>
      </c>
      <c r="M6" s="10">
        <f t="shared" si="7"/>
        <v>-0.17799999999999999</v>
      </c>
      <c r="N6" s="1">
        <f t="shared" si="8"/>
        <v>-0.44798301486199571</v>
      </c>
      <c r="O6" s="1">
        <f t="shared" si="9"/>
        <v>-0.51451187335092352</v>
      </c>
      <c r="P6" s="1">
        <f t="shared" si="10"/>
        <v>-0.72277227722772286</v>
      </c>
      <c r="Q6" s="1">
        <f t="shared" si="11"/>
        <v>-1</v>
      </c>
      <c r="R6" s="1">
        <f t="shared" si="12"/>
        <v>-1</v>
      </c>
      <c r="S6" s="1">
        <f t="shared" si="13"/>
        <v>-1</v>
      </c>
      <c r="T6" s="1"/>
    </row>
    <row r="7" spans="1:27">
      <c r="A7" t="s">
        <v>10</v>
      </c>
      <c r="B7" s="2">
        <v>0.184</v>
      </c>
      <c r="C7" s="2">
        <v>0.14299999999999999</v>
      </c>
      <c r="D7" s="2">
        <v>5.6000000000000001E-2</v>
      </c>
      <c r="E7" s="2">
        <v>0.10199999999999999</v>
      </c>
      <c r="F7" s="2">
        <v>4.0599999999999997E-2</v>
      </c>
      <c r="G7" s="8">
        <v>0.14699999999999999</v>
      </c>
      <c r="H7" s="7">
        <f t="shared" si="2"/>
        <v>-0.28699999999999998</v>
      </c>
      <c r="I7" s="7">
        <f t="shared" si="3"/>
        <v>-0.23600000000000002</v>
      </c>
      <c r="J7" s="7">
        <f t="shared" si="4"/>
        <v>-0.14600000000000002</v>
      </c>
      <c r="K7" s="7">
        <f t="shared" si="5"/>
        <v>3.0814116216420495E-2</v>
      </c>
      <c r="L7" s="7">
        <f t="shared" si="6"/>
        <v>2.5469351520426897E-2</v>
      </c>
      <c r="M7" s="10">
        <f t="shared" si="7"/>
        <v>-3.1E-2</v>
      </c>
      <c r="N7" s="1">
        <f t="shared" si="8"/>
        <v>-0.60934182590233543</v>
      </c>
      <c r="O7" s="1">
        <f t="shared" si="9"/>
        <v>-0.62269129287598945</v>
      </c>
      <c r="P7" s="1">
        <f t="shared" si="10"/>
        <v>-0.72277227722772286</v>
      </c>
      <c r="Q7" s="1">
        <f t="shared" si="11"/>
        <v>0.43286835224385328</v>
      </c>
      <c r="R7" s="1">
        <f t="shared" si="12"/>
        <v>1.6832954354079011</v>
      </c>
      <c r="S7" s="1">
        <f t="shared" si="13"/>
        <v>-0.17415730337078653</v>
      </c>
      <c r="T7" s="1"/>
    </row>
    <row r="8" spans="1:27">
      <c r="A8" t="s">
        <v>14</v>
      </c>
      <c r="B8" s="2">
        <v>0.253</v>
      </c>
      <c r="C8" s="2">
        <v>0.182</v>
      </c>
      <c r="D8" s="2">
        <v>7.0000000000000007E-2</v>
      </c>
      <c r="E8" s="2">
        <v>0</v>
      </c>
      <c r="F8" s="2">
        <v>0</v>
      </c>
      <c r="G8" s="8">
        <v>0</v>
      </c>
      <c r="H8" s="7">
        <f t="shared" si="2"/>
        <v>-0.21799999999999997</v>
      </c>
      <c r="I8" s="7">
        <f t="shared" si="3"/>
        <v>-0.19700000000000001</v>
      </c>
      <c r="J8" s="7">
        <f t="shared" si="4"/>
        <v>-0.13200000000000001</v>
      </c>
      <c r="K8" s="7">
        <f t="shared" si="5"/>
        <v>-7.1185883783579498E-2</v>
      </c>
      <c r="L8" s="7">
        <f t="shared" si="6"/>
        <v>-1.51306484795731E-2</v>
      </c>
      <c r="M8" s="10">
        <f t="shared" si="7"/>
        <v>-0.17799999999999999</v>
      </c>
      <c r="N8" s="1">
        <f t="shared" si="8"/>
        <v>-0.46284501061571121</v>
      </c>
      <c r="O8" s="1">
        <f t="shared" si="9"/>
        <v>-0.51978891820580475</v>
      </c>
      <c r="P8" s="1">
        <f t="shared" si="10"/>
        <v>-0.65346534653465349</v>
      </c>
      <c r="Q8" s="1">
        <f t="shared" si="11"/>
        <v>-1</v>
      </c>
      <c r="R8" s="1">
        <f t="shared" si="12"/>
        <v>-1</v>
      </c>
      <c r="S8" s="1">
        <f t="shared" si="13"/>
        <v>-1</v>
      </c>
      <c r="T8" s="1"/>
    </row>
    <row r="9" spans="1:27">
      <c r="A9" t="s">
        <v>15</v>
      </c>
      <c r="B9" s="2">
        <v>0.16600000000000001</v>
      </c>
      <c r="C9" s="2">
        <v>0.1</v>
      </c>
      <c r="D9" s="2">
        <v>3.5999999999999997E-2</v>
      </c>
      <c r="E9" s="2">
        <v>0.111</v>
      </c>
      <c r="F9" s="2">
        <v>3.7600000000000001E-2</v>
      </c>
      <c r="G9" s="8">
        <v>0.17199999999999999</v>
      </c>
      <c r="H9" s="7">
        <f t="shared" si="2"/>
        <v>-0.30499999999999994</v>
      </c>
      <c r="I9" s="7">
        <f t="shared" si="3"/>
        <v>-0.27900000000000003</v>
      </c>
      <c r="J9" s="7">
        <f t="shared" si="4"/>
        <v>-0.16600000000000001</v>
      </c>
      <c r="K9" s="7">
        <f t="shared" si="5"/>
        <v>3.9814116216420503E-2</v>
      </c>
      <c r="L9" s="7">
        <f t="shared" si="6"/>
        <v>2.2469351520426901E-2</v>
      </c>
      <c r="M9" s="10">
        <f t="shared" si="7"/>
        <v>-6.0000000000000053E-3</v>
      </c>
      <c r="N9" s="1">
        <f t="shared" si="8"/>
        <v>-0.64755838641188945</v>
      </c>
      <c r="O9" s="1">
        <f t="shared" si="9"/>
        <v>-0.73614775725593673</v>
      </c>
      <c r="P9" s="1">
        <f t="shared" si="10"/>
        <v>-0.82178217821782173</v>
      </c>
      <c r="Q9" s="1">
        <f t="shared" si="11"/>
        <v>0.55929791273595808</v>
      </c>
      <c r="R9" s="1">
        <f t="shared" si="12"/>
        <v>1.4850223736782535</v>
      </c>
      <c r="S9" s="1">
        <f t="shared" si="13"/>
        <v>-3.370786516853936E-2</v>
      </c>
      <c r="T9" s="1"/>
    </row>
    <row r="10" spans="1:27">
      <c r="A10" t="s">
        <v>16</v>
      </c>
      <c r="B10" s="2">
        <v>0.20499999999999999</v>
      </c>
      <c r="C10" s="2">
        <v>0.125</v>
      </c>
      <c r="D10" s="2">
        <v>2.9000000000000001E-2</v>
      </c>
      <c r="E10" s="2">
        <v>0</v>
      </c>
      <c r="F10" s="2">
        <v>0</v>
      </c>
      <c r="G10" s="8">
        <v>0</v>
      </c>
      <c r="H10" s="7">
        <f t="shared" si="2"/>
        <v>-0.26600000000000001</v>
      </c>
      <c r="I10" s="7">
        <f t="shared" si="3"/>
        <v>-0.254</v>
      </c>
      <c r="J10" s="7">
        <f t="shared" si="4"/>
        <v>-0.17300000000000001</v>
      </c>
      <c r="K10" s="7">
        <f t="shared" si="5"/>
        <v>-7.1185883783579498E-2</v>
      </c>
      <c r="L10" s="7">
        <f t="shared" si="6"/>
        <v>-1.51306484795731E-2</v>
      </c>
      <c r="M10" s="10">
        <f t="shared" si="7"/>
        <v>-0.17799999999999999</v>
      </c>
      <c r="N10" s="1">
        <f t="shared" si="8"/>
        <v>-0.56475583864118906</v>
      </c>
      <c r="O10" s="1">
        <f t="shared" si="9"/>
        <v>-0.67018469656992086</v>
      </c>
      <c r="P10" s="1">
        <f t="shared" si="10"/>
        <v>-0.85643564356435642</v>
      </c>
      <c r="Q10" s="1">
        <f t="shared" si="11"/>
        <v>-1</v>
      </c>
      <c r="R10" s="1">
        <f t="shared" si="12"/>
        <v>-1</v>
      </c>
      <c r="S10" s="1">
        <f t="shared" si="13"/>
        <v>-1</v>
      </c>
      <c r="T10" s="1"/>
    </row>
    <row r="11" spans="1:27">
      <c r="A11" t="s">
        <v>17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8">
        <v>0</v>
      </c>
      <c r="H11" s="7">
        <f t="shared" si="2"/>
        <v>-0.47099999999999997</v>
      </c>
      <c r="I11" s="7">
        <f t="shared" si="3"/>
        <v>-0.379</v>
      </c>
      <c r="J11" s="7">
        <f t="shared" si="4"/>
        <v>-0.20200000000000001</v>
      </c>
      <c r="K11" s="7">
        <f t="shared" si="5"/>
        <v>-7.1185883783579498E-2</v>
      </c>
      <c r="L11" s="7">
        <f t="shared" si="6"/>
        <v>-1.51306484795731E-2</v>
      </c>
      <c r="M11" s="10">
        <f t="shared" si="7"/>
        <v>-0.17799999999999999</v>
      </c>
      <c r="N11" s="1">
        <f t="shared" si="8"/>
        <v>-1</v>
      </c>
      <c r="O11" s="1">
        <f t="shared" si="9"/>
        <v>-1</v>
      </c>
      <c r="P11" s="1">
        <f t="shared" si="10"/>
        <v>-1</v>
      </c>
      <c r="Q11" s="1">
        <f t="shared" si="11"/>
        <v>-1</v>
      </c>
      <c r="R11" s="1">
        <f t="shared" si="12"/>
        <v>-1</v>
      </c>
      <c r="S11" s="1">
        <f t="shared" si="13"/>
        <v>-1</v>
      </c>
      <c r="T11" s="1"/>
    </row>
    <row r="12" spans="1:27">
      <c r="A12" t="s">
        <v>18</v>
      </c>
      <c r="B12" s="2">
        <v>0.27</v>
      </c>
      <c r="C12" s="2">
        <v>0.185</v>
      </c>
      <c r="D12" s="2">
        <v>5.7000000000000002E-2</v>
      </c>
      <c r="E12" s="2">
        <v>0</v>
      </c>
      <c r="F12" s="2">
        <v>0</v>
      </c>
      <c r="G12" s="8">
        <v>0</v>
      </c>
      <c r="H12" s="7">
        <f t="shared" si="2"/>
        <v>-0.20099999999999996</v>
      </c>
      <c r="I12" s="7">
        <f t="shared" si="3"/>
        <v>-0.19400000000000001</v>
      </c>
      <c r="J12" s="7">
        <f t="shared" si="4"/>
        <v>-0.14500000000000002</v>
      </c>
      <c r="K12" s="7">
        <f t="shared" si="5"/>
        <v>-7.1185883783579498E-2</v>
      </c>
      <c r="L12" s="7">
        <f t="shared" si="6"/>
        <v>-1.51306484795731E-2</v>
      </c>
      <c r="M12" s="10">
        <f t="shared" si="7"/>
        <v>-0.17799999999999999</v>
      </c>
      <c r="N12" s="1">
        <f t="shared" si="8"/>
        <v>-0.4267515923566878</v>
      </c>
      <c r="O12" s="1">
        <f t="shared" si="9"/>
        <v>-0.51187335092348285</v>
      </c>
      <c r="P12" s="1">
        <f t="shared" si="10"/>
        <v>-0.7178217821782179</v>
      </c>
      <c r="Q12" s="1">
        <f t="shared" si="11"/>
        <v>-1</v>
      </c>
      <c r="R12" s="1">
        <f t="shared" si="12"/>
        <v>-1</v>
      </c>
      <c r="S12" s="1">
        <f t="shared" si="13"/>
        <v>-1</v>
      </c>
      <c r="T12" s="1"/>
    </row>
    <row r="13" spans="1:27">
      <c r="A13" t="s">
        <v>19</v>
      </c>
      <c r="B13" s="2">
        <v>0.183</v>
      </c>
      <c r="C13" s="2">
        <v>0.121</v>
      </c>
      <c r="D13" s="2">
        <v>4.9000000000000002E-2</v>
      </c>
      <c r="E13" s="2">
        <v>8.6499999999999994E-2</v>
      </c>
      <c r="F13" s="2">
        <v>3.2300000000000002E-2</v>
      </c>
      <c r="G13" s="8">
        <v>0.14599999999999999</v>
      </c>
      <c r="H13" s="7">
        <f t="shared" si="2"/>
        <v>-0.28799999999999998</v>
      </c>
      <c r="I13" s="7">
        <f t="shared" si="3"/>
        <v>-0.25800000000000001</v>
      </c>
      <c r="J13" s="7">
        <f t="shared" si="4"/>
        <v>-0.15300000000000002</v>
      </c>
      <c r="K13" s="7">
        <f t="shared" si="5"/>
        <v>1.5314116216420495E-2</v>
      </c>
      <c r="L13" s="7">
        <f t="shared" si="6"/>
        <v>1.7169351520426902E-2</v>
      </c>
      <c r="M13" s="10">
        <f t="shared" si="7"/>
        <v>-3.2000000000000001E-2</v>
      </c>
      <c r="N13" s="1">
        <f t="shared" si="8"/>
        <v>-0.61146496815286622</v>
      </c>
      <c r="O13" s="1">
        <f t="shared" si="9"/>
        <v>-0.68073878627968343</v>
      </c>
      <c r="P13" s="1">
        <f t="shared" si="10"/>
        <v>-0.75742574257425754</v>
      </c>
      <c r="Q13" s="1">
        <f t="shared" si="11"/>
        <v>0.21512855361856187</v>
      </c>
      <c r="R13" s="1">
        <f t="shared" si="12"/>
        <v>1.1347399646225422</v>
      </c>
      <c r="S13" s="1">
        <f t="shared" si="13"/>
        <v>-0.17977528089887643</v>
      </c>
      <c r="T13" s="1"/>
    </row>
    <row r="14" spans="1:27">
      <c r="A14" t="s">
        <v>11</v>
      </c>
      <c r="B14" s="2">
        <v>0.249</v>
      </c>
      <c r="C14" s="2">
        <v>0.156</v>
      </c>
      <c r="D14" s="2">
        <v>6.2E-2</v>
      </c>
      <c r="G14" s="8">
        <v>0.23</v>
      </c>
      <c r="H14" s="7">
        <f t="shared" si="2"/>
        <v>-0.22199999999999998</v>
      </c>
      <c r="I14" s="7">
        <f t="shared" si="3"/>
        <v>-0.223</v>
      </c>
      <c r="J14" s="7">
        <f t="shared" si="4"/>
        <v>-0.14000000000000001</v>
      </c>
      <c r="K14" s="7">
        <f t="shared" si="5"/>
        <v>-7.1185883783579498E-2</v>
      </c>
      <c r="L14" s="7">
        <f t="shared" si="6"/>
        <v>-1.51306484795731E-2</v>
      </c>
      <c r="M14" s="10">
        <f t="shared" si="7"/>
        <v>5.2000000000000018E-2</v>
      </c>
      <c r="N14" s="1">
        <f t="shared" si="8"/>
        <v>-0.47133757961783435</v>
      </c>
      <c r="O14" s="1">
        <f t="shared" si="9"/>
        <v>-0.58839050131926118</v>
      </c>
      <c r="P14" s="1">
        <f t="shared" si="10"/>
        <v>-0.69306930693069313</v>
      </c>
      <c r="Q14" s="1">
        <f t="shared" si="11"/>
        <v>-1</v>
      </c>
      <c r="R14" s="1">
        <f t="shared" si="12"/>
        <v>-1</v>
      </c>
      <c r="S14" s="1">
        <f t="shared" si="13"/>
        <v>0.29213483146067426</v>
      </c>
      <c r="T14" s="1"/>
    </row>
    <row r="15" spans="1:27">
      <c r="A15" t="s">
        <v>12</v>
      </c>
      <c r="B15" s="2">
        <v>0.183</v>
      </c>
      <c r="C15" s="2">
        <v>0.121</v>
      </c>
      <c r="D15" s="2">
        <v>4.9000000000000002E-2</v>
      </c>
      <c r="G15" s="8">
        <v>0.14599999999999999</v>
      </c>
      <c r="H15" s="7">
        <f t="shared" si="2"/>
        <v>-0.28799999999999998</v>
      </c>
      <c r="I15" s="7">
        <f t="shared" si="3"/>
        <v>-0.25800000000000001</v>
      </c>
      <c r="J15" s="7">
        <f t="shared" si="4"/>
        <v>-0.15300000000000002</v>
      </c>
      <c r="K15" s="7">
        <f t="shared" si="5"/>
        <v>-7.1185883783579498E-2</v>
      </c>
      <c r="L15" s="7">
        <f t="shared" si="6"/>
        <v>-1.51306484795731E-2</v>
      </c>
      <c r="M15" s="10">
        <f t="shared" si="7"/>
        <v>-3.2000000000000001E-2</v>
      </c>
      <c r="N15" s="1">
        <f t="shared" si="8"/>
        <v>-0.61146496815286622</v>
      </c>
      <c r="O15" s="1">
        <f t="shared" si="9"/>
        <v>-0.68073878627968343</v>
      </c>
      <c r="P15" s="1">
        <f t="shared" si="10"/>
        <v>-0.75742574257425754</v>
      </c>
      <c r="Q15" s="1">
        <f t="shared" si="11"/>
        <v>-1</v>
      </c>
      <c r="R15" s="1">
        <f t="shared" si="12"/>
        <v>-1</v>
      </c>
      <c r="S15" s="1">
        <f t="shared" si="13"/>
        <v>-0.17977528089887643</v>
      </c>
      <c r="T15" s="1"/>
    </row>
    <row r="16" spans="1:27">
      <c r="A16" t="s">
        <v>13</v>
      </c>
      <c r="B16" s="2">
        <v>0.29599999999999999</v>
      </c>
      <c r="C16" s="2">
        <v>0.20100000000000001</v>
      </c>
      <c r="D16" s="2">
        <v>9.5000000000000001E-2</v>
      </c>
      <c r="G16" s="8">
        <v>0.23799999999999999</v>
      </c>
      <c r="H16" s="7">
        <f t="shared" si="2"/>
        <v>-0.17499999999999999</v>
      </c>
      <c r="I16" s="7">
        <f t="shared" si="3"/>
        <v>-0.17799999999999999</v>
      </c>
      <c r="J16" s="7">
        <f t="shared" si="4"/>
        <v>-0.10700000000000001</v>
      </c>
      <c r="K16" s="7">
        <f t="shared" si="5"/>
        <v>-7.1185883783579498E-2</v>
      </c>
      <c r="L16" s="7">
        <f t="shared" si="6"/>
        <v>-1.51306484795731E-2</v>
      </c>
      <c r="M16" s="10">
        <f t="shared" si="7"/>
        <v>0.06</v>
      </c>
      <c r="N16" s="1">
        <f t="shared" si="8"/>
        <v>-0.37154989384288745</v>
      </c>
      <c r="O16" s="1">
        <f t="shared" si="9"/>
        <v>-0.46965699208443268</v>
      </c>
      <c r="P16" s="1">
        <f t="shared" si="10"/>
        <v>-0.52970297029702973</v>
      </c>
      <c r="Q16" s="1">
        <f t="shared" si="11"/>
        <v>-1</v>
      </c>
      <c r="R16" s="1">
        <f t="shared" si="12"/>
        <v>-1</v>
      </c>
      <c r="S16" s="1">
        <f t="shared" si="13"/>
        <v>0.33707865168539325</v>
      </c>
      <c r="T16" s="1"/>
    </row>
    <row r="17" spans="1:20">
      <c r="A17" t="s">
        <v>20</v>
      </c>
      <c r="B17" s="2">
        <v>0.23499999999999999</v>
      </c>
      <c r="C17" s="2">
        <v>0.16400000000000001</v>
      </c>
      <c r="D17" s="2">
        <v>5.1999999999999998E-2</v>
      </c>
      <c r="E17" s="2">
        <v>0</v>
      </c>
      <c r="F17" s="2">
        <v>0</v>
      </c>
      <c r="G17" s="8">
        <v>0</v>
      </c>
      <c r="H17" s="7">
        <f t="shared" si="2"/>
        <v>-0.23599999999999999</v>
      </c>
      <c r="I17" s="7">
        <f t="shared" si="3"/>
        <v>-0.215</v>
      </c>
      <c r="J17" s="7">
        <f t="shared" si="4"/>
        <v>-0.15000000000000002</v>
      </c>
      <c r="K17" s="7">
        <f t="shared" si="5"/>
        <v>-7.1185883783579498E-2</v>
      </c>
      <c r="L17" s="7">
        <f t="shared" si="6"/>
        <v>-1.51306484795731E-2</v>
      </c>
      <c r="M17" s="10">
        <f t="shared" si="7"/>
        <v>-0.17799999999999999</v>
      </c>
      <c r="N17" s="1">
        <f t="shared" si="8"/>
        <v>-0.50106157112526539</v>
      </c>
      <c r="O17" s="1">
        <f t="shared" si="9"/>
        <v>-0.56728232189973615</v>
      </c>
      <c r="P17" s="1">
        <f t="shared" si="10"/>
        <v>-0.74257425742574268</v>
      </c>
      <c r="Q17" s="1">
        <f t="shared" si="11"/>
        <v>-1</v>
      </c>
      <c r="R17" s="1">
        <f t="shared" si="12"/>
        <v>-1</v>
      </c>
      <c r="S17" s="1">
        <f t="shared" si="13"/>
        <v>-1</v>
      </c>
      <c r="T17" s="1"/>
    </row>
    <row r="18" spans="1:20">
      <c r="A18" t="s">
        <v>21</v>
      </c>
      <c r="B18" s="2">
        <v>0.23499999999999999</v>
      </c>
      <c r="C18" s="2">
        <v>0.153</v>
      </c>
      <c r="D18" s="2">
        <v>5.3999999999999999E-2</v>
      </c>
      <c r="E18" s="2">
        <v>0.112</v>
      </c>
      <c r="F18" s="2">
        <v>3.1399999999999997E-2</v>
      </c>
      <c r="G18" s="8">
        <v>0.19900000000000001</v>
      </c>
      <c r="H18" s="7">
        <f t="shared" si="2"/>
        <v>-0.23599999999999999</v>
      </c>
      <c r="I18" s="7">
        <f t="shared" si="3"/>
        <v>-0.22600000000000001</v>
      </c>
      <c r="J18" s="7">
        <f t="shared" si="4"/>
        <v>-0.14800000000000002</v>
      </c>
      <c r="K18" s="7">
        <f t="shared" si="5"/>
        <v>4.0814116216420504E-2</v>
      </c>
      <c r="L18" s="7">
        <f t="shared" si="6"/>
        <v>1.6269351520426897E-2</v>
      </c>
      <c r="M18" s="10">
        <f t="shared" si="7"/>
        <v>2.1000000000000019E-2</v>
      </c>
      <c r="N18" s="1">
        <f t="shared" si="8"/>
        <v>-0.50106157112526539</v>
      </c>
      <c r="O18" s="1">
        <f t="shared" si="9"/>
        <v>-0.59630606860158308</v>
      </c>
      <c r="P18" s="1">
        <f t="shared" si="10"/>
        <v>-0.73267326732673277</v>
      </c>
      <c r="Q18" s="1">
        <f t="shared" si="11"/>
        <v>0.57334564167952529</v>
      </c>
      <c r="R18" s="1">
        <f t="shared" si="12"/>
        <v>1.0752580461036476</v>
      </c>
      <c r="S18" s="1">
        <f t="shared" si="13"/>
        <v>0.11797752808988775</v>
      </c>
      <c r="T18" s="1"/>
    </row>
    <row r="19" spans="1:20">
      <c r="A19" t="s">
        <v>22</v>
      </c>
      <c r="B19" s="2">
        <v>0.155</v>
      </c>
      <c r="C19" s="2">
        <v>7.3999999999999996E-2</v>
      </c>
      <c r="D19" s="2">
        <v>0.02</v>
      </c>
      <c r="E19" s="2">
        <v>0</v>
      </c>
      <c r="F19" s="2">
        <v>0</v>
      </c>
      <c r="G19" s="8">
        <v>0</v>
      </c>
      <c r="H19" s="7">
        <f t="shared" si="2"/>
        <v>-0.31599999999999995</v>
      </c>
      <c r="I19" s="7">
        <f t="shared" si="3"/>
        <v>-0.30499999999999999</v>
      </c>
      <c r="J19" s="7">
        <f t="shared" si="4"/>
        <v>-0.18200000000000002</v>
      </c>
      <c r="K19" s="7">
        <f t="shared" si="5"/>
        <v>-7.1185883783579498E-2</v>
      </c>
      <c r="L19" s="7">
        <f t="shared" si="6"/>
        <v>-1.51306484795731E-2</v>
      </c>
      <c r="M19" s="10">
        <f t="shared" si="7"/>
        <v>-0.17799999999999999</v>
      </c>
      <c r="N19" s="1">
        <f t="shared" si="8"/>
        <v>-0.6709129511677282</v>
      </c>
      <c r="O19" s="1">
        <f t="shared" si="9"/>
        <v>-0.80474934036939316</v>
      </c>
      <c r="P19" s="1">
        <f t="shared" si="10"/>
        <v>-0.90099009900990101</v>
      </c>
      <c r="Q19" s="1">
        <f t="shared" si="11"/>
        <v>-1</v>
      </c>
      <c r="R19" s="1">
        <f t="shared" si="12"/>
        <v>-1</v>
      </c>
      <c r="S19" s="1">
        <f t="shared" si="13"/>
        <v>-1</v>
      </c>
      <c r="T19" s="1"/>
    </row>
    <row r="20" spans="1:20">
      <c r="A20" t="s">
        <v>23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8">
        <v>0</v>
      </c>
      <c r="H20" s="7">
        <f t="shared" si="2"/>
        <v>-0.47099999999999997</v>
      </c>
      <c r="I20" s="7">
        <f t="shared" si="3"/>
        <v>-0.379</v>
      </c>
      <c r="J20" s="7">
        <f t="shared" si="4"/>
        <v>-0.20200000000000001</v>
      </c>
      <c r="K20" s="7">
        <f t="shared" si="5"/>
        <v>-7.1185883783579498E-2</v>
      </c>
      <c r="L20" s="7">
        <f t="shared" si="6"/>
        <v>-1.51306484795731E-2</v>
      </c>
      <c r="M20" s="10">
        <f t="shared" si="7"/>
        <v>-0.17799999999999999</v>
      </c>
      <c r="N20" s="1">
        <f t="shared" si="8"/>
        <v>-1</v>
      </c>
      <c r="O20" s="1">
        <f t="shared" si="9"/>
        <v>-1</v>
      </c>
      <c r="P20" s="1">
        <f t="shared" si="10"/>
        <v>-1</v>
      </c>
      <c r="Q20" s="1">
        <f t="shared" si="11"/>
        <v>-1</v>
      </c>
      <c r="R20" s="1">
        <f t="shared" si="12"/>
        <v>-1</v>
      </c>
      <c r="S20" s="1">
        <f t="shared" si="13"/>
        <v>-1</v>
      </c>
      <c r="T20" s="1"/>
    </row>
    <row r="21" spans="1:20">
      <c r="A21" t="s">
        <v>24</v>
      </c>
      <c r="B21" s="2">
        <v>0.26900000000000002</v>
      </c>
      <c r="C21" s="2">
        <v>0.17399999999999999</v>
      </c>
      <c r="D21" s="2">
        <v>5.8000000000000003E-2</v>
      </c>
      <c r="E21" s="2">
        <v>0</v>
      </c>
      <c r="F21" s="2">
        <v>0</v>
      </c>
      <c r="G21" s="8">
        <v>0</v>
      </c>
      <c r="H21" s="7">
        <f t="shared" si="2"/>
        <v>-0.20199999999999996</v>
      </c>
      <c r="I21" s="7">
        <f t="shared" si="3"/>
        <v>-0.20500000000000002</v>
      </c>
      <c r="J21" s="7">
        <f t="shared" si="4"/>
        <v>-0.14400000000000002</v>
      </c>
      <c r="K21" s="7">
        <f t="shared" si="5"/>
        <v>-7.1185883783579498E-2</v>
      </c>
      <c r="L21" s="7">
        <f t="shared" si="6"/>
        <v>-1.51306484795731E-2</v>
      </c>
      <c r="M21" s="10">
        <f t="shared" si="7"/>
        <v>-0.17799999999999999</v>
      </c>
      <c r="N21" s="1">
        <f t="shared" si="8"/>
        <v>-0.42887473460721864</v>
      </c>
      <c r="O21" s="1">
        <f t="shared" si="9"/>
        <v>-0.54089709762532989</v>
      </c>
      <c r="P21" s="1">
        <f t="shared" si="10"/>
        <v>-0.71287128712871295</v>
      </c>
      <c r="Q21" s="1">
        <f t="shared" si="11"/>
        <v>-1</v>
      </c>
      <c r="R21" s="1">
        <f t="shared" si="12"/>
        <v>-1</v>
      </c>
      <c r="S21" s="1">
        <f t="shared" si="13"/>
        <v>-1</v>
      </c>
      <c r="T21" s="1"/>
    </row>
    <row r="22" spans="1:20">
      <c r="A22" t="s">
        <v>25</v>
      </c>
      <c r="B22" s="2">
        <v>0.17499999999999999</v>
      </c>
      <c r="C22" s="2">
        <v>0.155</v>
      </c>
      <c r="D22" s="2">
        <v>6.2E-2</v>
      </c>
      <c r="E22" s="2">
        <v>0.107</v>
      </c>
      <c r="F22" s="2">
        <v>4.1599999999999998E-2</v>
      </c>
      <c r="G22" s="8">
        <v>0.13200000000000001</v>
      </c>
      <c r="H22" s="7">
        <f t="shared" si="2"/>
        <v>-0.29599999999999999</v>
      </c>
      <c r="I22" s="7">
        <f t="shared" si="3"/>
        <v>-0.224</v>
      </c>
      <c r="J22" s="7">
        <f t="shared" si="4"/>
        <v>-0.14000000000000001</v>
      </c>
      <c r="K22" s="7">
        <f t="shared" si="5"/>
        <v>3.58141162164205E-2</v>
      </c>
      <c r="L22" s="7">
        <f t="shared" si="6"/>
        <v>2.6469351520426898E-2</v>
      </c>
      <c r="M22" s="10">
        <f t="shared" si="7"/>
        <v>-4.5999999999999985E-2</v>
      </c>
      <c r="N22" s="1">
        <f t="shared" si="8"/>
        <v>-0.6284501061571125</v>
      </c>
      <c r="O22" s="1">
        <f t="shared" si="9"/>
        <v>-0.59102902374670185</v>
      </c>
      <c r="P22" s="1">
        <f t="shared" si="10"/>
        <v>-0.69306930693069313</v>
      </c>
      <c r="Q22" s="1">
        <f t="shared" si="11"/>
        <v>0.50310699696168937</v>
      </c>
      <c r="R22" s="1">
        <f t="shared" si="12"/>
        <v>1.7493864559844503</v>
      </c>
      <c r="S22" s="1">
        <f t="shared" si="13"/>
        <v>-0.25842696629213474</v>
      </c>
      <c r="T22" s="1"/>
    </row>
    <row r="23" spans="1:20">
      <c r="A23" t="s">
        <v>26</v>
      </c>
      <c r="B23" s="2">
        <v>0.27400000000000002</v>
      </c>
      <c r="C23" s="2">
        <v>0.19700000000000001</v>
      </c>
      <c r="D23" s="2">
        <v>6.6000000000000003E-2</v>
      </c>
      <c r="E23" s="2">
        <v>0</v>
      </c>
      <c r="F23" s="2">
        <v>0</v>
      </c>
      <c r="G23" s="8">
        <v>0</v>
      </c>
      <c r="H23" s="7">
        <f t="shared" si="2"/>
        <v>-0.19699999999999995</v>
      </c>
      <c r="I23" s="7">
        <f t="shared" si="3"/>
        <v>-0.182</v>
      </c>
      <c r="J23" s="7">
        <f t="shared" si="4"/>
        <v>-0.13600000000000001</v>
      </c>
      <c r="K23" s="7">
        <f t="shared" si="5"/>
        <v>-7.1185883783579498E-2</v>
      </c>
      <c r="L23" s="7">
        <f t="shared" si="6"/>
        <v>-1.51306484795731E-2</v>
      </c>
      <c r="M23" s="10">
        <f t="shared" si="7"/>
        <v>-0.17799999999999999</v>
      </c>
      <c r="N23" s="1">
        <f t="shared" si="8"/>
        <v>-0.41825902335456466</v>
      </c>
      <c r="O23" s="1">
        <f t="shared" si="9"/>
        <v>-0.48021108179419525</v>
      </c>
      <c r="P23" s="1">
        <f t="shared" si="10"/>
        <v>-0.67326732673267331</v>
      </c>
      <c r="Q23" s="1">
        <f t="shared" si="11"/>
        <v>-1</v>
      </c>
      <c r="R23" s="1">
        <f t="shared" si="12"/>
        <v>-1</v>
      </c>
      <c r="S23" s="1">
        <f t="shared" si="13"/>
        <v>-1</v>
      </c>
      <c r="T23" s="1"/>
    </row>
    <row r="24" spans="1:20">
      <c r="A24" t="s">
        <v>27</v>
      </c>
      <c r="B24" s="2">
        <v>0.192</v>
      </c>
      <c r="C24" s="2">
        <v>0.13200000000000001</v>
      </c>
      <c r="D24" s="2">
        <v>5.5E-2</v>
      </c>
      <c r="E24" s="2">
        <v>0.14399999999999999</v>
      </c>
      <c r="F24" s="2">
        <v>4.4400000000000002E-2</v>
      </c>
      <c r="G24" s="8">
        <v>0.186</v>
      </c>
      <c r="H24" s="7">
        <f t="shared" si="2"/>
        <v>-0.27899999999999997</v>
      </c>
      <c r="I24" s="7">
        <f t="shared" si="3"/>
        <v>-0.247</v>
      </c>
      <c r="J24" s="7">
        <f t="shared" si="4"/>
        <v>-0.14700000000000002</v>
      </c>
      <c r="K24" s="7">
        <f t="shared" si="5"/>
        <v>7.2814116216420491E-2</v>
      </c>
      <c r="L24" s="7">
        <f t="shared" si="6"/>
        <v>2.9269351520426902E-2</v>
      </c>
      <c r="M24" s="10">
        <f t="shared" si="7"/>
        <v>8.0000000000000071E-3</v>
      </c>
      <c r="N24" s="1">
        <f t="shared" si="8"/>
        <v>-0.59235668789808915</v>
      </c>
      <c r="O24" s="1">
        <f t="shared" si="9"/>
        <v>-0.65171503957783639</v>
      </c>
      <c r="P24" s="1">
        <f t="shared" si="10"/>
        <v>-0.72772277227722781</v>
      </c>
      <c r="Q24" s="1">
        <f t="shared" si="11"/>
        <v>1.0228729678736752</v>
      </c>
      <c r="R24" s="1">
        <f t="shared" si="12"/>
        <v>1.9344413135987886</v>
      </c>
      <c r="S24" s="1">
        <f t="shared" si="13"/>
        <v>4.4943820224719142E-2</v>
      </c>
      <c r="T24" s="1"/>
    </row>
    <row r="25" spans="1:20">
      <c r="A25" t="s">
        <v>28</v>
      </c>
      <c r="B25" s="2">
        <v>0.152</v>
      </c>
      <c r="C25" s="2">
        <v>8.4000000000000005E-2</v>
      </c>
      <c r="D25" s="2">
        <v>2.1000000000000001E-2</v>
      </c>
      <c r="E25" s="2">
        <v>0</v>
      </c>
      <c r="F25" s="2">
        <v>0</v>
      </c>
      <c r="G25" s="8">
        <v>0</v>
      </c>
      <c r="H25" s="7">
        <f t="shared" si="2"/>
        <v>-0.31899999999999995</v>
      </c>
      <c r="I25" s="7">
        <f t="shared" si="3"/>
        <v>-0.29499999999999998</v>
      </c>
      <c r="J25" s="7">
        <f t="shared" si="4"/>
        <v>-0.18100000000000002</v>
      </c>
      <c r="K25" s="7">
        <f t="shared" si="5"/>
        <v>-7.1185883783579498E-2</v>
      </c>
      <c r="L25" s="7">
        <f t="shared" si="6"/>
        <v>-1.51306484795731E-2</v>
      </c>
      <c r="M25" s="10">
        <f t="shared" si="7"/>
        <v>-0.17799999999999999</v>
      </c>
      <c r="N25" s="1">
        <f t="shared" si="8"/>
        <v>-0.67728237791932056</v>
      </c>
      <c r="O25" s="1">
        <f t="shared" si="9"/>
        <v>-0.77836411609498679</v>
      </c>
      <c r="P25" s="1">
        <f t="shared" si="10"/>
        <v>-0.89603960396039606</v>
      </c>
      <c r="Q25" s="1">
        <f t="shared" si="11"/>
        <v>-1</v>
      </c>
      <c r="R25" s="1">
        <f t="shared" si="12"/>
        <v>-1</v>
      </c>
      <c r="S25" s="1">
        <f t="shared" si="13"/>
        <v>-1</v>
      </c>
      <c r="T25" s="1"/>
    </row>
    <row r="26" spans="1:20">
      <c r="A26" t="s">
        <v>29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8">
        <v>0</v>
      </c>
      <c r="H26" s="7">
        <f t="shared" si="2"/>
        <v>-0.47099999999999997</v>
      </c>
      <c r="I26" s="7">
        <f t="shared" si="3"/>
        <v>-0.379</v>
      </c>
      <c r="J26" s="7">
        <f t="shared" si="4"/>
        <v>-0.20200000000000001</v>
      </c>
      <c r="K26" s="7">
        <f t="shared" si="5"/>
        <v>-7.1185883783579498E-2</v>
      </c>
      <c r="L26" s="7">
        <f t="shared" si="6"/>
        <v>-1.51306484795731E-2</v>
      </c>
      <c r="M26" s="10">
        <f t="shared" si="7"/>
        <v>-0.17799999999999999</v>
      </c>
      <c r="N26" s="1">
        <f t="shared" si="8"/>
        <v>-1</v>
      </c>
      <c r="O26" s="1">
        <f t="shared" si="9"/>
        <v>-1</v>
      </c>
      <c r="P26" s="1">
        <f t="shared" si="10"/>
        <v>-1</v>
      </c>
      <c r="Q26" s="1">
        <f t="shared" si="11"/>
        <v>-1</v>
      </c>
      <c r="R26" s="1">
        <f t="shared" si="12"/>
        <v>-1</v>
      </c>
      <c r="S26" s="1">
        <f t="shared" si="13"/>
        <v>-1</v>
      </c>
      <c r="T26" s="1"/>
    </row>
    <row r="27" spans="1:20">
      <c r="A27" t="s">
        <v>30</v>
      </c>
      <c r="B27" s="2">
        <v>0.29399999999999998</v>
      </c>
      <c r="C27" s="2">
        <v>0.20300000000000001</v>
      </c>
      <c r="D27" s="2">
        <v>6.2E-2</v>
      </c>
      <c r="E27" s="2">
        <v>0</v>
      </c>
      <c r="F27" s="2">
        <v>0</v>
      </c>
      <c r="G27" s="8">
        <v>0</v>
      </c>
      <c r="H27" s="7">
        <f t="shared" si="2"/>
        <v>-0.17699999999999999</v>
      </c>
      <c r="I27" s="7">
        <f t="shared" si="3"/>
        <v>-0.17599999999999999</v>
      </c>
      <c r="J27" s="7">
        <f t="shared" si="4"/>
        <v>-0.14000000000000001</v>
      </c>
      <c r="K27" s="7">
        <f t="shared" si="5"/>
        <v>-7.1185883783579498E-2</v>
      </c>
      <c r="L27" s="7">
        <f t="shared" si="6"/>
        <v>-1.51306484795731E-2</v>
      </c>
      <c r="M27" s="10">
        <f t="shared" si="7"/>
        <v>-0.17799999999999999</v>
      </c>
      <c r="N27" s="1">
        <f t="shared" si="8"/>
        <v>-0.37579617834394907</v>
      </c>
      <c r="O27" s="1">
        <f t="shared" si="9"/>
        <v>-0.46437994722955139</v>
      </c>
      <c r="P27" s="1">
        <f t="shared" si="10"/>
        <v>-0.69306930693069313</v>
      </c>
      <c r="Q27" s="1">
        <f t="shared" si="11"/>
        <v>-1</v>
      </c>
      <c r="R27" s="1">
        <f t="shared" si="12"/>
        <v>-1</v>
      </c>
      <c r="S27" s="1">
        <f t="shared" si="13"/>
        <v>-1</v>
      </c>
      <c r="T27" s="1"/>
    </row>
    <row r="28" spans="1:20">
      <c r="A28" t="s">
        <v>31</v>
      </c>
      <c r="B28" s="2">
        <v>0.14699999999999999</v>
      </c>
      <c r="C28" s="2">
        <v>9.7000000000000003E-2</v>
      </c>
      <c r="D28" s="2">
        <v>3.5999999999999997E-2</v>
      </c>
      <c r="E28" s="2">
        <v>6.6799999999999998E-2</v>
      </c>
      <c r="F28" s="2">
        <v>2.1899999999999999E-2</v>
      </c>
      <c r="G28" s="8">
        <v>0.128</v>
      </c>
      <c r="H28" s="7">
        <f t="shared" si="2"/>
        <v>-0.32399999999999995</v>
      </c>
      <c r="I28" s="7">
        <f t="shared" si="3"/>
        <v>-0.28200000000000003</v>
      </c>
      <c r="J28" s="7">
        <f t="shared" si="4"/>
        <v>-0.16600000000000001</v>
      </c>
      <c r="K28" s="7">
        <f t="shared" si="5"/>
        <v>-4.3858837835795E-3</v>
      </c>
      <c r="L28" s="7">
        <f t="shared" si="6"/>
        <v>6.7693515204268993E-3</v>
      </c>
      <c r="M28" s="10">
        <f t="shared" si="7"/>
        <v>-4.9999999999999989E-2</v>
      </c>
      <c r="N28" s="1">
        <f t="shared" si="8"/>
        <v>-0.68789808917197448</v>
      </c>
      <c r="O28" s="1">
        <f t="shared" si="9"/>
        <v>-0.74406332453825863</v>
      </c>
      <c r="P28" s="1">
        <f t="shared" si="10"/>
        <v>-0.82178217821782173</v>
      </c>
      <c r="Q28" s="1">
        <f t="shared" si="11"/>
        <v>-6.1611706569711724E-2</v>
      </c>
      <c r="R28" s="1">
        <f t="shared" si="12"/>
        <v>0.44739335062642943</v>
      </c>
      <c r="S28" s="1">
        <f t="shared" si="13"/>
        <v>-0.28089887640449435</v>
      </c>
      <c r="T28" s="1"/>
    </row>
    <row r="29" spans="1:20">
      <c r="A29" t="s">
        <v>32</v>
      </c>
      <c r="B29" s="2">
        <v>0.29599999999999999</v>
      </c>
      <c r="C29" s="2">
        <v>0.24</v>
      </c>
      <c r="D29" s="2">
        <v>8.8999999999999996E-2</v>
      </c>
      <c r="E29" s="2">
        <v>0</v>
      </c>
      <c r="F29" s="2">
        <v>0</v>
      </c>
      <c r="G29" s="8">
        <v>0</v>
      </c>
      <c r="H29" s="7">
        <f t="shared" si="2"/>
        <v>-0.17499999999999999</v>
      </c>
      <c r="I29" s="7">
        <f t="shared" si="3"/>
        <v>-0.13900000000000001</v>
      </c>
      <c r="J29" s="7">
        <f t="shared" si="4"/>
        <v>-0.11300000000000002</v>
      </c>
      <c r="K29" s="7">
        <f t="shared" si="5"/>
        <v>-7.1185883783579498E-2</v>
      </c>
      <c r="L29" s="7">
        <f t="shared" si="6"/>
        <v>-1.51306484795731E-2</v>
      </c>
      <c r="M29" s="10">
        <f t="shared" si="7"/>
        <v>-0.17799999999999999</v>
      </c>
      <c r="N29" s="1">
        <f t="shared" si="8"/>
        <v>-0.37154989384288745</v>
      </c>
      <c r="O29" s="1">
        <f t="shared" si="9"/>
        <v>-0.36675461741424803</v>
      </c>
      <c r="P29" s="1">
        <f t="shared" si="10"/>
        <v>-0.55940594059405946</v>
      </c>
      <c r="Q29" s="1">
        <f t="shared" si="11"/>
        <v>-1</v>
      </c>
      <c r="R29" s="1">
        <f t="shared" si="12"/>
        <v>-1</v>
      </c>
      <c r="S29" s="1">
        <f t="shared" si="13"/>
        <v>-1</v>
      </c>
      <c r="T29" s="1"/>
    </row>
    <row r="30" spans="1:20">
      <c r="A30" t="s">
        <v>33</v>
      </c>
      <c r="B30" s="2">
        <v>0.185</v>
      </c>
      <c r="C30" s="2">
        <v>0.14799999999999999</v>
      </c>
      <c r="D30" s="2">
        <v>6.2E-2</v>
      </c>
      <c r="E30" s="2">
        <v>0.14399999999999999</v>
      </c>
      <c r="F30" s="2">
        <v>4.9599999999999998E-2</v>
      </c>
      <c r="G30" s="8">
        <v>0.19800000000000001</v>
      </c>
      <c r="H30" s="7">
        <f t="shared" si="2"/>
        <v>-0.28599999999999998</v>
      </c>
      <c r="I30" s="7">
        <f t="shared" si="3"/>
        <v>-0.23100000000000001</v>
      </c>
      <c r="J30" s="7">
        <f t="shared" si="4"/>
        <v>-0.14000000000000001</v>
      </c>
      <c r="K30" s="7">
        <f t="shared" si="5"/>
        <v>7.2814116216420491E-2</v>
      </c>
      <c r="L30" s="7">
        <f t="shared" si="6"/>
        <v>3.4469351520426898E-2</v>
      </c>
      <c r="M30" s="10">
        <f t="shared" si="7"/>
        <v>2.0000000000000018E-2</v>
      </c>
      <c r="N30" s="1">
        <f t="shared" si="8"/>
        <v>-0.60721868365180465</v>
      </c>
      <c r="O30" s="1">
        <f t="shared" si="9"/>
        <v>-0.60949868073878632</v>
      </c>
      <c r="P30" s="1">
        <f t="shared" si="10"/>
        <v>-0.69306930693069313</v>
      </c>
      <c r="Q30" s="1">
        <f t="shared" si="11"/>
        <v>1.0228729678736752</v>
      </c>
      <c r="R30" s="1">
        <f t="shared" si="12"/>
        <v>2.2781146205968446</v>
      </c>
      <c r="S30" s="1">
        <f t="shared" si="13"/>
        <v>0.11235955056179786</v>
      </c>
      <c r="T30" s="1"/>
    </row>
    <row r="31" spans="1:20">
      <c r="A31" t="s">
        <v>34</v>
      </c>
      <c r="B31" s="2">
        <v>0.23200000000000001</v>
      </c>
      <c r="C31" s="2">
        <v>0.154</v>
      </c>
      <c r="D31" s="2">
        <v>5.0999999999999997E-2</v>
      </c>
      <c r="E31" s="2">
        <v>0</v>
      </c>
      <c r="F31" s="2">
        <v>0</v>
      </c>
      <c r="G31" s="8">
        <v>0</v>
      </c>
      <c r="H31" s="7">
        <f t="shared" si="2"/>
        <v>-0.23899999999999996</v>
      </c>
      <c r="I31" s="7">
        <f t="shared" si="3"/>
        <v>-0.22500000000000001</v>
      </c>
      <c r="J31" s="7">
        <f t="shared" si="4"/>
        <v>-0.15100000000000002</v>
      </c>
      <c r="K31" s="7">
        <f t="shared" si="5"/>
        <v>-7.1185883783579498E-2</v>
      </c>
      <c r="L31" s="7">
        <f t="shared" si="6"/>
        <v>-1.51306484795731E-2</v>
      </c>
      <c r="M31" s="10">
        <f t="shared" si="7"/>
        <v>-0.17799999999999999</v>
      </c>
      <c r="N31" s="1">
        <f t="shared" si="8"/>
        <v>-0.50743099787685775</v>
      </c>
      <c r="O31" s="1">
        <f t="shared" si="9"/>
        <v>-0.59366754617414252</v>
      </c>
      <c r="P31" s="1">
        <f t="shared" si="10"/>
        <v>-0.74752475247524763</v>
      </c>
      <c r="Q31" s="1">
        <f t="shared" si="11"/>
        <v>-1</v>
      </c>
      <c r="R31" s="1">
        <f t="shared" si="12"/>
        <v>-1</v>
      </c>
      <c r="S31" s="1">
        <f t="shared" si="13"/>
        <v>-1</v>
      </c>
      <c r="T31" s="1"/>
    </row>
    <row r="32" spans="1:20">
      <c r="A32" t="s">
        <v>35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8">
        <v>0</v>
      </c>
      <c r="H32" s="7">
        <f t="shared" si="2"/>
        <v>-0.47099999999999997</v>
      </c>
      <c r="I32" s="7">
        <f t="shared" si="3"/>
        <v>-0.379</v>
      </c>
      <c r="J32" s="7">
        <f t="shared" si="4"/>
        <v>-0.20200000000000001</v>
      </c>
      <c r="K32" s="7">
        <f t="shared" si="5"/>
        <v>-7.1185883783579498E-2</v>
      </c>
      <c r="L32" s="7">
        <f t="shared" si="6"/>
        <v>-1.51306484795731E-2</v>
      </c>
      <c r="M32" s="10">
        <f t="shared" si="7"/>
        <v>-0.17799999999999999</v>
      </c>
      <c r="N32" s="1">
        <f t="shared" si="8"/>
        <v>-1</v>
      </c>
      <c r="O32" s="1">
        <f t="shared" si="9"/>
        <v>-1</v>
      </c>
      <c r="P32" s="1">
        <f t="shared" si="10"/>
        <v>-1</v>
      </c>
      <c r="Q32" s="1">
        <f t="shared" si="11"/>
        <v>-1</v>
      </c>
      <c r="R32" s="1">
        <f t="shared" si="12"/>
        <v>-1</v>
      </c>
      <c r="S32" s="1">
        <f t="shared" si="13"/>
        <v>-1</v>
      </c>
      <c r="T32" s="1"/>
    </row>
    <row r="33" spans="1:20">
      <c r="A33" t="s">
        <v>36</v>
      </c>
      <c r="B33" s="2">
        <v>0.34499999999999997</v>
      </c>
      <c r="C33" s="2">
        <v>0.26200000000000001</v>
      </c>
      <c r="D33" s="2">
        <v>0.105</v>
      </c>
      <c r="E33" s="2">
        <v>0</v>
      </c>
      <c r="F33" s="2">
        <v>0</v>
      </c>
      <c r="G33" s="8">
        <v>0</v>
      </c>
      <c r="H33" s="7">
        <f t="shared" si="2"/>
        <v>-0.126</v>
      </c>
      <c r="I33" s="7">
        <f t="shared" si="3"/>
        <v>-0.11699999999999999</v>
      </c>
      <c r="J33" s="7">
        <f t="shared" si="4"/>
        <v>-9.7000000000000017E-2</v>
      </c>
      <c r="K33" s="7">
        <f t="shared" si="5"/>
        <v>-7.1185883783579498E-2</v>
      </c>
      <c r="L33" s="7">
        <f t="shared" si="6"/>
        <v>-1.51306484795731E-2</v>
      </c>
      <c r="M33" s="10">
        <f t="shared" si="7"/>
        <v>-0.17799999999999999</v>
      </c>
      <c r="N33" s="1">
        <f t="shared" si="8"/>
        <v>-0.26751592356687898</v>
      </c>
      <c r="O33" s="1">
        <f t="shared" si="9"/>
        <v>-0.30870712401055406</v>
      </c>
      <c r="P33" s="1">
        <f t="shared" si="10"/>
        <v>-0.48019801980198024</v>
      </c>
      <c r="Q33" s="1">
        <f t="shared" si="11"/>
        <v>-1</v>
      </c>
      <c r="R33" s="1">
        <f t="shared" si="12"/>
        <v>-1</v>
      </c>
      <c r="S33" s="1">
        <f t="shared" si="13"/>
        <v>-1</v>
      </c>
      <c r="T33" s="1"/>
    </row>
    <row r="34" spans="1:20">
      <c r="A34" t="s">
        <v>37</v>
      </c>
      <c r="B34" s="2">
        <v>0.216</v>
      </c>
      <c r="C34" s="2">
        <v>0.11799999999999999</v>
      </c>
      <c r="D34" s="2">
        <v>5.2999999999999999E-2</v>
      </c>
      <c r="E34" s="2">
        <v>0.10100000000000001</v>
      </c>
      <c r="F34" s="2">
        <v>3.1899999999999998E-2</v>
      </c>
      <c r="G34" s="8">
        <v>0.19400000000000001</v>
      </c>
      <c r="H34" s="7">
        <f t="shared" ref="H34:H65" si="14">B34-V$2</f>
        <v>-0.255</v>
      </c>
      <c r="I34" s="7">
        <f t="shared" ref="I34:I65" si="15">C34-W$2</f>
        <v>-0.26100000000000001</v>
      </c>
      <c r="J34" s="7">
        <f t="shared" ref="J34:J65" si="16">D34-X$2</f>
        <v>-0.14900000000000002</v>
      </c>
      <c r="K34" s="7">
        <f t="shared" ref="K34:K65" si="17">E34-Y$2</f>
        <v>2.9814116216420508E-2</v>
      </c>
      <c r="L34" s="7">
        <f t="shared" ref="L34:L65" si="18">F34-Z$2</f>
        <v>1.6769351520426898E-2</v>
      </c>
      <c r="M34" s="10">
        <f t="shared" ref="M34:M65" si="19">G34-AA$2</f>
        <v>1.6000000000000014E-2</v>
      </c>
      <c r="N34" s="1">
        <f t="shared" ref="N34:N65" si="20">(B34-V$2)/V$2</f>
        <v>-0.54140127388535031</v>
      </c>
      <c r="O34" s="1">
        <f t="shared" ref="O34:O65" si="21">(C34-W$2)/W$2</f>
        <v>-0.68865435356200533</v>
      </c>
      <c r="P34" s="1">
        <f t="shared" ref="P34:P65" si="22">(D34-X$2)/X$2</f>
        <v>-0.73762376237623772</v>
      </c>
      <c r="Q34" s="1">
        <f t="shared" ref="Q34:Q65" si="23">(E34-Y$2)/Y$2</f>
        <v>0.4188206233002863</v>
      </c>
      <c r="R34" s="1">
        <f t="shared" ref="R34:R65" si="24">(F34-Z$2)/Z$2</f>
        <v>1.1083035563919224</v>
      </c>
      <c r="S34" s="1">
        <f t="shared" ref="S34:S65" si="25">(G34-AA$2)/AA$2</f>
        <v>8.9887640449438283E-2</v>
      </c>
      <c r="T34" s="1"/>
    </row>
    <row r="35" spans="1:20">
      <c r="A35" t="s">
        <v>38</v>
      </c>
      <c r="B35" s="2">
        <v>0.30599999999999999</v>
      </c>
      <c r="C35" s="2">
        <v>0.255</v>
      </c>
      <c r="D35" s="2">
        <v>0.107</v>
      </c>
      <c r="E35" s="2">
        <v>0</v>
      </c>
      <c r="F35" s="2">
        <v>0</v>
      </c>
      <c r="G35" s="8">
        <v>0</v>
      </c>
      <c r="H35" s="7">
        <f t="shared" si="14"/>
        <v>-0.16499999999999998</v>
      </c>
      <c r="I35" s="7">
        <f t="shared" si="15"/>
        <v>-0.124</v>
      </c>
      <c r="J35" s="7">
        <f t="shared" si="16"/>
        <v>-9.5000000000000015E-2</v>
      </c>
      <c r="K35" s="7">
        <f t="shared" si="17"/>
        <v>-7.1185883783579498E-2</v>
      </c>
      <c r="L35" s="7">
        <f t="shared" si="18"/>
        <v>-1.51306484795731E-2</v>
      </c>
      <c r="M35" s="10">
        <f t="shared" si="19"/>
        <v>-0.17799999999999999</v>
      </c>
      <c r="N35" s="1">
        <f t="shared" si="20"/>
        <v>-0.3503184713375796</v>
      </c>
      <c r="O35" s="1">
        <f t="shared" si="21"/>
        <v>-0.32717678100263853</v>
      </c>
      <c r="P35" s="1">
        <f t="shared" si="22"/>
        <v>-0.47029702970297033</v>
      </c>
      <c r="Q35" s="1">
        <f t="shared" si="23"/>
        <v>-1</v>
      </c>
      <c r="R35" s="1">
        <f t="shared" si="24"/>
        <v>-1</v>
      </c>
      <c r="S35" s="1">
        <f t="shared" si="25"/>
        <v>-1</v>
      </c>
      <c r="T35" s="1"/>
    </row>
    <row r="36" spans="1:20">
      <c r="A36" t="s">
        <v>39</v>
      </c>
      <c r="B36" s="2">
        <v>0.156</v>
      </c>
      <c r="C36" s="2">
        <v>0.114</v>
      </c>
      <c r="D36" s="2">
        <v>4.7E-2</v>
      </c>
      <c r="E36" s="2">
        <v>8.2699999999999996E-2</v>
      </c>
      <c r="F36" s="2">
        <v>3.2099999999999997E-2</v>
      </c>
      <c r="G36" s="8">
        <v>0.124</v>
      </c>
      <c r="H36" s="7">
        <f t="shared" si="14"/>
        <v>-0.31499999999999995</v>
      </c>
      <c r="I36" s="7">
        <f t="shared" si="15"/>
        <v>-0.26500000000000001</v>
      </c>
      <c r="J36" s="7">
        <f t="shared" si="16"/>
        <v>-0.15500000000000003</v>
      </c>
      <c r="K36" s="7">
        <f t="shared" si="17"/>
        <v>1.1514116216420497E-2</v>
      </c>
      <c r="L36" s="7">
        <f t="shared" si="18"/>
        <v>1.6969351520426897E-2</v>
      </c>
      <c r="M36" s="10">
        <f t="shared" si="19"/>
        <v>-5.3999999999999992E-2</v>
      </c>
      <c r="N36" s="1">
        <f t="shared" si="20"/>
        <v>-0.66878980891719741</v>
      </c>
      <c r="O36" s="1">
        <f t="shared" si="21"/>
        <v>-0.69920844327176779</v>
      </c>
      <c r="P36" s="1">
        <f t="shared" si="22"/>
        <v>-0.76732673267326745</v>
      </c>
      <c r="Q36" s="1">
        <f t="shared" si="23"/>
        <v>0.16174718363300658</v>
      </c>
      <c r="R36" s="1">
        <f t="shared" si="24"/>
        <v>1.1215217605072321</v>
      </c>
      <c r="S36" s="1">
        <f t="shared" si="25"/>
        <v>-0.3033707865168539</v>
      </c>
      <c r="T36" s="1"/>
    </row>
    <row r="37" spans="1:20">
      <c r="A37" t="s">
        <v>40</v>
      </c>
      <c r="B37" s="2">
        <v>0.23100000000000001</v>
      </c>
      <c r="C37" s="2">
        <v>0.14299999999999999</v>
      </c>
      <c r="D37" s="2">
        <v>0.04</v>
      </c>
      <c r="E37" s="2">
        <v>0</v>
      </c>
      <c r="F37" s="2">
        <v>0</v>
      </c>
      <c r="G37" s="8">
        <v>0</v>
      </c>
      <c r="H37" s="7">
        <f t="shared" si="14"/>
        <v>-0.23999999999999996</v>
      </c>
      <c r="I37" s="7">
        <f t="shared" si="15"/>
        <v>-0.23600000000000002</v>
      </c>
      <c r="J37" s="7">
        <f t="shared" si="16"/>
        <v>-0.16200000000000001</v>
      </c>
      <c r="K37" s="7">
        <f t="shared" si="17"/>
        <v>-7.1185883783579498E-2</v>
      </c>
      <c r="L37" s="7">
        <f t="shared" si="18"/>
        <v>-1.51306484795731E-2</v>
      </c>
      <c r="M37" s="10">
        <f t="shared" si="19"/>
        <v>-0.17799999999999999</v>
      </c>
      <c r="N37" s="1">
        <f t="shared" si="20"/>
        <v>-0.50955414012738853</v>
      </c>
      <c r="O37" s="1">
        <f t="shared" si="21"/>
        <v>-0.62269129287598945</v>
      </c>
      <c r="P37" s="1">
        <f t="shared" si="22"/>
        <v>-0.80198019801980192</v>
      </c>
      <c r="Q37" s="1">
        <f t="shared" si="23"/>
        <v>-1</v>
      </c>
      <c r="R37" s="1">
        <f t="shared" si="24"/>
        <v>-1</v>
      </c>
      <c r="S37" s="1">
        <f t="shared" si="25"/>
        <v>-1</v>
      </c>
      <c r="T37" s="1"/>
    </row>
    <row r="38" spans="1:20">
      <c r="A38" t="s">
        <v>41</v>
      </c>
      <c r="B38" s="2">
        <v>0.01</v>
      </c>
      <c r="C38" s="2">
        <v>4.2000000000000003E-2</v>
      </c>
      <c r="D38" s="2">
        <v>1.4E-2</v>
      </c>
      <c r="E38" s="2">
        <v>4.7E-2</v>
      </c>
      <c r="F38" s="2">
        <v>1.5800000000000002E-2</v>
      </c>
      <c r="G38" s="8">
        <v>8.9999999999999993E-3</v>
      </c>
      <c r="H38" s="7">
        <f t="shared" si="14"/>
        <v>-0.46099999999999997</v>
      </c>
      <c r="I38" s="7">
        <f t="shared" si="15"/>
        <v>-0.33700000000000002</v>
      </c>
      <c r="J38" s="7">
        <f t="shared" si="16"/>
        <v>-0.188</v>
      </c>
      <c r="K38" s="7">
        <f t="shared" si="17"/>
        <v>-2.4185883783579498E-2</v>
      </c>
      <c r="L38" s="7">
        <f t="shared" si="18"/>
        <v>6.6935152042690155E-4</v>
      </c>
      <c r="M38" s="10">
        <f t="shared" si="19"/>
        <v>-0.16899999999999998</v>
      </c>
      <c r="N38" s="1">
        <f t="shared" si="20"/>
        <v>-0.97876857749469215</v>
      </c>
      <c r="O38" s="1">
        <f t="shared" si="21"/>
        <v>-0.88918205804749351</v>
      </c>
      <c r="P38" s="1">
        <f t="shared" si="22"/>
        <v>-0.93069306930693063</v>
      </c>
      <c r="Q38" s="1">
        <f t="shared" si="23"/>
        <v>-0.33975673965234204</v>
      </c>
      <c r="R38" s="1">
        <f t="shared" si="24"/>
        <v>4.4238125109478901E-2</v>
      </c>
      <c r="S38" s="1">
        <f t="shared" si="25"/>
        <v>-0.949438202247191</v>
      </c>
      <c r="T38" s="1"/>
    </row>
    <row r="39" spans="1:20">
      <c r="A39" t="s">
        <v>42</v>
      </c>
      <c r="B39" s="2">
        <v>0.34799999999999998</v>
      </c>
      <c r="C39" s="2">
        <v>0.25600000000000001</v>
      </c>
      <c r="D39" s="2">
        <v>0.10100000000000001</v>
      </c>
      <c r="E39" s="2">
        <v>0</v>
      </c>
      <c r="F39" s="2">
        <v>0</v>
      </c>
      <c r="G39" s="8">
        <v>0</v>
      </c>
      <c r="H39" s="7">
        <f t="shared" si="14"/>
        <v>-0.123</v>
      </c>
      <c r="I39" s="7">
        <f t="shared" si="15"/>
        <v>-0.123</v>
      </c>
      <c r="J39" s="7">
        <f t="shared" si="16"/>
        <v>-0.10100000000000001</v>
      </c>
      <c r="K39" s="7">
        <f t="shared" si="17"/>
        <v>-7.1185883783579498E-2</v>
      </c>
      <c r="L39" s="7">
        <f t="shared" si="18"/>
        <v>-1.51306484795731E-2</v>
      </c>
      <c r="M39" s="10">
        <f t="shared" si="19"/>
        <v>-0.17799999999999999</v>
      </c>
      <c r="N39" s="1">
        <f t="shared" si="20"/>
        <v>-0.26114649681528662</v>
      </c>
      <c r="O39" s="1">
        <f t="shared" si="21"/>
        <v>-0.32453825857519786</v>
      </c>
      <c r="P39" s="1">
        <f t="shared" si="22"/>
        <v>-0.5</v>
      </c>
      <c r="Q39" s="1">
        <f t="shared" si="23"/>
        <v>-1</v>
      </c>
      <c r="R39" s="1">
        <f t="shared" si="24"/>
        <v>-1</v>
      </c>
      <c r="S39" s="1">
        <f t="shared" si="25"/>
        <v>-1</v>
      </c>
      <c r="T39" s="1"/>
    </row>
    <row r="40" spans="1:20">
      <c r="A40" t="s">
        <v>43</v>
      </c>
      <c r="B40" s="2">
        <v>0.19900000000000001</v>
      </c>
      <c r="C40" s="2">
        <v>0.11899999999999999</v>
      </c>
      <c r="D40" s="2">
        <v>5.5E-2</v>
      </c>
      <c r="E40" s="2">
        <v>0.10199999999999999</v>
      </c>
      <c r="F40" s="2">
        <v>2.9100000000000001E-2</v>
      </c>
      <c r="G40" s="8">
        <v>0.183</v>
      </c>
      <c r="H40" s="7">
        <f t="shared" si="14"/>
        <v>-0.27199999999999996</v>
      </c>
      <c r="I40" s="7">
        <f t="shared" si="15"/>
        <v>-0.26</v>
      </c>
      <c r="J40" s="7">
        <f t="shared" si="16"/>
        <v>-0.14700000000000002</v>
      </c>
      <c r="K40" s="7">
        <f t="shared" si="17"/>
        <v>3.0814116216420495E-2</v>
      </c>
      <c r="L40" s="7">
        <f t="shared" si="18"/>
        <v>1.3969351520426901E-2</v>
      </c>
      <c r="M40" s="10">
        <f t="shared" si="19"/>
        <v>5.0000000000000044E-3</v>
      </c>
      <c r="N40" s="1">
        <f t="shared" si="20"/>
        <v>-0.57749469214437366</v>
      </c>
      <c r="O40" s="1">
        <f t="shared" si="21"/>
        <v>-0.68601583113456466</v>
      </c>
      <c r="P40" s="1">
        <f t="shared" si="22"/>
        <v>-0.72772277227722781</v>
      </c>
      <c r="Q40" s="1">
        <f t="shared" si="23"/>
        <v>0.43286835224385328</v>
      </c>
      <c r="R40" s="1">
        <f t="shared" si="24"/>
        <v>0.92324869877758442</v>
      </c>
      <c r="S40" s="1">
        <f t="shared" si="25"/>
        <v>2.8089887640449465E-2</v>
      </c>
      <c r="T40" s="1"/>
    </row>
    <row r="41" spans="1:20">
      <c r="A41" t="s">
        <v>44</v>
      </c>
      <c r="B41" s="2">
        <v>0.153</v>
      </c>
      <c r="C41" s="2">
        <v>8.6999999999999994E-2</v>
      </c>
      <c r="D41" s="2">
        <v>3.3000000000000002E-2</v>
      </c>
      <c r="G41" s="8">
        <v>0.19600000000000001</v>
      </c>
      <c r="H41" s="7">
        <f t="shared" si="14"/>
        <v>-0.31799999999999995</v>
      </c>
      <c r="I41" s="7">
        <f t="shared" si="15"/>
        <v>-0.29200000000000004</v>
      </c>
      <c r="J41" s="7">
        <f t="shared" si="16"/>
        <v>-0.16900000000000001</v>
      </c>
      <c r="K41" s="7">
        <f t="shared" si="17"/>
        <v>-7.1185883783579498E-2</v>
      </c>
      <c r="L41" s="7">
        <f t="shared" si="18"/>
        <v>-1.51306484795731E-2</v>
      </c>
      <c r="M41" s="10">
        <f t="shared" si="19"/>
        <v>1.8000000000000016E-2</v>
      </c>
      <c r="N41" s="1">
        <f t="shared" si="20"/>
        <v>-0.67515923566878977</v>
      </c>
      <c r="O41" s="1">
        <f t="shared" si="21"/>
        <v>-0.770448548812665</v>
      </c>
      <c r="P41" s="1">
        <f t="shared" si="22"/>
        <v>-0.8366336633663366</v>
      </c>
      <c r="Q41" s="1">
        <f t="shared" si="23"/>
        <v>-1</v>
      </c>
      <c r="R41" s="1">
        <f t="shared" si="24"/>
        <v>-1</v>
      </c>
      <c r="S41" s="1">
        <f t="shared" si="25"/>
        <v>0.10112359550561807</v>
      </c>
      <c r="T41" s="1"/>
    </row>
    <row r="42" spans="1:20">
      <c r="A42" t="s">
        <v>45</v>
      </c>
      <c r="B42" s="2">
        <v>0.22800000000000001</v>
      </c>
      <c r="C42" s="2">
        <v>0.158</v>
      </c>
      <c r="D42" s="2">
        <v>5.7000000000000002E-2</v>
      </c>
      <c r="G42" s="8">
        <v>0.224</v>
      </c>
      <c r="H42" s="7">
        <f t="shared" si="14"/>
        <v>-0.24299999999999997</v>
      </c>
      <c r="I42" s="7">
        <f t="shared" si="15"/>
        <v>-0.221</v>
      </c>
      <c r="J42" s="7">
        <f t="shared" si="16"/>
        <v>-0.14500000000000002</v>
      </c>
      <c r="K42" s="7">
        <f t="shared" si="17"/>
        <v>-7.1185883783579498E-2</v>
      </c>
      <c r="L42" s="7">
        <f t="shared" si="18"/>
        <v>-1.51306484795731E-2</v>
      </c>
      <c r="M42" s="10">
        <f t="shared" si="19"/>
        <v>4.6000000000000013E-2</v>
      </c>
      <c r="N42" s="1">
        <f t="shared" si="20"/>
        <v>-0.51592356687898089</v>
      </c>
      <c r="O42" s="1">
        <f t="shared" si="21"/>
        <v>-0.58311345646437995</v>
      </c>
      <c r="P42" s="1">
        <f t="shared" si="22"/>
        <v>-0.7178217821782179</v>
      </c>
      <c r="Q42" s="1">
        <f t="shared" si="23"/>
        <v>-1</v>
      </c>
      <c r="R42" s="1">
        <f t="shared" si="24"/>
        <v>-1</v>
      </c>
      <c r="S42" s="1">
        <f t="shared" si="25"/>
        <v>0.25842696629213491</v>
      </c>
      <c r="T42" s="1"/>
    </row>
    <row r="43" spans="1:20">
      <c r="A43" t="s">
        <v>46</v>
      </c>
      <c r="B43" s="2">
        <v>0.13300000000000001</v>
      </c>
      <c r="C43" s="2">
        <v>9.8000000000000004E-2</v>
      </c>
      <c r="D43" s="2">
        <v>4.1000000000000002E-2</v>
      </c>
      <c r="G43" s="8">
        <v>0.123</v>
      </c>
      <c r="H43" s="7">
        <f t="shared" si="14"/>
        <v>-0.33799999999999997</v>
      </c>
      <c r="I43" s="7">
        <f t="shared" si="15"/>
        <v>-0.28100000000000003</v>
      </c>
      <c r="J43" s="7">
        <f t="shared" si="16"/>
        <v>-0.161</v>
      </c>
      <c r="K43" s="7">
        <f t="shared" si="17"/>
        <v>-7.1185883783579498E-2</v>
      </c>
      <c r="L43" s="7">
        <f t="shared" si="18"/>
        <v>-1.51306484795731E-2</v>
      </c>
      <c r="M43" s="10">
        <f t="shared" si="19"/>
        <v>-5.4999999999999993E-2</v>
      </c>
      <c r="N43" s="1">
        <f t="shared" si="20"/>
        <v>-0.71762208067940547</v>
      </c>
      <c r="O43" s="1">
        <f t="shared" si="21"/>
        <v>-0.74142480211081796</v>
      </c>
      <c r="P43" s="1">
        <f t="shared" si="22"/>
        <v>-0.79702970297029696</v>
      </c>
      <c r="Q43" s="1">
        <f t="shared" si="23"/>
        <v>-1</v>
      </c>
      <c r="R43" s="1">
        <f t="shared" si="24"/>
        <v>-1</v>
      </c>
      <c r="S43" s="1">
        <f t="shared" si="25"/>
        <v>-0.3089887640449438</v>
      </c>
      <c r="T43" s="1"/>
    </row>
    <row r="44" spans="1:20">
      <c r="A44" t="s">
        <v>47</v>
      </c>
      <c r="B44" s="2">
        <v>0.23</v>
      </c>
      <c r="C44" s="2">
        <v>0.14899999999999999</v>
      </c>
      <c r="D44" s="2">
        <v>5.7000000000000002E-2</v>
      </c>
      <c r="G44" s="8">
        <v>0.224</v>
      </c>
      <c r="H44" s="7">
        <f t="shared" si="14"/>
        <v>-0.24099999999999996</v>
      </c>
      <c r="I44" s="7">
        <f t="shared" si="15"/>
        <v>-0.23</v>
      </c>
      <c r="J44" s="7">
        <f t="shared" si="16"/>
        <v>-0.14500000000000002</v>
      </c>
      <c r="K44" s="7">
        <f t="shared" si="17"/>
        <v>-7.1185883783579498E-2</v>
      </c>
      <c r="L44" s="7">
        <f t="shared" si="18"/>
        <v>-1.51306484795731E-2</v>
      </c>
      <c r="M44" s="10">
        <f t="shared" si="19"/>
        <v>4.6000000000000013E-2</v>
      </c>
      <c r="N44" s="1">
        <f t="shared" si="20"/>
        <v>-0.51167728237791932</v>
      </c>
      <c r="O44" s="1">
        <f t="shared" si="21"/>
        <v>-0.60686015831134565</v>
      </c>
      <c r="P44" s="1">
        <f t="shared" si="22"/>
        <v>-0.7178217821782179</v>
      </c>
      <c r="Q44" s="1">
        <f t="shared" si="23"/>
        <v>-1</v>
      </c>
      <c r="R44" s="1">
        <f t="shared" si="24"/>
        <v>-1</v>
      </c>
      <c r="S44" s="1">
        <f t="shared" si="25"/>
        <v>0.25842696629213491</v>
      </c>
      <c r="T44" s="1"/>
    </row>
    <row r="45" spans="1:20">
      <c r="A45" t="s">
        <v>48</v>
      </c>
      <c r="B45" s="2">
        <v>0.216</v>
      </c>
      <c r="C45" s="2">
        <v>0.13</v>
      </c>
      <c r="D45" s="2">
        <v>5.6000000000000001E-2</v>
      </c>
      <c r="E45" s="2">
        <v>0.107547115293052</v>
      </c>
      <c r="F45" s="2">
        <v>3.1002708272260801E-2</v>
      </c>
      <c r="G45" s="8">
        <v>0.21</v>
      </c>
      <c r="H45" s="7">
        <f t="shared" si="14"/>
        <v>-0.255</v>
      </c>
      <c r="I45" s="7">
        <f t="shared" si="15"/>
        <v>-0.249</v>
      </c>
      <c r="J45" s="7">
        <f t="shared" si="16"/>
        <v>-0.14600000000000002</v>
      </c>
      <c r="K45" s="7">
        <f t="shared" si="17"/>
        <v>3.63612315094725E-2</v>
      </c>
      <c r="L45" s="7">
        <f t="shared" si="18"/>
        <v>1.5872059792687701E-2</v>
      </c>
      <c r="M45" s="10">
        <f t="shared" si="19"/>
        <v>3.2000000000000001E-2</v>
      </c>
      <c r="N45" s="1">
        <f t="shared" si="20"/>
        <v>-0.54140127388535031</v>
      </c>
      <c r="O45" s="1">
        <f t="shared" si="21"/>
        <v>-0.65699208443271762</v>
      </c>
      <c r="P45" s="1">
        <f t="shared" si="22"/>
        <v>-0.72277227722772286</v>
      </c>
      <c r="Q45" s="1">
        <f t="shared" si="23"/>
        <v>0.51079272429936418</v>
      </c>
      <c r="R45" s="1">
        <f t="shared" si="24"/>
        <v>1.0490006303507435</v>
      </c>
      <c r="S45" s="1">
        <f t="shared" si="25"/>
        <v>0.17977528089887643</v>
      </c>
      <c r="T45" s="1"/>
    </row>
    <row r="46" spans="1:20">
      <c r="A46" t="s">
        <v>49</v>
      </c>
      <c r="B46" s="2">
        <v>0.246</v>
      </c>
      <c r="C46" s="2">
        <v>0.152</v>
      </c>
      <c r="D46" s="2">
        <v>6.0999999999999999E-2</v>
      </c>
      <c r="G46" s="8">
        <v>0.25800000000000001</v>
      </c>
      <c r="H46" s="7">
        <f t="shared" si="14"/>
        <v>-0.22499999999999998</v>
      </c>
      <c r="I46" s="7">
        <f t="shared" si="15"/>
        <v>-0.22700000000000001</v>
      </c>
      <c r="J46" s="7">
        <f t="shared" si="16"/>
        <v>-0.14100000000000001</v>
      </c>
      <c r="K46" s="7">
        <f t="shared" si="17"/>
        <v>-7.1185883783579498E-2</v>
      </c>
      <c r="L46" s="7">
        <f t="shared" si="18"/>
        <v>-1.51306484795731E-2</v>
      </c>
      <c r="M46" s="10">
        <f t="shared" si="19"/>
        <v>8.0000000000000016E-2</v>
      </c>
      <c r="N46" s="1">
        <f t="shared" si="20"/>
        <v>-0.47770700636942676</v>
      </c>
      <c r="O46" s="1">
        <f t="shared" si="21"/>
        <v>-0.59894459102902375</v>
      </c>
      <c r="P46" s="1">
        <f t="shared" si="22"/>
        <v>-0.69801980198019808</v>
      </c>
      <c r="Q46" s="1">
        <f t="shared" si="23"/>
        <v>-1</v>
      </c>
      <c r="R46" s="1">
        <f t="shared" si="24"/>
        <v>-1</v>
      </c>
      <c r="S46" s="1">
        <f t="shared" si="25"/>
        <v>0.44943820224719111</v>
      </c>
      <c r="T46" s="1"/>
    </row>
    <row r="47" spans="1:20">
      <c r="A47" t="s">
        <v>50</v>
      </c>
      <c r="B47" s="2">
        <v>0.13800000000000001</v>
      </c>
      <c r="C47" s="2">
        <v>8.5999999999999993E-2</v>
      </c>
      <c r="D47" s="2">
        <v>3.9E-2</v>
      </c>
      <c r="G47" s="8">
        <v>0.107</v>
      </c>
      <c r="H47" s="7">
        <f t="shared" si="14"/>
        <v>-0.33299999999999996</v>
      </c>
      <c r="I47" s="7">
        <f t="shared" si="15"/>
        <v>-0.29300000000000004</v>
      </c>
      <c r="J47" s="7">
        <f t="shared" si="16"/>
        <v>-0.16300000000000001</v>
      </c>
      <c r="K47" s="7">
        <f t="shared" si="17"/>
        <v>-7.1185883783579498E-2</v>
      </c>
      <c r="L47" s="7">
        <f t="shared" si="18"/>
        <v>-1.51306484795731E-2</v>
      </c>
      <c r="M47" s="10">
        <f t="shared" si="19"/>
        <v>-7.0999999999999994E-2</v>
      </c>
      <c r="N47" s="1">
        <f t="shared" si="20"/>
        <v>-0.70700636942675155</v>
      </c>
      <c r="O47" s="1">
        <f t="shared" si="21"/>
        <v>-0.77308707124010567</v>
      </c>
      <c r="P47" s="1">
        <f t="shared" si="22"/>
        <v>-0.80693069306930687</v>
      </c>
      <c r="Q47" s="1">
        <f t="shared" si="23"/>
        <v>-1</v>
      </c>
      <c r="R47" s="1">
        <f t="shared" si="24"/>
        <v>-1</v>
      </c>
      <c r="S47" s="1">
        <f t="shared" si="25"/>
        <v>-0.398876404494382</v>
      </c>
      <c r="T47" s="1"/>
    </row>
    <row r="48" spans="1:20">
      <c r="A48" t="s">
        <v>51</v>
      </c>
      <c r="B48" s="2">
        <v>0.25</v>
      </c>
      <c r="C48" s="2">
        <v>0.16</v>
      </c>
      <c r="D48" s="2">
        <v>6.4000000000000001E-2</v>
      </c>
      <c r="G48" s="8">
        <v>0.22900000000000001</v>
      </c>
      <c r="H48" s="7">
        <f t="shared" si="14"/>
        <v>-0.22099999999999997</v>
      </c>
      <c r="I48" s="7">
        <f t="shared" si="15"/>
        <v>-0.219</v>
      </c>
      <c r="J48" s="7">
        <f t="shared" si="16"/>
        <v>-0.13800000000000001</v>
      </c>
      <c r="K48" s="7">
        <f t="shared" si="17"/>
        <v>-7.1185883783579498E-2</v>
      </c>
      <c r="L48" s="7">
        <f t="shared" si="18"/>
        <v>-1.51306484795731E-2</v>
      </c>
      <c r="M48" s="10">
        <f t="shared" si="19"/>
        <v>5.1000000000000018E-2</v>
      </c>
      <c r="N48" s="1">
        <f t="shared" si="20"/>
        <v>-0.46921443736730356</v>
      </c>
      <c r="O48" s="1">
        <f t="shared" si="21"/>
        <v>-0.57783641160949872</v>
      </c>
      <c r="P48" s="1">
        <f t="shared" si="22"/>
        <v>-0.68316831683168322</v>
      </c>
      <c r="Q48" s="1">
        <f t="shared" si="23"/>
        <v>-1</v>
      </c>
      <c r="R48" s="1">
        <f t="shared" si="24"/>
        <v>-1</v>
      </c>
      <c r="S48" s="1">
        <f t="shared" si="25"/>
        <v>0.28651685393258436</v>
      </c>
      <c r="T48" s="1"/>
    </row>
    <row r="49" spans="1:20">
      <c r="A49" t="s">
        <v>52</v>
      </c>
      <c r="B49" s="2">
        <v>0.18099999999999999</v>
      </c>
      <c r="C49" s="2">
        <v>0.126</v>
      </c>
      <c r="D49" s="2">
        <v>5.0999999999999997E-2</v>
      </c>
      <c r="G49" s="8">
        <v>0.17</v>
      </c>
      <c r="H49" s="7">
        <f t="shared" si="14"/>
        <v>-0.28999999999999998</v>
      </c>
      <c r="I49" s="7">
        <f t="shared" si="15"/>
        <v>-0.253</v>
      </c>
      <c r="J49" s="7">
        <f t="shared" si="16"/>
        <v>-0.15100000000000002</v>
      </c>
      <c r="K49" s="7">
        <f t="shared" si="17"/>
        <v>-7.1185883783579498E-2</v>
      </c>
      <c r="L49" s="7">
        <f t="shared" si="18"/>
        <v>-1.51306484795731E-2</v>
      </c>
      <c r="M49" s="10">
        <f t="shared" si="19"/>
        <v>-7.9999999999999793E-3</v>
      </c>
      <c r="N49" s="1">
        <f t="shared" si="20"/>
        <v>-0.61571125265392779</v>
      </c>
      <c r="O49" s="1">
        <f t="shared" si="21"/>
        <v>-0.66754617414248019</v>
      </c>
      <c r="P49" s="1">
        <f t="shared" si="22"/>
        <v>-0.74752475247524763</v>
      </c>
      <c r="Q49" s="1">
        <f t="shared" si="23"/>
        <v>-1</v>
      </c>
      <c r="R49" s="1">
        <f t="shared" si="24"/>
        <v>-1</v>
      </c>
      <c r="S49" s="1">
        <f t="shared" si="25"/>
        <v>-4.4943820224718989E-2</v>
      </c>
      <c r="T49" s="1"/>
    </row>
    <row r="50" spans="1:20">
      <c r="A50" t="s">
        <v>53</v>
      </c>
      <c r="B50" s="2">
        <v>0.22700000000000001</v>
      </c>
      <c r="C50" s="2">
        <v>0.13100000000000001</v>
      </c>
      <c r="D50" s="2">
        <v>4.5999999999999999E-2</v>
      </c>
      <c r="G50" s="8">
        <v>0.22800000000000001</v>
      </c>
      <c r="H50" s="7">
        <f t="shared" si="14"/>
        <v>-0.24399999999999997</v>
      </c>
      <c r="I50" s="7">
        <f t="shared" si="15"/>
        <v>-0.248</v>
      </c>
      <c r="J50" s="7">
        <f t="shared" si="16"/>
        <v>-0.15600000000000003</v>
      </c>
      <c r="K50" s="7">
        <f t="shared" si="17"/>
        <v>-7.1185883783579498E-2</v>
      </c>
      <c r="L50" s="7">
        <f t="shared" si="18"/>
        <v>-1.51306484795731E-2</v>
      </c>
      <c r="M50" s="10">
        <f t="shared" si="19"/>
        <v>5.0000000000000017E-2</v>
      </c>
      <c r="N50" s="1">
        <f t="shared" si="20"/>
        <v>-0.51804670912951167</v>
      </c>
      <c r="O50" s="1">
        <f t="shared" si="21"/>
        <v>-0.65435356200527706</v>
      </c>
      <c r="P50" s="1">
        <f t="shared" si="22"/>
        <v>-0.77227722772277241</v>
      </c>
      <c r="Q50" s="1">
        <f t="shared" si="23"/>
        <v>-1</v>
      </c>
      <c r="R50" s="1">
        <f t="shared" si="24"/>
        <v>-1</v>
      </c>
      <c r="S50" s="1">
        <f t="shared" si="25"/>
        <v>0.28089887640449451</v>
      </c>
      <c r="T50" s="1"/>
    </row>
    <row r="51" spans="1:20">
      <c r="A51" t="s">
        <v>54</v>
      </c>
      <c r="B51" s="2">
        <v>0.14299999999999999</v>
      </c>
      <c r="C51" s="2">
        <v>8.2000000000000003E-2</v>
      </c>
      <c r="D51" s="2">
        <v>3.7999999999999999E-2</v>
      </c>
      <c r="G51" s="8">
        <v>0.14099999999999999</v>
      </c>
      <c r="H51" s="7">
        <f t="shared" si="14"/>
        <v>-0.32799999999999996</v>
      </c>
      <c r="I51" s="7">
        <f t="shared" si="15"/>
        <v>-0.29699999999999999</v>
      </c>
      <c r="J51" s="7">
        <f t="shared" si="16"/>
        <v>-0.16400000000000001</v>
      </c>
      <c r="K51" s="7">
        <f t="shared" si="17"/>
        <v>-7.1185883783579498E-2</v>
      </c>
      <c r="L51" s="7">
        <f t="shared" si="18"/>
        <v>-1.51306484795731E-2</v>
      </c>
      <c r="M51" s="10">
        <f t="shared" si="19"/>
        <v>-3.7000000000000005E-2</v>
      </c>
      <c r="N51" s="1">
        <f t="shared" si="20"/>
        <v>-0.69639065817409762</v>
      </c>
      <c r="O51" s="1">
        <f t="shared" si="21"/>
        <v>-0.78364116094986802</v>
      </c>
      <c r="P51" s="1">
        <f t="shared" si="22"/>
        <v>-0.81188118811881183</v>
      </c>
      <c r="Q51" s="1">
        <f t="shared" si="23"/>
        <v>-1</v>
      </c>
      <c r="R51" s="1">
        <f t="shared" si="24"/>
        <v>-1</v>
      </c>
      <c r="S51" s="1">
        <f t="shared" si="25"/>
        <v>-0.20786516853932588</v>
      </c>
      <c r="T51" s="1"/>
    </row>
    <row r="52" spans="1:20">
      <c r="A52" t="s">
        <v>55</v>
      </c>
      <c r="B52" s="2">
        <v>0.24399999999999999</v>
      </c>
      <c r="C52" s="2">
        <v>0.156</v>
      </c>
      <c r="D52" s="2">
        <v>0.06</v>
      </c>
      <c r="G52" s="8">
        <v>0.218</v>
      </c>
      <c r="H52" s="7">
        <f t="shared" si="14"/>
        <v>-0.22699999999999998</v>
      </c>
      <c r="I52" s="7">
        <f t="shared" si="15"/>
        <v>-0.223</v>
      </c>
      <c r="J52" s="7">
        <f t="shared" si="16"/>
        <v>-0.14200000000000002</v>
      </c>
      <c r="K52" s="7">
        <f t="shared" si="17"/>
        <v>-7.1185883783579498E-2</v>
      </c>
      <c r="L52" s="7">
        <f t="shared" si="18"/>
        <v>-1.51306484795731E-2</v>
      </c>
      <c r="M52" s="10">
        <f t="shared" si="19"/>
        <v>4.0000000000000008E-2</v>
      </c>
      <c r="N52" s="1">
        <f t="shared" si="20"/>
        <v>-0.48195329087048833</v>
      </c>
      <c r="O52" s="1">
        <f t="shared" si="21"/>
        <v>-0.58839050131926118</v>
      </c>
      <c r="P52" s="1">
        <f t="shared" si="22"/>
        <v>-0.70297029702970304</v>
      </c>
      <c r="Q52" s="1">
        <f t="shared" si="23"/>
        <v>-1</v>
      </c>
      <c r="R52" s="1">
        <f t="shared" si="24"/>
        <v>-1</v>
      </c>
      <c r="S52" s="1">
        <f t="shared" si="25"/>
        <v>0.22471910112359555</v>
      </c>
      <c r="T52" s="1"/>
    </row>
    <row r="53" spans="1:20">
      <c r="A53" t="s">
        <v>56</v>
      </c>
      <c r="B53" s="2">
        <v>0.14699999999999999</v>
      </c>
      <c r="C53" s="2">
        <v>0.11</v>
      </c>
      <c r="D53" s="2">
        <v>4.2000000000000003E-2</v>
      </c>
      <c r="E53" s="2">
        <v>7.6441839757896202E-2</v>
      </c>
      <c r="F53" s="2">
        <v>2.8668673840595599E-2</v>
      </c>
      <c r="G53" s="8">
        <v>0.11899999999999999</v>
      </c>
      <c r="H53" s="7">
        <f t="shared" si="14"/>
        <v>-0.32399999999999995</v>
      </c>
      <c r="I53" s="7">
        <f t="shared" si="15"/>
        <v>-0.26900000000000002</v>
      </c>
      <c r="J53" s="7">
        <f t="shared" si="16"/>
        <v>-0.16</v>
      </c>
      <c r="K53" s="7">
        <f t="shared" si="17"/>
        <v>5.2559559743167034E-3</v>
      </c>
      <c r="L53" s="7">
        <f t="shared" si="18"/>
        <v>1.3538025361022499E-2</v>
      </c>
      <c r="M53" s="10">
        <f t="shared" si="19"/>
        <v>-5.8999999999999997E-2</v>
      </c>
      <c r="N53" s="1">
        <f t="shared" si="20"/>
        <v>-0.68789808917197448</v>
      </c>
      <c r="O53" s="1">
        <f t="shared" si="21"/>
        <v>-0.70976253298153036</v>
      </c>
      <c r="P53" s="1">
        <f t="shared" si="22"/>
        <v>-0.79207920792079201</v>
      </c>
      <c r="Q53" s="1">
        <f t="shared" si="23"/>
        <v>7.3834244866523652E-2</v>
      </c>
      <c r="R53" s="1">
        <f t="shared" si="24"/>
        <v>0.89474191270118408</v>
      </c>
      <c r="S53" s="1">
        <f t="shared" si="25"/>
        <v>-0.33146067415730335</v>
      </c>
      <c r="T53" s="1"/>
    </row>
    <row r="54" spans="1:20">
      <c r="A54" t="s">
        <v>57</v>
      </c>
      <c r="B54" s="2">
        <v>0.27300000000000002</v>
      </c>
      <c r="C54" s="2">
        <v>0.17799999999999999</v>
      </c>
      <c r="D54" s="2">
        <v>5.8000000000000003E-2</v>
      </c>
      <c r="E54" s="2">
        <v>0.158953046925668</v>
      </c>
      <c r="F54" s="2">
        <v>5.0157885796825202E-2</v>
      </c>
      <c r="G54" s="8">
        <v>0.26200000000000001</v>
      </c>
      <c r="H54" s="7">
        <f t="shared" si="14"/>
        <v>-0.19799999999999995</v>
      </c>
      <c r="I54" s="7">
        <f t="shared" si="15"/>
        <v>-0.20100000000000001</v>
      </c>
      <c r="J54" s="7">
        <f t="shared" si="16"/>
        <v>-0.14400000000000002</v>
      </c>
      <c r="K54" s="7">
        <f t="shared" si="17"/>
        <v>8.7767163142088503E-2</v>
      </c>
      <c r="L54" s="7">
        <f t="shared" si="18"/>
        <v>3.5027237317252102E-2</v>
      </c>
      <c r="M54" s="10">
        <f t="shared" si="19"/>
        <v>8.4000000000000019E-2</v>
      </c>
      <c r="N54" s="1">
        <f t="shared" si="20"/>
        <v>-0.42038216560509545</v>
      </c>
      <c r="O54" s="1">
        <f t="shared" si="21"/>
        <v>-0.53034300791556732</v>
      </c>
      <c r="P54" s="1">
        <f t="shared" si="22"/>
        <v>-0.71287128712871295</v>
      </c>
      <c r="Q54" s="1">
        <f t="shared" si="23"/>
        <v>1.2329293179659002</v>
      </c>
      <c r="R54" s="1">
        <f t="shared" si="24"/>
        <v>2.3149858622741837</v>
      </c>
      <c r="S54" s="1">
        <f t="shared" si="25"/>
        <v>0.47191011235955072</v>
      </c>
      <c r="T54" s="1"/>
    </row>
    <row r="55" spans="1:20">
      <c r="A55" t="s">
        <v>58</v>
      </c>
      <c r="B55" s="2">
        <v>0.19400000000000001</v>
      </c>
      <c r="C55" s="2">
        <v>0.13200000000000001</v>
      </c>
      <c r="D55" s="2">
        <v>0.06</v>
      </c>
      <c r="E55" s="2">
        <v>0.114635534554834</v>
      </c>
      <c r="F55" s="2">
        <v>3.4955244147572298E-2</v>
      </c>
      <c r="G55" s="8">
        <v>0.158</v>
      </c>
      <c r="H55" s="7">
        <f t="shared" si="14"/>
        <v>-0.27699999999999997</v>
      </c>
      <c r="I55" s="7">
        <f t="shared" si="15"/>
        <v>-0.247</v>
      </c>
      <c r="J55" s="7">
        <f t="shared" si="16"/>
        <v>-0.14200000000000002</v>
      </c>
      <c r="K55" s="7">
        <f t="shared" si="17"/>
        <v>4.3449650771254497E-2</v>
      </c>
      <c r="L55" s="7">
        <f t="shared" si="18"/>
        <v>1.9824595667999198E-2</v>
      </c>
      <c r="M55" s="10">
        <f t="shared" si="19"/>
        <v>-1.999999999999999E-2</v>
      </c>
      <c r="N55" s="1">
        <f t="shared" si="20"/>
        <v>-0.58811040339702758</v>
      </c>
      <c r="O55" s="1">
        <f t="shared" si="21"/>
        <v>-0.65171503957783639</v>
      </c>
      <c r="P55" s="1">
        <f t="shared" si="22"/>
        <v>-0.70297029702970304</v>
      </c>
      <c r="Q55" s="1">
        <f t="shared" si="23"/>
        <v>0.61036891672723825</v>
      </c>
      <c r="R55" s="1">
        <f t="shared" si="24"/>
        <v>1.310227760215505</v>
      </c>
      <c r="S55" s="1">
        <f t="shared" si="25"/>
        <v>-0.11235955056179771</v>
      </c>
      <c r="T55" s="1"/>
    </row>
    <row r="56" spans="1:20">
      <c r="A56" s="4" t="s">
        <v>59</v>
      </c>
      <c r="B56" s="2">
        <v>0.28000000000000003</v>
      </c>
      <c r="C56" s="2">
        <v>0.191</v>
      </c>
      <c r="D56" s="2">
        <v>8.1000000000000003E-2</v>
      </c>
      <c r="E56" s="2">
        <v>0.22020893234421399</v>
      </c>
      <c r="F56" s="2">
        <v>6.9002837889704002E-2</v>
      </c>
      <c r="G56" s="8">
        <v>0.29899999999999999</v>
      </c>
      <c r="H56" s="7">
        <f t="shared" si="14"/>
        <v>-0.19099999999999995</v>
      </c>
      <c r="I56" s="7">
        <f t="shared" si="15"/>
        <v>-0.188</v>
      </c>
      <c r="J56" s="7">
        <f t="shared" si="16"/>
        <v>-0.12100000000000001</v>
      </c>
      <c r="K56" s="7">
        <f t="shared" si="17"/>
        <v>0.14902304856063447</v>
      </c>
      <c r="L56" s="7">
        <f t="shared" si="18"/>
        <v>5.3872189410130902E-2</v>
      </c>
      <c r="M56" s="10">
        <f t="shared" si="19"/>
        <v>0.121</v>
      </c>
      <c r="N56" s="1">
        <f t="shared" si="20"/>
        <v>-0.40552016985137995</v>
      </c>
      <c r="O56" s="1">
        <f t="shared" si="21"/>
        <v>-0.49604221635883905</v>
      </c>
      <c r="P56" s="1">
        <f t="shared" si="22"/>
        <v>-0.59900990099009899</v>
      </c>
      <c r="Q56" s="1">
        <f t="shared" si="23"/>
        <v>2.0934353925238436</v>
      </c>
      <c r="R56" s="1">
        <f t="shared" si="24"/>
        <v>3.5604679788087221</v>
      </c>
      <c r="S56" s="1">
        <f t="shared" si="25"/>
        <v>0.6797752808988764</v>
      </c>
      <c r="T56" s="1"/>
    </row>
    <row r="57" spans="1:20">
      <c r="A57" t="s">
        <v>60</v>
      </c>
      <c r="B57" s="2">
        <v>0.192</v>
      </c>
      <c r="C57" s="2">
        <v>0.10299999999999999</v>
      </c>
      <c r="D57" s="2">
        <v>4.8000000000000001E-2</v>
      </c>
      <c r="E57" s="2">
        <v>4.7095660110986003E-2</v>
      </c>
      <c r="F57" s="2">
        <v>1.5880638907513001E-2</v>
      </c>
      <c r="G57" s="8">
        <v>0.115</v>
      </c>
      <c r="H57" s="7">
        <f t="shared" si="14"/>
        <v>-0.27899999999999997</v>
      </c>
      <c r="I57" s="7">
        <f t="shared" si="15"/>
        <v>-0.27600000000000002</v>
      </c>
      <c r="J57" s="7">
        <f t="shared" si="16"/>
        <v>-0.15400000000000003</v>
      </c>
      <c r="K57" s="7">
        <f t="shared" si="17"/>
        <v>-2.4090223672593496E-2</v>
      </c>
      <c r="L57" s="7">
        <f t="shared" si="18"/>
        <v>7.4999042793990126E-4</v>
      </c>
      <c r="M57" s="10">
        <f t="shared" si="19"/>
        <v>-6.2999999999999987E-2</v>
      </c>
      <c r="N57" s="1">
        <f t="shared" si="20"/>
        <v>-0.59235668789808915</v>
      </c>
      <c r="O57" s="1">
        <f t="shared" si="21"/>
        <v>-0.72823218997361483</v>
      </c>
      <c r="P57" s="1">
        <f t="shared" si="22"/>
        <v>-0.7623762376237625</v>
      </c>
      <c r="Q57" s="1">
        <f t="shared" si="23"/>
        <v>-0.33841293234249914</v>
      </c>
      <c r="R57" s="1">
        <f t="shared" si="24"/>
        <v>4.9567632805191025E-2</v>
      </c>
      <c r="S57" s="1">
        <f t="shared" si="25"/>
        <v>-0.35393258426966284</v>
      </c>
      <c r="T57" s="1"/>
    </row>
    <row r="58" spans="1:20">
      <c r="A58" t="s">
        <v>61</v>
      </c>
      <c r="B58" s="2">
        <v>0.32</v>
      </c>
      <c r="C58" s="2">
        <v>0.23699999999999999</v>
      </c>
      <c r="D58" s="2">
        <v>8.5000000000000006E-2</v>
      </c>
      <c r="E58" s="2">
        <v>0.215195159127017</v>
      </c>
      <c r="F58" s="2">
        <v>6.2700047172770806E-2</v>
      </c>
      <c r="G58" s="8">
        <v>0.30399999999999999</v>
      </c>
      <c r="H58" s="7">
        <f t="shared" si="14"/>
        <v>-0.15099999999999997</v>
      </c>
      <c r="I58" s="7">
        <f t="shared" si="15"/>
        <v>-0.14200000000000002</v>
      </c>
      <c r="J58" s="7">
        <f t="shared" si="16"/>
        <v>-0.11700000000000001</v>
      </c>
      <c r="K58" s="7">
        <f t="shared" si="17"/>
        <v>0.14400927534343749</v>
      </c>
      <c r="L58" s="7">
        <f t="shared" si="18"/>
        <v>4.7569398693197706E-2</v>
      </c>
      <c r="M58" s="10">
        <f t="shared" si="19"/>
        <v>0.126</v>
      </c>
      <c r="N58" s="1">
        <f t="shared" si="20"/>
        <v>-0.32059447983014855</v>
      </c>
      <c r="O58" s="1">
        <f t="shared" si="21"/>
        <v>-0.37467018469656993</v>
      </c>
      <c r="P58" s="1">
        <f t="shared" si="22"/>
        <v>-0.57920792079207917</v>
      </c>
      <c r="Q58" s="1">
        <f t="shared" si="23"/>
        <v>2.0230032653841437</v>
      </c>
      <c r="R58" s="1">
        <f t="shared" si="24"/>
        <v>3.1439101078462066</v>
      </c>
      <c r="S58" s="1">
        <f t="shared" si="25"/>
        <v>0.70786516853932591</v>
      </c>
      <c r="T58" s="1"/>
    </row>
    <row r="59" spans="1:20">
      <c r="A59" t="s">
        <v>62</v>
      </c>
      <c r="B59" s="2">
        <v>0.216</v>
      </c>
      <c r="C59" s="2">
        <v>0.123</v>
      </c>
      <c r="D59" s="2">
        <v>5.5E-2</v>
      </c>
      <c r="E59" s="2">
        <v>0.1059632508602</v>
      </c>
      <c r="F59" s="2">
        <v>3.3047965145417899E-2</v>
      </c>
      <c r="G59" s="8">
        <v>0.19700000000000001</v>
      </c>
      <c r="H59" s="7">
        <f t="shared" si="14"/>
        <v>-0.255</v>
      </c>
      <c r="I59" s="7">
        <f t="shared" si="15"/>
        <v>-0.25600000000000001</v>
      </c>
      <c r="J59" s="7">
        <f t="shared" si="16"/>
        <v>-0.14700000000000002</v>
      </c>
      <c r="K59" s="7">
        <f t="shared" si="17"/>
        <v>3.4777367076620505E-2</v>
      </c>
      <c r="L59" s="7">
        <f t="shared" si="18"/>
        <v>1.7917316665844799E-2</v>
      </c>
      <c r="M59" s="10">
        <f t="shared" si="19"/>
        <v>1.9000000000000017E-2</v>
      </c>
      <c r="N59" s="1">
        <f t="shared" si="20"/>
        <v>-0.54140127388535031</v>
      </c>
      <c r="O59" s="1">
        <f t="shared" si="21"/>
        <v>-0.67546174142480209</v>
      </c>
      <c r="P59" s="1">
        <f t="shared" si="22"/>
        <v>-0.72772277227722781</v>
      </c>
      <c r="Q59" s="1">
        <f t="shared" si="23"/>
        <v>0.48854302606330252</v>
      </c>
      <c r="R59" s="1">
        <f t="shared" si="24"/>
        <v>1.1841737444388982</v>
      </c>
      <c r="S59" s="1">
        <f t="shared" si="25"/>
        <v>0.10674157303370796</v>
      </c>
      <c r="T59" s="1"/>
    </row>
    <row r="60" spans="1:20">
      <c r="A60" s="5" t="s">
        <v>63</v>
      </c>
      <c r="B60" s="2">
        <v>0.32400000000000001</v>
      </c>
      <c r="C60" s="2">
        <v>0.218</v>
      </c>
      <c r="D60" s="2">
        <v>8.7999999999999995E-2</v>
      </c>
      <c r="E60" s="2">
        <v>0.224021971644004</v>
      </c>
      <c r="F60" s="2">
        <v>6.4195345079886806E-2</v>
      </c>
      <c r="G60" s="8">
        <v>0.32</v>
      </c>
      <c r="H60" s="7">
        <f t="shared" si="14"/>
        <v>-0.14699999999999996</v>
      </c>
      <c r="I60" s="7">
        <f t="shared" si="15"/>
        <v>-0.161</v>
      </c>
      <c r="J60" s="7">
        <f t="shared" si="16"/>
        <v>-0.11400000000000002</v>
      </c>
      <c r="K60" s="7">
        <f t="shared" si="17"/>
        <v>0.15283608786042452</v>
      </c>
      <c r="L60" s="7">
        <f t="shared" si="18"/>
        <v>4.9064696600313706E-2</v>
      </c>
      <c r="M60" s="10">
        <f t="shared" si="19"/>
        <v>0.14200000000000002</v>
      </c>
      <c r="N60" s="1">
        <f t="shared" si="20"/>
        <v>-0.31210191082802541</v>
      </c>
      <c r="O60" s="1">
        <f t="shared" si="21"/>
        <v>-0.42480211081794195</v>
      </c>
      <c r="P60" s="1">
        <f t="shared" si="22"/>
        <v>-0.56435643564356441</v>
      </c>
      <c r="Q60" s="1">
        <f t="shared" si="23"/>
        <v>2.1469999350584636</v>
      </c>
      <c r="R60" s="1">
        <f t="shared" si="24"/>
        <v>3.2427358725934812</v>
      </c>
      <c r="S60" s="1">
        <f t="shared" si="25"/>
        <v>0.79775280898876422</v>
      </c>
      <c r="T60" s="1"/>
    </row>
    <row r="61" spans="1:20">
      <c r="A61" t="s">
        <v>64</v>
      </c>
      <c r="B61" s="2">
        <v>0.193</v>
      </c>
      <c r="C61" s="2">
        <v>0.121</v>
      </c>
      <c r="D61" s="2">
        <v>5.1999999999999998E-2</v>
      </c>
      <c r="E61" s="2">
        <v>7.8983953417480005E-2</v>
      </c>
      <c r="F61" s="2">
        <v>2.5646040067912799E-2</v>
      </c>
      <c r="G61" s="8">
        <v>0.14799999999999999</v>
      </c>
      <c r="H61" s="7">
        <f t="shared" si="14"/>
        <v>-0.27799999999999997</v>
      </c>
      <c r="I61" s="7">
        <f t="shared" si="15"/>
        <v>-0.25800000000000001</v>
      </c>
      <c r="J61" s="7">
        <f t="shared" si="16"/>
        <v>-0.15000000000000002</v>
      </c>
      <c r="K61" s="7">
        <f t="shared" si="17"/>
        <v>7.7980696339005062E-3</v>
      </c>
      <c r="L61" s="7">
        <f t="shared" si="18"/>
        <v>1.0515391588339699E-2</v>
      </c>
      <c r="M61" s="10">
        <f t="shared" si="19"/>
        <v>-0.03</v>
      </c>
      <c r="N61" s="1">
        <f t="shared" si="20"/>
        <v>-0.59023354564755837</v>
      </c>
      <c r="O61" s="1">
        <f t="shared" si="21"/>
        <v>-0.68073878627968343</v>
      </c>
      <c r="P61" s="1">
        <f t="shared" si="22"/>
        <v>-0.74257425742574268</v>
      </c>
      <c r="Q61" s="1">
        <f t="shared" si="23"/>
        <v>0.10954516850009655</v>
      </c>
      <c r="R61" s="1">
        <f t="shared" si="24"/>
        <v>0.69497296183543233</v>
      </c>
      <c r="S61" s="1">
        <f t="shared" si="25"/>
        <v>-0.16853932584269662</v>
      </c>
      <c r="T61" s="1"/>
    </row>
    <row r="62" spans="1:20">
      <c r="A62" t="s">
        <v>65</v>
      </c>
      <c r="B62" s="2">
        <v>0.29799999999999999</v>
      </c>
      <c r="C62" s="2">
        <v>0.22700000000000001</v>
      </c>
      <c r="D62" s="2">
        <v>8.2000000000000003E-2</v>
      </c>
      <c r="E62" s="2">
        <v>0.212088786842798</v>
      </c>
      <c r="F62" s="2">
        <v>6.3773009130840205E-2</v>
      </c>
      <c r="G62" s="8">
        <v>0.29099999999999998</v>
      </c>
      <c r="H62" s="7">
        <f t="shared" si="14"/>
        <v>-0.17299999999999999</v>
      </c>
      <c r="I62" s="7">
        <f t="shared" si="15"/>
        <v>-0.152</v>
      </c>
      <c r="J62" s="7">
        <f t="shared" si="16"/>
        <v>-0.12000000000000001</v>
      </c>
      <c r="K62" s="7">
        <f t="shared" si="17"/>
        <v>0.14090290305921849</v>
      </c>
      <c r="L62" s="7">
        <f t="shared" si="18"/>
        <v>4.8642360651267105E-2</v>
      </c>
      <c r="M62" s="10">
        <f t="shared" si="19"/>
        <v>0.11299999999999999</v>
      </c>
      <c r="N62" s="1">
        <f t="shared" si="20"/>
        <v>-0.36730360934182588</v>
      </c>
      <c r="O62" s="1">
        <f t="shared" si="21"/>
        <v>-0.40105540897097625</v>
      </c>
      <c r="P62" s="1">
        <f t="shared" si="22"/>
        <v>-0.59405940594059403</v>
      </c>
      <c r="Q62" s="1">
        <f t="shared" si="23"/>
        <v>1.9793657895376255</v>
      </c>
      <c r="R62" s="1">
        <f t="shared" si="24"/>
        <v>3.214823258694826</v>
      </c>
      <c r="S62" s="1">
        <f t="shared" si="25"/>
        <v>0.6348314606741573</v>
      </c>
      <c r="T62" s="1"/>
    </row>
    <row r="63" spans="1:20">
      <c r="A63" t="s">
        <v>66</v>
      </c>
      <c r="B63" s="2">
        <v>0.20799999999999999</v>
      </c>
      <c r="C63" s="2">
        <v>0.122</v>
      </c>
      <c r="D63" s="2">
        <v>5.5E-2</v>
      </c>
      <c r="E63" s="2">
        <v>0.105543633570825</v>
      </c>
      <c r="F63" s="2">
        <v>3.2444541892546697E-2</v>
      </c>
      <c r="G63" s="8">
        <v>0.189</v>
      </c>
      <c r="H63" s="7">
        <f t="shared" si="14"/>
        <v>-0.26300000000000001</v>
      </c>
      <c r="I63" s="7">
        <f t="shared" si="15"/>
        <v>-0.25700000000000001</v>
      </c>
      <c r="J63" s="7">
        <f t="shared" si="16"/>
        <v>-0.14700000000000002</v>
      </c>
      <c r="K63" s="7">
        <f t="shared" si="17"/>
        <v>3.4357749787245498E-2</v>
      </c>
      <c r="L63" s="7">
        <f t="shared" si="18"/>
        <v>1.7313893412973597E-2</v>
      </c>
      <c r="M63" s="10">
        <f t="shared" si="19"/>
        <v>1.100000000000001E-2</v>
      </c>
      <c r="N63" s="1">
        <f t="shared" si="20"/>
        <v>-0.5583864118895967</v>
      </c>
      <c r="O63" s="1">
        <f t="shared" si="21"/>
        <v>-0.67810026385224276</v>
      </c>
      <c r="P63" s="1">
        <f t="shared" si="22"/>
        <v>-0.72772277227722781</v>
      </c>
      <c r="Q63" s="1">
        <f t="shared" si="23"/>
        <v>0.48264835612212803</v>
      </c>
      <c r="R63" s="1">
        <f t="shared" si="24"/>
        <v>1.1442928858170192</v>
      </c>
      <c r="S63" s="1">
        <f t="shared" si="25"/>
        <v>6.1797752808988825E-2</v>
      </c>
      <c r="T63" s="1"/>
    </row>
    <row r="64" spans="1:20">
      <c r="A64" s="5" t="s">
        <v>67</v>
      </c>
      <c r="B64" s="2">
        <v>0.32100000000000001</v>
      </c>
      <c r="C64" s="2">
        <v>0.22</v>
      </c>
      <c r="D64" s="2">
        <v>8.8999999999999996E-2</v>
      </c>
      <c r="E64" s="2">
        <v>0.22668513710514701</v>
      </c>
      <c r="F64" s="2">
        <v>6.4751058628537E-2</v>
      </c>
      <c r="G64" s="8">
        <v>0.30599999999999999</v>
      </c>
      <c r="H64" s="7">
        <f t="shared" si="14"/>
        <v>-0.14999999999999997</v>
      </c>
      <c r="I64" s="7">
        <f t="shared" si="15"/>
        <v>-0.159</v>
      </c>
      <c r="J64" s="7">
        <f t="shared" si="16"/>
        <v>-0.11300000000000002</v>
      </c>
      <c r="K64" s="7">
        <f t="shared" si="17"/>
        <v>0.1554992533215675</v>
      </c>
      <c r="L64" s="7">
        <f t="shared" si="18"/>
        <v>4.96204101489639E-2</v>
      </c>
      <c r="M64" s="10">
        <f t="shared" si="19"/>
        <v>0.128</v>
      </c>
      <c r="N64" s="1">
        <f t="shared" si="20"/>
        <v>-0.31847133757961776</v>
      </c>
      <c r="O64" s="1">
        <f t="shared" si="21"/>
        <v>-0.41952506596306066</v>
      </c>
      <c r="P64" s="1">
        <f t="shared" si="22"/>
        <v>-0.55940594059405946</v>
      </c>
      <c r="Q64" s="1">
        <f t="shared" si="23"/>
        <v>2.1844113615884702</v>
      </c>
      <c r="R64" s="1">
        <f t="shared" si="24"/>
        <v>3.2794635481719885</v>
      </c>
      <c r="S64" s="1">
        <f t="shared" si="25"/>
        <v>0.71910112359550571</v>
      </c>
      <c r="T64" s="1"/>
    </row>
    <row r="65" spans="1:20">
      <c r="A65" t="s">
        <v>68</v>
      </c>
      <c r="B65" s="2">
        <v>0.111</v>
      </c>
      <c r="C65" s="2">
        <v>5.8000000000000003E-2</v>
      </c>
      <c r="D65" s="2">
        <v>2.7E-2</v>
      </c>
      <c r="E65" s="2">
        <v>3.9019069083925703E-2</v>
      </c>
      <c r="F65" s="2">
        <v>1.46610352607617E-2</v>
      </c>
      <c r="G65" s="8">
        <v>7.6999999999999999E-2</v>
      </c>
      <c r="H65" s="7">
        <f t="shared" si="14"/>
        <v>-0.36</v>
      </c>
      <c r="I65" s="7">
        <f t="shared" si="15"/>
        <v>-0.32100000000000001</v>
      </c>
      <c r="J65" s="7">
        <f t="shared" si="16"/>
        <v>-0.17500000000000002</v>
      </c>
      <c r="K65" s="7">
        <f t="shared" si="17"/>
        <v>-3.2166814699653795E-2</v>
      </c>
      <c r="L65" s="7">
        <f t="shared" si="18"/>
        <v>-4.6961321881140022E-4</v>
      </c>
      <c r="M65" s="10">
        <f t="shared" si="19"/>
        <v>-0.10099999999999999</v>
      </c>
      <c r="N65" s="1">
        <f t="shared" si="20"/>
        <v>-0.76433121019108285</v>
      </c>
      <c r="O65" s="1">
        <f t="shared" si="21"/>
        <v>-0.84696569920844333</v>
      </c>
      <c r="P65" s="1">
        <f t="shared" si="22"/>
        <v>-0.86633663366336633</v>
      </c>
      <c r="Q65" s="1">
        <f t="shared" si="23"/>
        <v>-0.45187069387868917</v>
      </c>
      <c r="R65" s="1">
        <f t="shared" si="24"/>
        <v>-3.1037216907483796E-2</v>
      </c>
      <c r="S65" s="1">
        <f t="shared" si="25"/>
        <v>-0.56741573033707859</v>
      </c>
      <c r="T65" s="1"/>
    </row>
    <row r="66" spans="1:20">
      <c r="A66" t="s">
        <v>69</v>
      </c>
      <c r="B66" s="2">
        <v>0.34</v>
      </c>
      <c r="C66" s="2">
        <v>0.248</v>
      </c>
      <c r="D66" s="2">
        <v>8.5999999999999993E-2</v>
      </c>
      <c r="E66" s="2">
        <v>0.22427479636404499</v>
      </c>
      <c r="F66" s="2">
        <v>7.7179988246611694E-2</v>
      </c>
      <c r="G66" s="8">
        <v>0.30299999999999999</v>
      </c>
      <c r="H66" s="7">
        <f t="shared" ref="H66:H97" si="26">B66-V$2</f>
        <v>-0.13099999999999995</v>
      </c>
      <c r="I66" s="7">
        <f t="shared" ref="I66:I97" si="27">C66-W$2</f>
        <v>-0.13100000000000001</v>
      </c>
      <c r="J66" s="7">
        <f t="shared" ref="J66:J97" si="28">D66-X$2</f>
        <v>-0.11600000000000002</v>
      </c>
      <c r="K66" s="7">
        <f t="shared" ref="K66:K97" si="29">E66-Y$2</f>
        <v>0.15308891258046547</v>
      </c>
      <c r="L66" s="7">
        <f t="shared" ref="L66:L97" si="30">F66-Z$2</f>
        <v>6.2049339767038594E-2</v>
      </c>
      <c r="M66" s="10">
        <f t="shared" ref="M66:M97" si="31">G66-AA$2</f>
        <v>0.125</v>
      </c>
      <c r="N66" s="1">
        <f t="shared" ref="N66:N97" si="32">(B66-V$2)/V$2</f>
        <v>-0.27813163481953279</v>
      </c>
      <c r="O66" s="1">
        <f t="shared" ref="O66:O97" si="33">(C66-W$2)/W$2</f>
        <v>-0.34564643799472294</v>
      </c>
      <c r="P66" s="1">
        <f t="shared" ref="P66:P97" si="34">(D66-X$2)/X$2</f>
        <v>-0.57425742574257432</v>
      </c>
      <c r="Q66" s="1">
        <f t="shared" ref="Q66:Q97" si="35">(E66-Y$2)/Y$2</f>
        <v>2.1505515481958324</v>
      </c>
      <c r="R66" s="1">
        <f t="shared" ref="R66:R97" si="36">(F66-Z$2)/Z$2</f>
        <v>4.1009041913046458</v>
      </c>
      <c r="S66" s="1">
        <f t="shared" ref="S66:S97" si="37">(G66-AA$2)/AA$2</f>
        <v>0.702247191011236</v>
      </c>
      <c r="T66" s="1"/>
    </row>
    <row r="67" spans="1:20">
      <c r="A67" t="s">
        <v>70</v>
      </c>
      <c r="B67" s="2">
        <v>0.182</v>
      </c>
      <c r="C67" s="2">
        <v>0.123</v>
      </c>
      <c r="D67" s="2">
        <v>5.0999999999999997E-2</v>
      </c>
      <c r="E67" s="2">
        <v>0.10244404440949401</v>
      </c>
      <c r="F67" s="2">
        <v>3.0236893768655598E-2</v>
      </c>
      <c r="G67" s="8">
        <v>0.17299999999999999</v>
      </c>
      <c r="H67" s="7">
        <f t="shared" si="26"/>
        <v>-0.28899999999999998</v>
      </c>
      <c r="I67" s="7">
        <f t="shared" si="27"/>
        <v>-0.25600000000000001</v>
      </c>
      <c r="J67" s="7">
        <f t="shared" si="28"/>
        <v>-0.15100000000000002</v>
      </c>
      <c r="K67" s="7">
        <f t="shared" si="29"/>
        <v>3.1258160625914508E-2</v>
      </c>
      <c r="L67" s="7">
        <f t="shared" si="30"/>
        <v>1.5106245289082498E-2</v>
      </c>
      <c r="M67" s="10">
        <f t="shared" si="31"/>
        <v>-5.0000000000000044E-3</v>
      </c>
      <c r="N67" s="1">
        <f t="shared" si="32"/>
        <v>-0.613588110403397</v>
      </c>
      <c r="O67" s="1">
        <f t="shared" si="33"/>
        <v>-0.67546174142480209</v>
      </c>
      <c r="P67" s="1">
        <f t="shared" si="34"/>
        <v>-0.74752475247524763</v>
      </c>
      <c r="Q67" s="1">
        <f t="shared" si="35"/>
        <v>0.43910616774733152</v>
      </c>
      <c r="R67" s="1">
        <f t="shared" si="36"/>
        <v>0.99838716823515217</v>
      </c>
      <c r="S67" s="1">
        <f t="shared" si="37"/>
        <v>-2.8089887640449465E-2</v>
      </c>
      <c r="T67" s="1"/>
    </row>
    <row r="68" spans="1:20">
      <c r="A68" s="5" t="s">
        <v>71</v>
      </c>
      <c r="B68" s="2">
        <v>0.32100000000000001</v>
      </c>
      <c r="C68" s="2">
        <v>0.21199999999999999</v>
      </c>
      <c r="D68" s="2">
        <v>8.3000000000000004E-2</v>
      </c>
      <c r="E68" s="2">
        <v>0.215453952692816</v>
      </c>
      <c r="F68" s="2">
        <v>6.51422408572888E-2</v>
      </c>
      <c r="G68" s="8">
        <v>0.33300000000000002</v>
      </c>
      <c r="H68" s="7">
        <f t="shared" si="26"/>
        <v>-0.14999999999999997</v>
      </c>
      <c r="I68" s="7">
        <f t="shared" si="27"/>
        <v>-0.16700000000000001</v>
      </c>
      <c r="J68" s="7">
        <f t="shared" si="28"/>
        <v>-0.11900000000000001</v>
      </c>
      <c r="K68" s="7">
        <f t="shared" si="29"/>
        <v>0.14426806890923649</v>
      </c>
      <c r="L68" s="7">
        <f t="shared" si="30"/>
        <v>5.00115923777157E-2</v>
      </c>
      <c r="M68" s="10">
        <f t="shared" si="31"/>
        <v>0.15500000000000003</v>
      </c>
      <c r="N68" s="1">
        <f t="shared" si="32"/>
        <v>-0.31847133757961776</v>
      </c>
      <c r="O68" s="1">
        <f t="shared" si="33"/>
        <v>-0.44063324538258575</v>
      </c>
      <c r="P68" s="1">
        <f t="shared" si="34"/>
        <v>-0.58910891089108908</v>
      </c>
      <c r="Q68" s="1">
        <f t="shared" si="35"/>
        <v>2.0266387272488275</v>
      </c>
      <c r="R68" s="1">
        <f t="shared" si="36"/>
        <v>3.305317180901604</v>
      </c>
      <c r="S68" s="1">
        <f t="shared" si="37"/>
        <v>0.87078651685393282</v>
      </c>
      <c r="T68" s="1"/>
    </row>
    <row r="69" spans="1:20">
      <c r="A69" t="s">
        <v>72</v>
      </c>
      <c r="B69" s="2">
        <v>0.14399999999999999</v>
      </c>
      <c r="C69" s="2">
        <v>0.123</v>
      </c>
      <c r="D69" s="2">
        <v>5.5E-2</v>
      </c>
      <c r="E69" s="2">
        <v>0.122337612116328</v>
      </c>
      <c r="F69" s="2">
        <v>4.4476837403841202E-2</v>
      </c>
      <c r="G69" s="8">
        <v>0.15</v>
      </c>
      <c r="H69" s="7">
        <f t="shared" si="26"/>
        <v>-0.32699999999999996</v>
      </c>
      <c r="I69" s="7">
        <f t="shared" si="27"/>
        <v>-0.25600000000000001</v>
      </c>
      <c r="J69" s="7">
        <f t="shared" si="28"/>
        <v>-0.14700000000000002</v>
      </c>
      <c r="K69" s="7">
        <f t="shared" si="29"/>
        <v>5.1151728332748503E-2</v>
      </c>
      <c r="L69" s="7">
        <f t="shared" si="30"/>
        <v>2.9346188924268102E-2</v>
      </c>
      <c r="M69" s="10">
        <f t="shared" si="31"/>
        <v>-2.7999999999999997E-2</v>
      </c>
      <c r="N69" s="1">
        <f t="shared" si="32"/>
        <v>-0.69426751592356684</v>
      </c>
      <c r="O69" s="1">
        <f t="shared" si="33"/>
        <v>-0.67546174142480209</v>
      </c>
      <c r="P69" s="1">
        <f t="shared" si="34"/>
        <v>-0.72772277227722781</v>
      </c>
      <c r="Q69" s="1">
        <f t="shared" si="35"/>
        <v>0.71856561461343704</v>
      </c>
      <c r="R69" s="1">
        <f t="shared" si="36"/>
        <v>1.939519576037106</v>
      </c>
      <c r="S69" s="1">
        <f t="shared" si="37"/>
        <v>-0.15730337078651685</v>
      </c>
      <c r="T69" s="1"/>
    </row>
    <row r="70" spans="1:20">
      <c r="A70" t="s">
        <v>73</v>
      </c>
      <c r="B70" s="2">
        <v>0.30199999999999999</v>
      </c>
      <c r="C70" s="2">
        <v>0.23200000000000001</v>
      </c>
      <c r="D70" s="2">
        <v>9.7000000000000003E-2</v>
      </c>
      <c r="E70" s="2">
        <v>0.21364289078222301</v>
      </c>
      <c r="F70" s="2">
        <v>6.9346965158318799E-2</v>
      </c>
      <c r="G70" s="8">
        <v>0.29799999999999999</v>
      </c>
      <c r="H70" s="7">
        <f t="shared" si="26"/>
        <v>-0.16899999999999998</v>
      </c>
      <c r="I70" s="7">
        <f t="shared" si="27"/>
        <v>-0.14699999999999999</v>
      </c>
      <c r="J70" s="7">
        <f t="shared" si="28"/>
        <v>-0.10500000000000001</v>
      </c>
      <c r="K70" s="7">
        <f t="shared" si="29"/>
        <v>0.1424570069986435</v>
      </c>
      <c r="L70" s="7">
        <f t="shared" si="30"/>
        <v>5.4216316678745699E-2</v>
      </c>
      <c r="M70" s="10">
        <f t="shared" si="31"/>
        <v>0.12</v>
      </c>
      <c r="N70" s="1">
        <f t="shared" si="32"/>
        <v>-0.35881104033970274</v>
      </c>
      <c r="O70" s="1">
        <f t="shared" si="33"/>
        <v>-0.38786279683377306</v>
      </c>
      <c r="P70" s="1">
        <f t="shared" si="34"/>
        <v>-0.51980198019801982</v>
      </c>
      <c r="Q70" s="1">
        <f t="shared" si="35"/>
        <v>2.0011974204287979</v>
      </c>
      <c r="R70" s="1">
        <f t="shared" si="36"/>
        <v>3.5832117011996947</v>
      </c>
      <c r="S70" s="1">
        <f t="shared" si="37"/>
        <v>0.6741573033707865</v>
      </c>
      <c r="T70" s="1"/>
    </row>
    <row r="71" spans="1:20">
      <c r="A71" t="s">
        <v>74</v>
      </c>
      <c r="B71" s="2">
        <v>0.214</v>
      </c>
      <c r="C71" s="2">
        <v>0.13300000000000001</v>
      </c>
      <c r="D71" s="2">
        <v>5.7000000000000002E-2</v>
      </c>
      <c r="E71" s="2">
        <v>0.11810183343353001</v>
      </c>
      <c r="F71" s="2">
        <v>3.2479432878081201E-2</v>
      </c>
      <c r="G71" s="8">
        <v>0.19</v>
      </c>
      <c r="H71" s="7">
        <f t="shared" si="26"/>
        <v>-0.25700000000000001</v>
      </c>
      <c r="I71" s="7">
        <f t="shared" si="27"/>
        <v>-0.246</v>
      </c>
      <c r="J71" s="7">
        <f t="shared" si="28"/>
        <v>-0.14500000000000002</v>
      </c>
      <c r="K71" s="7">
        <f t="shared" si="29"/>
        <v>4.6915949649950509E-2</v>
      </c>
      <c r="L71" s="7">
        <f t="shared" si="30"/>
        <v>1.7348784398508101E-2</v>
      </c>
      <c r="M71" s="10">
        <f t="shared" si="31"/>
        <v>1.2000000000000011E-2</v>
      </c>
      <c r="N71" s="1">
        <f t="shared" si="32"/>
        <v>-0.54564755838641188</v>
      </c>
      <c r="O71" s="1">
        <f t="shared" si="33"/>
        <v>-0.64907651715039572</v>
      </c>
      <c r="P71" s="1">
        <f t="shared" si="34"/>
        <v>-0.7178217821782179</v>
      </c>
      <c r="Q71" s="1">
        <f t="shared" si="35"/>
        <v>0.65906254381255069</v>
      </c>
      <c r="R71" s="1">
        <f t="shared" si="36"/>
        <v>1.1465988666599163</v>
      </c>
      <c r="S71" s="1">
        <f t="shared" si="37"/>
        <v>6.7415730337078719E-2</v>
      </c>
      <c r="T71" s="1"/>
    </row>
    <row r="72" spans="1:20">
      <c r="A72" s="5" t="s">
        <v>75</v>
      </c>
      <c r="B72" s="2">
        <v>0.34799999999999998</v>
      </c>
      <c r="C72" s="2">
        <v>0.25</v>
      </c>
      <c r="D72" s="2">
        <v>0.108</v>
      </c>
      <c r="E72" s="2">
        <v>0.20422825443791301</v>
      </c>
      <c r="F72" s="2">
        <v>5.3148698413901102E-2</v>
      </c>
      <c r="G72" s="8">
        <v>0.30099999999999999</v>
      </c>
      <c r="H72" s="7">
        <f t="shared" si="26"/>
        <v>-0.123</v>
      </c>
      <c r="I72" s="7">
        <f t="shared" si="27"/>
        <v>-0.129</v>
      </c>
      <c r="J72" s="7">
        <f t="shared" si="28"/>
        <v>-9.4000000000000014E-2</v>
      </c>
      <c r="K72" s="7">
        <f t="shared" si="29"/>
        <v>0.1330423706543335</v>
      </c>
      <c r="L72" s="7">
        <f t="shared" si="30"/>
        <v>3.8018049934328002E-2</v>
      </c>
      <c r="M72" s="10">
        <f t="shared" si="31"/>
        <v>0.123</v>
      </c>
      <c r="N72" s="1">
        <f t="shared" si="32"/>
        <v>-0.26114649681528662</v>
      </c>
      <c r="O72" s="1">
        <f t="shared" si="33"/>
        <v>-0.34036939313984171</v>
      </c>
      <c r="P72" s="1">
        <f t="shared" si="34"/>
        <v>-0.46534653465346537</v>
      </c>
      <c r="Q72" s="1">
        <f t="shared" si="35"/>
        <v>1.8689431609616749</v>
      </c>
      <c r="R72" s="1">
        <f t="shared" si="36"/>
        <v>2.5126517204899503</v>
      </c>
      <c r="S72" s="1">
        <f t="shared" si="37"/>
        <v>0.6910112359550562</v>
      </c>
      <c r="T72" s="1"/>
    </row>
    <row r="73" spans="1:20">
      <c r="A73" t="s">
        <v>77</v>
      </c>
      <c r="B73" s="2">
        <v>0</v>
      </c>
      <c r="C73" s="2">
        <v>0</v>
      </c>
      <c r="D73" s="2">
        <v>0</v>
      </c>
      <c r="E73" s="2">
        <v>0</v>
      </c>
      <c r="F73" s="2">
        <v>0</v>
      </c>
      <c r="G73" s="8">
        <v>0</v>
      </c>
      <c r="H73" s="7">
        <f t="shared" si="26"/>
        <v>-0.47099999999999997</v>
      </c>
      <c r="I73" s="7">
        <f t="shared" si="27"/>
        <v>-0.379</v>
      </c>
      <c r="J73" s="7">
        <f t="shared" si="28"/>
        <v>-0.20200000000000001</v>
      </c>
      <c r="K73" s="7">
        <f t="shared" si="29"/>
        <v>-7.1185883783579498E-2</v>
      </c>
      <c r="L73" s="7">
        <f t="shared" si="30"/>
        <v>-1.51306484795731E-2</v>
      </c>
      <c r="M73" s="10">
        <f t="shared" si="31"/>
        <v>-0.17799999999999999</v>
      </c>
      <c r="N73" s="1">
        <f t="shared" si="32"/>
        <v>-1</v>
      </c>
      <c r="O73" s="1">
        <f t="shared" si="33"/>
        <v>-1</v>
      </c>
      <c r="P73" s="1">
        <f t="shared" si="34"/>
        <v>-1</v>
      </c>
      <c r="Q73" s="1">
        <f t="shared" si="35"/>
        <v>-1</v>
      </c>
      <c r="R73" s="1">
        <f t="shared" si="36"/>
        <v>-1</v>
      </c>
      <c r="S73" s="1">
        <f t="shared" si="37"/>
        <v>-1</v>
      </c>
      <c r="T73" s="1"/>
    </row>
    <row r="74" spans="1:20">
      <c r="A74" t="s">
        <v>76</v>
      </c>
      <c r="B74" s="2">
        <v>0</v>
      </c>
      <c r="C74" s="2">
        <v>0</v>
      </c>
      <c r="D74" s="2">
        <v>0</v>
      </c>
      <c r="E74" s="2">
        <v>0</v>
      </c>
      <c r="F74" s="2">
        <v>0</v>
      </c>
      <c r="G74" s="8">
        <v>0</v>
      </c>
      <c r="H74" s="7">
        <f t="shared" si="26"/>
        <v>-0.47099999999999997</v>
      </c>
      <c r="I74" s="7">
        <f t="shared" si="27"/>
        <v>-0.379</v>
      </c>
      <c r="J74" s="7">
        <f t="shared" si="28"/>
        <v>-0.20200000000000001</v>
      </c>
      <c r="K74" s="7">
        <f t="shared" si="29"/>
        <v>-7.1185883783579498E-2</v>
      </c>
      <c r="L74" s="7">
        <f t="shared" si="30"/>
        <v>-1.51306484795731E-2</v>
      </c>
      <c r="M74" s="10">
        <f t="shared" si="31"/>
        <v>-0.17799999999999999</v>
      </c>
      <c r="N74" s="1">
        <f t="shared" si="32"/>
        <v>-1</v>
      </c>
      <c r="O74" s="1">
        <f t="shared" si="33"/>
        <v>-1</v>
      </c>
      <c r="P74" s="1">
        <f t="shared" si="34"/>
        <v>-1</v>
      </c>
      <c r="Q74" s="1">
        <f t="shared" si="35"/>
        <v>-1</v>
      </c>
      <c r="R74" s="1">
        <f t="shared" si="36"/>
        <v>-1</v>
      </c>
      <c r="S74" s="1">
        <f t="shared" si="37"/>
        <v>-1</v>
      </c>
      <c r="T74" s="1"/>
    </row>
    <row r="75" spans="1:20">
      <c r="A75" t="s">
        <v>78</v>
      </c>
      <c r="B75" s="2">
        <v>0.23599999999999999</v>
      </c>
      <c r="C75" s="2">
        <v>0.14499999999999999</v>
      </c>
      <c r="D75" s="2">
        <v>5.2999999999999999E-2</v>
      </c>
      <c r="E75" s="14">
        <v>0.182</v>
      </c>
      <c r="F75" s="14">
        <v>5.7599999999999998E-2</v>
      </c>
      <c r="G75" s="8">
        <v>0.25700000000000001</v>
      </c>
      <c r="H75" s="7">
        <f t="shared" si="26"/>
        <v>-0.23499999999999999</v>
      </c>
      <c r="I75" s="7">
        <f t="shared" si="27"/>
        <v>-0.23400000000000001</v>
      </c>
      <c r="J75" s="7">
        <f t="shared" si="28"/>
        <v>-0.14900000000000002</v>
      </c>
      <c r="K75" s="7">
        <f t="shared" si="29"/>
        <v>0.1108141162164205</v>
      </c>
      <c r="L75" s="7">
        <f t="shared" si="30"/>
        <v>4.2469351520426898E-2</v>
      </c>
      <c r="M75" s="10">
        <f t="shared" si="31"/>
        <v>7.9000000000000015E-2</v>
      </c>
      <c r="N75" s="1">
        <f t="shared" si="32"/>
        <v>-0.49893842887473461</v>
      </c>
      <c r="O75" s="1">
        <f t="shared" si="33"/>
        <v>-0.61741424802110823</v>
      </c>
      <c r="P75" s="1">
        <f t="shared" si="34"/>
        <v>-0.73762376237623772</v>
      </c>
      <c r="Q75" s="1">
        <f t="shared" si="35"/>
        <v>1.5566866677292286</v>
      </c>
      <c r="R75" s="1">
        <f t="shared" si="36"/>
        <v>2.806842785209239</v>
      </c>
      <c r="S75" s="1">
        <f t="shared" si="37"/>
        <v>0.44382022471910121</v>
      </c>
      <c r="T75" s="1"/>
    </row>
    <row r="76" spans="1:20">
      <c r="A76" t="s">
        <v>79</v>
      </c>
      <c r="B76" s="2">
        <v>0.14099999999999999</v>
      </c>
      <c r="C76" s="2">
        <v>7.0999999999999994E-2</v>
      </c>
      <c r="D76" s="2">
        <v>3.3000000000000002E-2</v>
      </c>
      <c r="E76" s="14">
        <v>6.83E-2</v>
      </c>
      <c r="F76" s="14">
        <v>2.52E-2</v>
      </c>
      <c r="G76" s="8">
        <v>0.127</v>
      </c>
      <c r="H76" s="7">
        <f t="shared" si="26"/>
        <v>-0.32999999999999996</v>
      </c>
      <c r="I76" s="7">
        <f t="shared" si="27"/>
        <v>-0.308</v>
      </c>
      <c r="J76" s="7">
        <f t="shared" si="28"/>
        <v>-0.16900000000000001</v>
      </c>
      <c r="K76" s="7">
        <f t="shared" si="29"/>
        <v>-2.8858837835794987E-3</v>
      </c>
      <c r="L76" s="7">
        <f t="shared" si="30"/>
        <v>1.00693515204269E-2</v>
      </c>
      <c r="M76" s="10">
        <f t="shared" si="31"/>
        <v>-5.099999999999999E-2</v>
      </c>
      <c r="N76" s="1">
        <f t="shared" si="32"/>
        <v>-0.70063694267515919</v>
      </c>
      <c r="O76" s="1">
        <f t="shared" si="33"/>
        <v>-0.81266490765171506</v>
      </c>
      <c r="P76" s="1">
        <f t="shared" si="34"/>
        <v>-0.8366336633663366</v>
      </c>
      <c r="Q76" s="1">
        <f t="shared" si="35"/>
        <v>-4.0540113154360916E-2</v>
      </c>
      <c r="R76" s="1">
        <f t="shared" si="36"/>
        <v>0.66549371852904216</v>
      </c>
      <c r="S76" s="1">
        <f t="shared" si="37"/>
        <v>-0.28651685393258425</v>
      </c>
      <c r="T76" s="1"/>
    </row>
    <row r="77" spans="1:20">
      <c r="A77" t="s">
        <v>81</v>
      </c>
      <c r="B77" s="2">
        <v>0</v>
      </c>
      <c r="C77" s="2">
        <v>0</v>
      </c>
      <c r="D77" s="2">
        <v>0</v>
      </c>
      <c r="E77" s="2">
        <v>0</v>
      </c>
      <c r="F77" s="2">
        <v>0</v>
      </c>
      <c r="G77" s="8">
        <v>0</v>
      </c>
      <c r="H77" s="7">
        <f t="shared" si="26"/>
        <v>-0.47099999999999997</v>
      </c>
      <c r="I77" s="7">
        <f t="shared" si="27"/>
        <v>-0.379</v>
      </c>
      <c r="J77" s="7">
        <f t="shared" si="28"/>
        <v>-0.20200000000000001</v>
      </c>
      <c r="K77" s="7">
        <f t="shared" si="29"/>
        <v>-7.1185883783579498E-2</v>
      </c>
      <c r="L77" s="7">
        <f t="shared" si="30"/>
        <v>-1.51306484795731E-2</v>
      </c>
      <c r="M77" s="10">
        <f t="shared" si="31"/>
        <v>-0.17799999999999999</v>
      </c>
      <c r="N77" s="1">
        <f t="shared" si="32"/>
        <v>-1</v>
      </c>
      <c r="O77" s="1">
        <f t="shared" si="33"/>
        <v>-1</v>
      </c>
      <c r="P77" s="1">
        <f t="shared" si="34"/>
        <v>-1</v>
      </c>
      <c r="Q77" s="1">
        <f t="shared" si="35"/>
        <v>-1</v>
      </c>
      <c r="R77" s="1">
        <f t="shared" si="36"/>
        <v>-1</v>
      </c>
      <c r="S77" s="1">
        <f t="shared" si="37"/>
        <v>-1</v>
      </c>
      <c r="T77" s="1"/>
    </row>
    <row r="78" spans="1:20">
      <c r="A78" t="s">
        <v>80</v>
      </c>
      <c r="B78" s="2">
        <v>0</v>
      </c>
      <c r="C78" s="2">
        <v>0</v>
      </c>
      <c r="D78" s="2">
        <v>0</v>
      </c>
      <c r="E78" s="2">
        <v>0</v>
      </c>
      <c r="F78" s="2">
        <v>0</v>
      </c>
      <c r="G78" s="8">
        <v>0</v>
      </c>
      <c r="H78" s="7">
        <f t="shared" si="26"/>
        <v>-0.47099999999999997</v>
      </c>
      <c r="I78" s="7">
        <f t="shared" si="27"/>
        <v>-0.379</v>
      </c>
      <c r="J78" s="7">
        <f t="shared" si="28"/>
        <v>-0.20200000000000001</v>
      </c>
      <c r="K78" s="7">
        <f t="shared" si="29"/>
        <v>-7.1185883783579498E-2</v>
      </c>
      <c r="L78" s="7">
        <f t="shared" si="30"/>
        <v>-1.51306484795731E-2</v>
      </c>
      <c r="M78" s="10">
        <f t="shared" si="31"/>
        <v>-0.17799999999999999</v>
      </c>
      <c r="N78" s="1">
        <f t="shared" si="32"/>
        <v>-1</v>
      </c>
      <c r="O78" s="1">
        <f t="shared" si="33"/>
        <v>-1</v>
      </c>
      <c r="P78" s="1">
        <f t="shared" si="34"/>
        <v>-1</v>
      </c>
      <c r="Q78" s="1">
        <f t="shared" si="35"/>
        <v>-1</v>
      </c>
      <c r="R78" s="1">
        <f t="shared" si="36"/>
        <v>-1</v>
      </c>
      <c r="S78" s="1">
        <f t="shared" si="37"/>
        <v>-1</v>
      </c>
      <c r="T78" s="1"/>
    </row>
    <row r="79" spans="1:20">
      <c r="A79" t="s">
        <v>82</v>
      </c>
      <c r="B79" s="2">
        <v>0.23</v>
      </c>
      <c r="C79" s="2">
        <v>0.14299999999999999</v>
      </c>
      <c r="D79" s="2">
        <v>5.8000000000000003E-2</v>
      </c>
      <c r="E79" s="2">
        <v>0.158</v>
      </c>
      <c r="F79" s="2">
        <v>5.9700000000000003E-2</v>
      </c>
      <c r="G79" s="8">
        <v>0.22900000000000001</v>
      </c>
      <c r="H79" s="7">
        <f t="shared" si="26"/>
        <v>-0.24099999999999996</v>
      </c>
      <c r="I79" s="7">
        <f t="shared" si="27"/>
        <v>-0.23600000000000002</v>
      </c>
      <c r="J79" s="7">
        <f t="shared" si="28"/>
        <v>-0.14400000000000002</v>
      </c>
      <c r="K79" s="7">
        <f t="shared" si="29"/>
        <v>8.6814116216420503E-2</v>
      </c>
      <c r="L79" s="7">
        <f t="shared" si="30"/>
        <v>4.4569351520426903E-2</v>
      </c>
      <c r="M79" s="10">
        <f t="shared" si="31"/>
        <v>5.1000000000000018E-2</v>
      </c>
      <c r="N79" s="1">
        <f t="shared" si="32"/>
        <v>-0.51167728237791932</v>
      </c>
      <c r="O79" s="1">
        <f t="shared" si="33"/>
        <v>-0.62269129287598945</v>
      </c>
      <c r="P79" s="1">
        <f t="shared" si="34"/>
        <v>-0.71287128712871295</v>
      </c>
      <c r="Q79" s="1">
        <f t="shared" si="35"/>
        <v>1.2195411730836161</v>
      </c>
      <c r="R79" s="1">
        <f t="shared" si="36"/>
        <v>2.9456339284199928</v>
      </c>
      <c r="S79" s="1">
        <f t="shared" si="37"/>
        <v>0.28651685393258436</v>
      </c>
      <c r="T79" s="1"/>
    </row>
    <row r="80" spans="1:20">
      <c r="A80" t="s">
        <v>83</v>
      </c>
      <c r="B80" s="2">
        <v>0.16400000000000001</v>
      </c>
      <c r="C80" s="2">
        <v>7.9000000000000001E-2</v>
      </c>
      <c r="D80" s="2">
        <v>3.7999999999999999E-2</v>
      </c>
      <c r="E80" s="2">
        <v>7.6600000000000001E-2</v>
      </c>
      <c r="F80" s="2">
        <v>2.23E-2</v>
      </c>
      <c r="G80" s="8">
        <v>0.16300000000000001</v>
      </c>
      <c r="H80" s="7">
        <f t="shared" si="26"/>
        <v>-0.30699999999999994</v>
      </c>
      <c r="I80" s="7">
        <f t="shared" si="27"/>
        <v>-0.3</v>
      </c>
      <c r="J80" s="7">
        <f t="shared" si="28"/>
        <v>-0.16400000000000001</v>
      </c>
      <c r="K80" s="7">
        <f t="shared" si="29"/>
        <v>5.4141162164205031E-3</v>
      </c>
      <c r="L80" s="7">
        <f t="shared" si="30"/>
        <v>7.1693515204269004E-3</v>
      </c>
      <c r="M80" s="10">
        <f t="shared" si="31"/>
        <v>-1.4999999999999986E-2</v>
      </c>
      <c r="N80" s="1">
        <f t="shared" si="32"/>
        <v>-0.65180467091295102</v>
      </c>
      <c r="O80" s="1">
        <f t="shared" si="33"/>
        <v>-0.79155672823218992</v>
      </c>
      <c r="P80" s="1">
        <f t="shared" si="34"/>
        <v>-0.81188118811881183</v>
      </c>
      <c r="Q80" s="1">
        <f t="shared" si="35"/>
        <v>7.6056037077246785E-2</v>
      </c>
      <c r="R80" s="1">
        <f t="shared" si="36"/>
        <v>0.4738297588570492</v>
      </c>
      <c r="S80" s="1">
        <f t="shared" si="37"/>
        <v>-8.4269662921348243E-2</v>
      </c>
      <c r="T80" s="1"/>
    </row>
    <row r="81" spans="1:20">
      <c r="A81" t="s">
        <v>85</v>
      </c>
      <c r="B81" s="2">
        <v>3.0000000000000001E-3</v>
      </c>
      <c r="C81" s="2">
        <v>7.0000000000000001E-3</v>
      </c>
      <c r="D81" s="2">
        <v>1E-3</v>
      </c>
      <c r="E81" s="2">
        <v>0</v>
      </c>
      <c r="F81" s="2">
        <v>0</v>
      </c>
      <c r="G81" s="8">
        <v>0</v>
      </c>
      <c r="H81" s="7">
        <f t="shared" si="26"/>
        <v>-0.46799999999999997</v>
      </c>
      <c r="I81" s="7">
        <f t="shared" si="27"/>
        <v>-0.372</v>
      </c>
      <c r="J81" s="7">
        <f t="shared" si="28"/>
        <v>-0.20100000000000001</v>
      </c>
      <c r="K81" s="7">
        <f t="shared" si="29"/>
        <v>-7.1185883783579498E-2</v>
      </c>
      <c r="L81" s="7">
        <f t="shared" si="30"/>
        <v>-1.51306484795731E-2</v>
      </c>
      <c r="M81" s="10">
        <f t="shared" si="31"/>
        <v>-0.17799999999999999</v>
      </c>
      <c r="N81" s="1">
        <f t="shared" si="32"/>
        <v>-0.99363057324840764</v>
      </c>
      <c r="O81" s="1">
        <f t="shared" si="33"/>
        <v>-0.98153034300791553</v>
      </c>
      <c r="P81" s="1">
        <f t="shared" si="34"/>
        <v>-0.99504950495049505</v>
      </c>
      <c r="Q81" s="1">
        <f t="shared" si="35"/>
        <v>-1</v>
      </c>
      <c r="R81" s="1">
        <f t="shared" si="36"/>
        <v>-1</v>
      </c>
      <c r="S81" s="1">
        <f t="shared" si="37"/>
        <v>-1</v>
      </c>
      <c r="T81" s="1"/>
    </row>
    <row r="82" spans="1:20">
      <c r="A82" t="s">
        <v>84</v>
      </c>
      <c r="B82" s="2">
        <v>0</v>
      </c>
      <c r="C82" s="2">
        <v>0</v>
      </c>
      <c r="D82" s="2">
        <v>0</v>
      </c>
      <c r="E82" s="2">
        <v>0</v>
      </c>
      <c r="F82" s="2">
        <v>0</v>
      </c>
      <c r="G82" s="8">
        <v>0</v>
      </c>
      <c r="H82" s="7">
        <f t="shared" si="26"/>
        <v>-0.47099999999999997</v>
      </c>
      <c r="I82" s="7">
        <f t="shared" si="27"/>
        <v>-0.379</v>
      </c>
      <c r="J82" s="7">
        <f t="shared" si="28"/>
        <v>-0.20200000000000001</v>
      </c>
      <c r="K82" s="7">
        <f t="shared" si="29"/>
        <v>-7.1185883783579498E-2</v>
      </c>
      <c r="L82" s="7">
        <f t="shared" si="30"/>
        <v>-1.51306484795731E-2</v>
      </c>
      <c r="M82" s="10">
        <f t="shared" si="31"/>
        <v>-0.17799999999999999</v>
      </c>
      <c r="N82" s="1">
        <f t="shared" si="32"/>
        <v>-1</v>
      </c>
      <c r="O82" s="1">
        <f t="shared" si="33"/>
        <v>-1</v>
      </c>
      <c r="P82" s="1">
        <f t="shared" si="34"/>
        <v>-1</v>
      </c>
      <c r="Q82" s="1">
        <f t="shared" si="35"/>
        <v>-1</v>
      </c>
      <c r="R82" s="1">
        <f t="shared" si="36"/>
        <v>-1</v>
      </c>
      <c r="S82" s="1">
        <f t="shared" si="37"/>
        <v>-1</v>
      </c>
      <c r="T82" s="1"/>
    </row>
    <row r="83" spans="1:20">
      <c r="A83" t="s">
        <v>86</v>
      </c>
      <c r="B83" s="2">
        <v>0.254</v>
      </c>
      <c r="C83" s="2">
        <v>0.16600000000000001</v>
      </c>
      <c r="D83" s="2">
        <v>7.3999999999999996E-2</v>
      </c>
      <c r="E83" s="2">
        <v>0.191</v>
      </c>
      <c r="F83" s="2">
        <v>6.9099999999999995E-2</v>
      </c>
      <c r="G83" s="8">
        <v>0.27700000000000002</v>
      </c>
      <c r="H83" s="7">
        <f t="shared" si="26"/>
        <v>-0.21699999999999997</v>
      </c>
      <c r="I83" s="7">
        <f t="shared" si="27"/>
        <v>-0.21299999999999999</v>
      </c>
      <c r="J83" s="7">
        <f t="shared" si="28"/>
        <v>-0.128</v>
      </c>
      <c r="K83" s="7">
        <f t="shared" si="29"/>
        <v>0.1198141162164205</v>
      </c>
      <c r="L83" s="7">
        <f t="shared" si="30"/>
        <v>5.3969351520426895E-2</v>
      </c>
      <c r="M83" s="10">
        <f t="shared" si="31"/>
        <v>9.9000000000000032E-2</v>
      </c>
      <c r="N83" s="1">
        <f t="shared" si="32"/>
        <v>-0.46072186836518042</v>
      </c>
      <c r="O83" s="1">
        <f t="shared" si="33"/>
        <v>-0.56200527704485481</v>
      </c>
      <c r="P83" s="1">
        <f t="shared" si="34"/>
        <v>-0.63366336633663367</v>
      </c>
      <c r="Q83" s="1">
        <f t="shared" si="35"/>
        <v>1.6831162282213334</v>
      </c>
      <c r="R83" s="1">
        <f t="shared" si="36"/>
        <v>3.5668895218395558</v>
      </c>
      <c r="S83" s="1">
        <f t="shared" si="37"/>
        <v>0.55617977528089912</v>
      </c>
      <c r="T83" s="1"/>
    </row>
    <row r="84" spans="1:20">
      <c r="A84" t="s">
        <v>87</v>
      </c>
      <c r="B84" s="2">
        <v>0.20399999999999999</v>
      </c>
      <c r="C84" s="2">
        <v>0.112</v>
      </c>
      <c r="D84" s="2">
        <v>3.7999999999999999E-2</v>
      </c>
      <c r="E84" s="2">
        <v>0.13300000000000001</v>
      </c>
      <c r="F84" s="2">
        <v>4.3700000000000003E-2</v>
      </c>
      <c r="G84" s="8">
        <v>0.23599999999999999</v>
      </c>
      <c r="H84" s="7">
        <f t="shared" si="26"/>
        <v>-0.26700000000000002</v>
      </c>
      <c r="I84" s="7">
        <f t="shared" si="27"/>
        <v>-0.26700000000000002</v>
      </c>
      <c r="J84" s="7">
        <f t="shared" si="28"/>
        <v>-0.16400000000000001</v>
      </c>
      <c r="K84" s="7">
        <f t="shared" si="29"/>
        <v>6.1814116216420509E-2</v>
      </c>
      <c r="L84" s="7">
        <f t="shared" si="30"/>
        <v>2.8569351520426903E-2</v>
      </c>
      <c r="M84" s="10">
        <f t="shared" si="31"/>
        <v>5.7999999999999996E-2</v>
      </c>
      <c r="N84" s="1">
        <f t="shared" si="32"/>
        <v>-0.56687898089171984</v>
      </c>
      <c r="O84" s="1">
        <f t="shared" si="33"/>
        <v>-0.70448548812664913</v>
      </c>
      <c r="P84" s="1">
        <f t="shared" si="34"/>
        <v>-0.81188118811881183</v>
      </c>
      <c r="Q84" s="1">
        <f t="shared" si="35"/>
        <v>0.86834794949443639</v>
      </c>
      <c r="R84" s="1">
        <f t="shared" si="36"/>
        <v>1.8881775991952041</v>
      </c>
      <c r="S84" s="1">
        <f t="shared" si="37"/>
        <v>0.3258426966292135</v>
      </c>
      <c r="T84" s="1"/>
    </row>
    <row r="85" spans="1:20">
      <c r="A85" t="s">
        <v>89</v>
      </c>
      <c r="B85" s="2">
        <v>3.0000000000000001E-3</v>
      </c>
      <c r="C85" s="2">
        <v>7.0000000000000001E-3</v>
      </c>
      <c r="D85" s="2">
        <v>1E-3</v>
      </c>
      <c r="E85" s="2">
        <v>0</v>
      </c>
      <c r="F85" s="2">
        <v>0</v>
      </c>
      <c r="G85" s="8">
        <v>0</v>
      </c>
      <c r="H85" s="7">
        <f t="shared" si="26"/>
        <v>-0.46799999999999997</v>
      </c>
      <c r="I85" s="7">
        <f t="shared" si="27"/>
        <v>-0.372</v>
      </c>
      <c r="J85" s="7">
        <f t="shared" si="28"/>
        <v>-0.20100000000000001</v>
      </c>
      <c r="K85" s="7">
        <f t="shared" si="29"/>
        <v>-7.1185883783579498E-2</v>
      </c>
      <c r="L85" s="7">
        <f t="shared" si="30"/>
        <v>-1.51306484795731E-2</v>
      </c>
      <c r="M85" s="10">
        <f t="shared" si="31"/>
        <v>-0.17799999999999999</v>
      </c>
      <c r="N85" s="1">
        <f t="shared" si="32"/>
        <v>-0.99363057324840764</v>
      </c>
      <c r="O85" s="1">
        <f t="shared" si="33"/>
        <v>-0.98153034300791553</v>
      </c>
      <c r="P85" s="1">
        <f t="shared" si="34"/>
        <v>-0.99504950495049505</v>
      </c>
      <c r="Q85" s="1">
        <f t="shared" si="35"/>
        <v>-1</v>
      </c>
      <c r="R85" s="1">
        <f t="shared" si="36"/>
        <v>-1</v>
      </c>
      <c r="S85" s="1">
        <f t="shared" si="37"/>
        <v>-1</v>
      </c>
      <c r="T85" s="1"/>
    </row>
    <row r="86" spans="1:20">
      <c r="A86" t="s">
        <v>88</v>
      </c>
      <c r="B86" s="2">
        <v>0</v>
      </c>
      <c r="C86" s="2">
        <v>0</v>
      </c>
      <c r="D86" s="2">
        <v>0</v>
      </c>
      <c r="E86" s="2">
        <v>0</v>
      </c>
      <c r="F86" s="2">
        <v>0</v>
      </c>
      <c r="G86" s="8">
        <v>0</v>
      </c>
      <c r="H86" s="7">
        <f t="shared" si="26"/>
        <v>-0.47099999999999997</v>
      </c>
      <c r="I86" s="7">
        <f t="shared" si="27"/>
        <v>-0.379</v>
      </c>
      <c r="J86" s="7">
        <f t="shared" si="28"/>
        <v>-0.20200000000000001</v>
      </c>
      <c r="K86" s="7">
        <f t="shared" si="29"/>
        <v>-7.1185883783579498E-2</v>
      </c>
      <c r="L86" s="7">
        <f t="shared" si="30"/>
        <v>-1.51306484795731E-2</v>
      </c>
      <c r="M86" s="10">
        <f t="shared" si="31"/>
        <v>-0.17799999999999999</v>
      </c>
      <c r="N86" s="1">
        <f t="shared" si="32"/>
        <v>-1</v>
      </c>
      <c r="O86" s="1">
        <f t="shared" si="33"/>
        <v>-1</v>
      </c>
      <c r="P86" s="1">
        <f t="shared" si="34"/>
        <v>-1</v>
      </c>
      <c r="Q86" s="1">
        <f t="shared" si="35"/>
        <v>-1</v>
      </c>
      <c r="R86" s="1">
        <f t="shared" si="36"/>
        <v>-1</v>
      </c>
      <c r="S86" s="1">
        <f t="shared" si="37"/>
        <v>-1</v>
      </c>
      <c r="T86" s="1"/>
    </row>
    <row r="87" spans="1:20">
      <c r="A87" t="s">
        <v>90</v>
      </c>
      <c r="B87" s="2">
        <v>0.255</v>
      </c>
      <c r="C87" s="2">
        <v>0.13900000000000001</v>
      </c>
      <c r="D87" s="2">
        <v>6.2E-2</v>
      </c>
      <c r="E87" s="2">
        <v>0.16900000000000001</v>
      </c>
      <c r="F87" s="2">
        <v>6.08E-2</v>
      </c>
      <c r="G87" s="8">
        <v>0.28199999999999997</v>
      </c>
      <c r="H87" s="7">
        <f t="shared" si="26"/>
        <v>-0.21599999999999997</v>
      </c>
      <c r="I87" s="7">
        <f t="shared" si="27"/>
        <v>-0.24</v>
      </c>
      <c r="J87" s="7">
        <f t="shared" si="28"/>
        <v>-0.14000000000000001</v>
      </c>
      <c r="K87" s="7">
        <f t="shared" si="29"/>
        <v>9.7814116216420513E-2</v>
      </c>
      <c r="L87" s="7">
        <f t="shared" si="30"/>
        <v>4.56693515204269E-2</v>
      </c>
      <c r="M87" s="10">
        <f t="shared" si="31"/>
        <v>0.10399999999999998</v>
      </c>
      <c r="N87" s="1">
        <f t="shared" si="32"/>
        <v>-0.45859872611464964</v>
      </c>
      <c r="O87" s="1">
        <f t="shared" si="33"/>
        <v>-0.63324538258575191</v>
      </c>
      <c r="P87" s="1">
        <f t="shared" si="34"/>
        <v>-0.69306930693069313</v>
      </c>
      <c r="Q87" s="1">
        <f t="shared" si="35"/>
        <v>1.3740661914628554</v>
      </c>
      <c r="R87" s="1">
        <f t="shared" si="36"/>
        <v>3.0183340510541967</v>
      </c>
      <c r="S87" s="1">
        <f t="shared" si="37"/>
        <v>0.58426966292134819</v>
      </c>
      <c r="T87" s="1"/>
    </row>
    <row r="88" spans="1:20">
      <c r="A88" t="s">
        <v>91</v>
      </c>
      <c r="B88" s="2">
        <v>0.17799999999999999</v>
      </c>
      <c r="C88" s="2">
        <v>0.112</v>
      </c>
      <c r="D88" s="2">
        <v>0.04</v>
      </c>
      <c r="E88" s="2">
        <v>0.13500000000000001</v>
      </c>
      <c r="F88" s="2">
        <v>4.48E-2</v>
      </c>
      <c r="G88" s="8">
        <v>0.20599999999999999</v>
      </c>
      <c r="H88" s="7">
        <f t="shared" si="26"/>
        <v>-0.29299999999999998</v>
      </c>
      <c r="I88" s="7">
        <f t="shared" si="27"/>
        <v>-0.26700000000000002</v>
      </c>
      <c r="J88" s="7">
        <f t="shared" si="28"/>
        <v>-0.16200000000000001</v>
      </c>
      <c r="K88" s="7">
        <f t="shared" si="29"/>
        <v>6.3814116216420511E-2</v>
      </c>
      <c r="L88" s="7">
        <f t="shared" si="30"/>
        <v>2.96693515204269E-2</v>
      </c>
      <c r="M88" s="10">
        <f t="shared" si="31"/>
        <v>2.7999999999999997E-2</v>
      </c>
      <c r="N88" s="1">
        <f t="shared" si="32"/>
        <v>-0.62208067940552014</v>
      </c>
      <c r="O88" s="1">
        <f t="shared" si="33"/>
        <v>-0.70448548812664913</v>
      </c>
      <c r="P88" s="1">
        <f t="shared" si="34"/>
        <v>-0.80198019801980192</v>
      </c>
      <c r="Q88" s="1">
        <f t="shared" si="35"/>
        <v>0.8964434073815708</v>
      </c>
      <c r="R88" s="1">
        <f t="shared" si="36"/>
        <v>1.9608777218294082</v>
      </c>
      <c r="S88" s="1">
        <f t="shared" si="37"/>
        <v>0.15730337078651685</v>
      </c>
      <c r="T88" s="1"/>
    </row>
    <row r="89" spans="1:20">
      <c r="A89" t="s">
        <v>93</v>
      </c>
      <c r="B89" s="2">
        <v>3.0000000000000001E-3</v>
      </c>
      <c r="C89" s="2">
        <v>7.0000000000000001E-3</v>
      </c>
      <c r="D89" s="2">
        <v>1E-3</v>
      </c>
      <c r="E89" s="2">
        <v>0</v>
      </c>
      <c r="F89" s="2">
        <v>0</v>
      </c>
      <c r="G89" s="8">
        <v>0</v>
      </c>
      <c r="H89" s="7">
        <f t="shared" si="26"/>
        <v>-0.46799999999999997</v>
      </c>
      <c r="I89" s="7">
        <f t="shared" si="27"/>
        <v>-0.372</v>
      </c>
      <c r="J89" s="7">
        <f t="shared" si="28"/>
        <v>-0.20100000000000001</v>
      </c>
      <c r="K89" s="7">
        <f t="shared" si="29"/>
        <v>-7.1185883783579498E-2</v>
      </c>
      <c r="L89" s="7">
        <f t="shared" si="30"/>
        <v>-1.51306484795731E-2</v>
      </c>
      <c r="M89" s="10">
        <f t="shared" si="31"/>
        <v>-0.17799999999999999</v>
      </c>
      <c r="N89" s="1">
        <f t="shared" si="32"/>
        <v>-0.99363057324840764</v>
      </c>
      <c r="O89" s="1">
        <f t="shared" si="33"/>
        <v>-0.98153034300791553</v>
      </c>
      <c r="P89" s="1">
        <f t="shared" si="34"/>
        <v>-0.99504950495049505</v>
      </c>
      <c r="Q89" s="1">
        <f t="shared" si="35"/>
        <v>-1</v>
      </c>
      <c r="R89" s="1">
        <f t="shared" si="36"/>
        <v>-1</v>
      </c>
      <c r="S89" s="1">
        <f t="shared" si="37"/>
        <v>-1</v>
      </c>
      <c r="T89" s="1"/>
    </row>
    <row r="90" spans="1:20">
      <c r="A90" t="s">
        <v>92</v>
      </c>
      <c r="B90" s="2">
        <v>0</v>
      </c>
      <c r="C90" s="2">
        <v>0</v>
      </c>
      <c r="D90" s="2">
        <v>0</v>
      </c>
      <c r="E90" s="2">
        <v>0</v>
      </c>
      <c r="F90" s="2">
        <v>0</v>
      </c>
      <c r="G90" s="8">
        <v>0</v>
      </c>
      <c r="H90" s="7">
        <f t="shared" si="26"/>
        <v>-0.47099999999999997</v>
      </c>
      <c r="I90" s="7">
        <f t="shared" si="27"/>
        <v>-0.379</v>
      </c>
      <c r="J90" s="7">
        <f t="shared" si="28"/>
        <v>-0.20200000000000001</v>
      </c>
      <c r="K90" s="7">
        <f t="shared" si="29"/>
        <v>-7.1185883783579498E-2</v>
      </c>
      <c r="L90" s="7">
        <f t="shared" si="30"/>
        <v>-1.51306484795731E-2</v>
      </c>
      <c r="M90" s="10">
        <f t="shared" si="31"/>
        <v>-0.17799999999999999</v>
      </c>
      <c r="N90" s="1">
        <f t="shared" si="32"/>
        <v>-1</v>
      </c>
      <c r="O90" s="1">
        <f t="shared" si="33"/>
        <v>-1</v>
      </c>
      <c r="P90" s="1">
        <f t="shared" si="34"/>
        <v>-1</v>
      </c>
      <c r="Q90" s="1">
        <f t="shared" si="35"/>
        <v>-1</v>
      </c>
      <c r="R90" s="1">
        <f t="shared" si="36"/>
        <v>-1</v>
      </c>
      <c r="S90" s="1">
        <f t="shared" si="37"/>
        <v>-1</v>
      </c>
      <c r="T90" s="1"/>
    </row>
    <row r="91" spans="1:20">
      <c r="A91" t="s">
        <v>94</v>
      </c>
      <c r="B91" s="2">
        <v>0.27</v>
      </c>
      <c r="C91" s="2">
        <v>0.182</v>
      </c>
      <c r="D91" s="2">
        <v>7.5999999999999998E-2</v>
      </c>
      <c r="E91" s="2">
        <v>0.18</v>
      </c>
      <c r="F91" s="2">
        <v>6.1899999999999997E-2</v>
      </c>
      <c r="G91" s="8">
        <v>0.28100000000000003</v>
      </c>
      <c r="H91" s="7">
        <f t="shared" si="26"/>
        <v>-0.20099999999999996</v>
      </c>
      <c r="I91" s="7">
        <f t="shared" si="27"/>
        <v>-0.19700000000000001</v>
      </c>
      <c r="J91" s="7">
        <f t="shared" si="28"/>
        <v>-0.126</v>
      </c>
      <c r="K91" s="7">
        <f t="shared" si="29"/>
        <v>0.1088141162164205</v>
      </c>
      <c r="L91" s="7">
        <f t="shared" si="30"/>
        <v>4.6769351520426897E-2</v>
      </c>
      <c r="M91" s="10">
        <f t="shared" si="31"/>
        <v>0.10300000000000004</v>
      </c>
      <c r="N91" s="1">
        <f t="shared" si="32"/>
        <v>-0.4267515923566878</v>
      </c>
      <c r="O91" s="1">
        <f t="shared" si="33"/>
        <v>-0.51978891820580475</v>
      </c>
      <c r="P91" s="1">
        <f t="shared" si="34"/>
        <v>-0.62376237623762376</v>
      </c>
      <c r="Q91" s="1">
        <f t="shared" si="35"/>
        <v>1.5285912098420942</v>
      </c>
      <c r="R91" s="1">
        <f t="shared" si="36"/>
        <v>3.0910341736884011</v>
      </c>
      <c r="S91" s="1">
        <f t="shared" si="37"/>
        <v>0.57865168539325862</v>
      </c>
      <c r="T91" s="1"/>
    </row>
    <row r="92" spans="1:20">
      <c r="A92" t="s">
        <v>95</v>
      </c>
      <c r="B92" s="2">
        <v>0.24199999999999999</v>
      </c>
      <c r="C92" s="2">
        <v>0.128</v>
      </c>
      <c r="D92" s="2">
        <v>4.8000000000000001E-2</v>
      </c>
      <c r="E92" s="2">
        <v>0.14099999999999999</v>
      </c>
      <c r="F92" s="2">
        <v>4.4699999999999997E-2</v>
      </c>
      <c r="G92" s="8">
        <v>0.23400000000000001</v>
      </c>
      <c r="H92" s="7">
        <f t="shared" si="26"/>
        <v>-0.22899999999999998</v>
      </c>
      <c r="I92" s="7">
        <f t="shared" si="27"/>
        <v>-0.251</v>
      </c>
      <c r="J92" s="7">
        <f t="shared" si="28"/>
        <v>-0.15400000000000003</v>
      </c>
      <c r="K92" s="7">
        <f t="shared" si="29"/>
        <v>6.9814116216420488E-2</v>
      </c>
      <c r="L92" s="7">
        <f t="shared" si="30"/>
        <v>2.9569351520426897E-2</v>
      </c>
      <c r="M92" s="10">
        <f t="shared" si="31"/>
        <v>5.6000000000000022E-2</v>
      </c>
      <c r="N92" s="1">
        <f t="shared" si="32"/>
        <v>-0.4861995753715499</v>
      </c>
      <c r="O92" s="1">
        <f t="shared" si="33"/>
        <v>-0.66226912928759896</v>
      </c>
      <c r="P92" s="1">
        <f t="shared" si="34"/>
        <v>-0.7623762376237625</v>
      </c>
      <c r="Q92" s="1">
        <f t="shared" si="35"/>
        <v>0.98072978104297359</v>
      </c>
      <c r="R92" s="1">
        <f t="shared" si="36"/>
        <v>1.9542686197717531</v>
      </c>
      <c r="S92" s="1">
        <f t="shared" si="37"/>
        <v>0.31460674157303387</v>
      </c>
      <c r="T92" s="1"/>
    </row>
    <row r="93" spans="1:20">
      <c r="A93" t="s">
        <v>97</v>
      </c>
      <c r="B93" s="2">
        <v>0</v>
      </c>
      <c r="C93" s="2">
        <v>0</v>
      </c>
      <c r="D93" s="2">
        <v>0</v>
      </c>
      <c r="E93" s="2">
        <v>0</v>
      </c>
      <c r="F93" s="2">
        <v>0</v>
      </c>
      <c r="G93" s="8">
        <v>0</v>
      </c>
      <c r="H93" s="7">
        <f t="shared" si="26"/>
        <v>-0.47099999999999997</v>
      </c>
      <c r="I93" s="7">
        <f t="shared" si="27"/>
        <v>-0.379</v>
      </c>
      <c r="J93" s="7">
        <f t="shared" si="28"/>
        <v>-0.20200000000000001</v>
      </c>
      <c r="K93" s="7">
        <f t="shared" si="29"/>
        <v>-7.1185883783579498E-2</v>
      </c>
      <c r="L93" s="7">
        <f t="shared" si="30"/>
        <v>-1.51306484795731E-2</v>
      </c>
      <c r="M93" s="10">
        <f t="shared" si="31"/>
        <v>-0.17799999999999999</v>
      </c>
      <c r="N93" s="1">
        <f t="shared" si="32"/>
        <v>-1</v>
      </c>
      <c r="O93" s="1">
        <f t="shared" si="33"/>
        <v>-1</v>
      </c>
      <c r="P93" s="1">
        <f t="shared" si="34"/>
        <v>-1</v>
      </c>
      <c r="Q93" s="1">
        <f t="shared" si="35"/>
        <v>-1</v>
      </c>
      <c r="R93" s="1">
        <f t="shared" si="36"/>
        <v>-1</v>
      </c>
      <c r="S93" s="1">
        <f t="shared" si="37"/>
        <v>-1</v>
      </c>
      <c r="T93" s="1"/>
    </row>
    <row r="94" spans="1:20">
      <c r="A94" t="s">
        <v>96</v>
      </c>
      <c r="B94" s="2">
        <v>0</v>
      </c>
      <c r="C94" s="2">
        <v>0</v>
      </c>
      <c r="D94" s="2">
        <v>0</v>
      </c>
      <c r="E94" s="2">
        <v>0</v>
      </c>
      <c r="F94" s="2">
        <v>0</v>
      </c>
      <c r="G94" s="8">
        <v>0</v>
      </c>
      <c r="H94" s="7">
        <f t="shared" si="26"/>
        <v>-0.47099999999999997</v>
      </c>
      <c r="I94" s="7">
        <f t="shared" si="27"/>
        <v>-0.379</v>
      </c>
      <c r="J94" s="7">
        <f t="shared" si="28"/>
        <v>-0.20200000000000001</v>
      </c>
      <c r="K94" s="7">
        <f t="shared" si="29"/>
        <v>-7.1185883783579498E-2</v>
      </c>
      <c r="L94" s="7">
        <f t="shared" si="30"/>
        <v>-1.51306484795731E-2</v>
      </c>
      <c r="M94" s="10">
        <f t="shared" si="31"/>
        <v>-0.17799999999999999</v>
      </c>
      <c r="N94" s="1">
        <f t="shared" si="32"/>
        <v>-1</v>
      </c>
      <c r="O94" s="1">
        <f t="shared" si="33"/>
        <v>-1</v>
      </c>
      <c r="P94" s="1">
        <f t="shared" si="34"/>
        <v>-1</v>
      </c>
      <c r="Q94" s="1">
        <f t="shared" si="35"/>
        <v>-1</v>
      </c>
      <c r="R94" s="1">
        <f t="shared" si="36"/>
        <v>-1</v>
      </c>
      <c r="S94" s="1">
        <f t="shared" si="37"/>
        <v>-1</v>
      </c>
      <c r="T94" s="1"/>
    </row>
    <row r="95" spans="1:20">
      <c r="A95" t="s">
        <v>98</v>
      </c>
      <c r="B95" s="2">
        <v>0.246</v>
      </c>
      <c r="C95" s="2">
        <v>0.184</v>
      </c>
      <c r="D95" s="2">
        <v>7.4999999999999997E-2</v>
      </c>
      <c r="E95" s="2">
        <v>0.22800000000000001</v>
      </c>
      <c r="F95" s="2">
        <v>7.8899999999999998E-2</v>
      </c>
      <c r="G95" s="8">
        <v>0.31</v>
      </c>
      <c r="H95" s="7">
        <f t="shared" si="26"/>
        <v>-0.22499999999999998</v>
      </c>
      <c r="I95" s="7">
        <f t="shared" si="27"/>
        <v>-0.19500000000000001</v>
      </c>
      <c r="J95" s="7">
        <f t="shared" si="28"/>
        <v>-0.127</v>
      </c>
      <c r="K95" s="7">
        <f t="shared" si="29"/>
        <v>0.1568141162164205</v>
      </c>
      <c r="L95" s="7">
        <f t="shared" si="30"/>
        <v>6.3769351520426898E-2</v>
      </c>
      <c r="M95" s="10">
        <f t="shared" si="31"/>
        <v>0.13200000000000001</v>
      </c>
      <c r="N95" s="1">
        <f t="shared" si="32"/>
        <v>-0.47770700636942676</v>
      </c>
      <c r="O95" s="1">
        <f t="shared" si="33"/>
        <v>-0.51451187335092352</v>
      </c>
      <c r="P95" s="1">
        <f t="shared" si="34"/>
        <v>-0.62871287128712872</v>
      </c>
      <c r="Q95" s="1">
        <f t="shared" si="35"/>
        <v>2.2028821991333194</v>
      </c>
      <c r="R95" s="1">
        <f t="shared" si="36"/>
        <v>4.2145815234897386</v>
      </c>
      <c r="S95" s="1">
        <f t="shared" si="37"/>
        <v>0.7415730337078652</v>
      </c>
      <c r="T95" s="1"/>
    </row>
    <row r="96" spans="1:20">
      <c r="A96" t="s">
        <v>99</v>
      </c>
      <c r="B96" s="2">
        <v>0.21</v>
      </c>
      <c r="C96" s="2">
        <v>0.124</v>
      </c>
      <c r="D96" s="2">
        <v>4.5999999999999999E-2</v>
      </c>
      <c r="E96" s="2">
        <v>0.114</v>
      </c>
      <c r="F96" s="2">
        <v>3.4599999999999999E-2</v>
      </c>
      <c r="G96" s="8">
        <v>0.184</v>
      </c>
      <c r="H96" s="7">
        <f t="shared" si="26"/>
        <v>-0.26100000000000001</v>
      </c>
      <c r="I96" s="7">
        <f t="shared" si="27"/>
        <v>-0.255</v>
      </c>
      <c r="J96" s="7">
        <f t="shared" si="28"/>
        <v>-0.15600000000000003</v>
      </c>
      <c r="K96" s="7">
        <f t="shared" si="29"/>
        <v>4.2814116216420506E-2</v>
      </c>
      <c r="L96" s="7">
        <f t="shared" si="30"/>
        <v>1.9469351520426899E-2</v>
      </c>
      <c r="M96" s="10">
        <f t="shared" si="31"/>
        <v>6.0000000000000053E-3</v>
      </c>
      <c r="N96" s="1">
        <f t="shared" si="32"/>
        <v>-0.55414012738853513</v>
      </c>
      <c r="O96" s="1">
        <f t="shared" si="33"/>
        <v>-0.67282321899736153</v>
      </c>
      <c r="P96" s="1">
        <f t="shared" si="34"/>
        <v>-0.77227722772277241</v>
      </c>
      <c r="Q96" s="1">
        <f t="shared" si="35"/>
        <v>0.6014410995666597</v>
      </c>
      <c r="R96" s="1">
        <f t="shared" si="36"/>
        <v>1.2867493119486053</v>
      </c>
      <c r="S96" s="1">
        <f t="shared" si="37"/>
        <v>3.370786516853936E-2</v>
      </c>
      <c r="T96" s="1"/>
    </row>
    <row r="97" spans="1:20">
      <c r="A97" t="s">
        <v>101</v>
      </c>
      <c r="B97" s="2">
        <v>0</v>
      </c>
      <c r="C97" s="2">
        <v>0</v>
      </c>
      <c r="D97" s="2">
        <v>0</v>
      </c>
      <c r="E97" s="2">
        <v>0</v>
      </c>
      <c r="F97" s="2">
        <v>0</v>
      </c>
      <c r="G97" s="8">
        <v>0</v>
      </c>
      <c r="H97" s="7">
        <f t="shared" si="26"/>
        <v>-0.47099999999999997</v>
      </c>
      <c r="I97" s="7">
        <f t="shared" si="27"/>
        <v>-0.379</v>
      </c>
      <c r="J97" s="7">
        <f t="shared" si="28"/>
        <v>-0.20200000000000001</v>
      </c>
      <c r="K97" s="7">
        <f t="shared" si="29"/>
        <v>-7.1185883783579498E-2</v>
      </c>
      <c r="L97" s="7">
        <f t="shared" si="30"/>
        <v>-1.51306484795731E-2</v>
      </c>
      <c r="M97" s="10">
        <f t="shared" si="31"/>
        <v>-0.17799999999999999</v>
      </c>
      <c r="N97" s="1">
        <f t="shared" si="32"/>
        <v>-1</v>
      </c>
      <c r="O97" s="1">
        <f t="shared" si="33"/>
        <v>-1</v>
      </c>
      <c r="P97" s="1">
        <f t="shared" si="34"/>
        <v>-1</v>
      </c>
      <c r="Q97" s="1">
        <f t="shared" si="35"/>
        <v>-1</v>
      </c>
      <c r="R97" s="1">
        <f t="shared" si="36"/>
        <v>-1</v>
      </c>
      <c r="S97" s="1">
        <f t="shared" si="37"/>
        <v>-1</v>
      </c>
      <c r="T97" s="1"/>
    </row>
    <row r="98" spans="1:20">
      <c r="A98" t="s">
        <v>100</v>
      </c>
      <c r="B98" s="2">
        <v>3.0000000000000001E-3</v>
      </c>
      <c r="C98" s="2">
        <v>0</v>
      </c>
      <c r="D98" s="2">
        <v>0</v>
      </c>
      <c r="E98" s="2">
        <v>0</v>
      </c>
      <c r="F98" s="2">
        <v>0</v>
      </c>
      <c r="G98" s="8">
        <v>0</v>
      </c>
      <c r="H98" s="7">
        <f t="shared" ref="H98:H144" si="38">B98-V$2</f>
        <v>-0.46799999999999997</v>
      </c>
      <c r="I98" s="7">
        <f t="shared" ref="I98:I144" si="39">C98-W$2</f>
        <v>-0.379</v>
      </c>
      <c r="J98" s="7">
        <f t="shared" ref="J98:J144" si="40">D98-X$2</f>
        <v>-0.20200000000000001</v>
      </c>
      <c r="K98" s="7">
        <f>E99-Y$2</f>
        <v>0.1568141162164205</v>
      </c>
      <c r="L98" s="7">
        <f>F99-Z$2</f>
        <v>6.3769351520426898E-2</v>
      </c>
      <c r="M98" s="10">
        <f t="shared" ref="M98:M144" si="41">G98-AA$2</f>
        <v>-0.17799999999999999</v>
      </c>
      <c r="N98" s="1">
        <f t="shared" ref="N98:N144" si="42">(B98-V$2)/V$2</f>
        <v>-0.99363057324840764</v>
      </c>
      <c r="O98" s="1">
        <f t="shared" ref="O98:O144" si="43">(C98-W$2)/W$2</f>
        <v>-1</v>
      </c>
      <c r="P98" s="1">
        <f t="shared" ref="P98:P144" si="44">(D98-X$2)/X$2</f>
        <v>-1</v>
      </c>
      <c r="Q98" s="1">
        <f>(E99-Y$2)/Y$2</f>
        <v>2.2028821991333194</v>
      </c>
      <c r="R98" s="1">
        <f>(F99-Z$2)/Z$2</f>
        <v>4.2145815234897386</v>
      </c>
      <c r="S98" s="1">
        <f t="shared" ref="S98:S144" si="45">(G98-AA$2)/AA$2</f>
        <v>-1</v>
      </c>
      <c r="T98" s="1"/>
    </row>
    <row r="99" spans="1:20">
      <c r="A99" t="s">
        <v>102</v>
      </c>
      <c r="B99" s="2">
        <v>0.246</v>
      </c>
      <c r="C99" s="2">
        <v>0.184</v>
      </c>
      <c r="D99" s="2">
        <v>7.4999999999999997E-2</v>
      </c>
      <c r="E99" s="2">
        <v>0.22800000000000001</v>
      </c>
      <c r="F99" s="2">
        <v>7.8899999999999998E-2</v>
      </c>
      <c r="G99" s="8">
        <v>0.31</v>
      </c>
      <c r="H99" s="7">
        <f t="shared" si="38"/>
        <v>-0.22499999999999998</v>
      </c>
      <c r="I99" s="7">
        <f t="shared" si="39"/>
        <v>-0.19500000000000001</v>
      </c>
      <c r="J99" s="7">
        <f t="shared" si="40"/>
        <v>-0.127</v>
      </c>
      <c r="K99" s="7">
        <f>E100-Y$2</f>
        <v>7.3814116216420492E-2</v>
      </c>
      <c r="L99" s="7">
        <f>F100-Z$2</f>
        <v>3.2269351520426898E-2</v>
      </c>
      <c r="M99" s="10">
        <f t="shared" si="41"/>
        <v>0.13200000000000001</v>
      </c>
      <c r="N99" s="1">
        <f t="shared" si="42"/>
        <v>-0.47770700636942676</v>
      </c>
      <c r="O99" s="1">
        <f t="shared" si="43"/>
        <v>-0.51451187335092352</v>
      </c>
      <c r="P99" s="1">
        <f t="shared" si="44"/>
        <v>-0.62871287128712872</v>
      </c>
      <c r="Q99" s="1">
        <f>(E100-Y$2)/Y$2</f>
        <v>1.0369206968172424</v>
      </c>
      <c r="R99" s="1">
        <f>(F100-Z$2)/Z$2</f>
        <v>2.1327143753284363</v>
      </c>
      <c r="S99" s="1">
        <f t="shared" si="45"/>
        <v>0.7415730337078652</v>
      </c>
      <c r="T99" s="1"/>
    </row>
    <row r="100" spans="1:20">
      <c r="A100" t="s">
        <v>103</v>
      </c>
      <c r="B100" s="2">
        <v>0.28299999999999997</v>
      </c>
      <c r="C100" s="2">
        <v>0.19600000000000001</v>
      </c>
      <c r="D100" s="2">
        <v>5.8999999999999997E-2</v>
      </c>
      <c r="E100" s="2">
        <v>0.14499999999999999</v>
      </c>
      <c r="F100" s="2">
        <v>4.7399999999999998E-2</v>
      </c>
      <c r="G100" s="8">
        <v>0.23599999999999999</v>
      </c>
      <c r="H100" s="7">
        <f t="shared" si="38"/>
        <v>-0.188</v>
      </c>
      <c r="I100" s="7">
        <f t="shared" si="39"/>
        <v>-0.183</v>
      </c>
      <c r="J100" s="7">
        <f t="shared" si="40"/>
        <v>-0.14300000000000002</v>
      </c>
      <c r="K100" s="7" t="e">
        <f>#REF!-Y$2</f>
        <v>#REF!</v>
      </c>
      <c r="L100" s="7" t="e">
        <f>#REF!-Z$2</f>
        <v>#REF!</v>
      </c>
      <c r="M100" s="10">
        <f t="shared" si="41"/>
        <v>5.7999999999999996E-2</v>
      </c>
      <c r="N100" s="1">
        <f t="shared" si="42"/>
        <v>-0.39915074309978771</v>
      </c>
      <c r="O100" s="1">
        <f t="shared" si="43"/>
        <v>-0.48284960422163586</v>
      </c>
      <c r="P100" s="1">
        <f t="shared" si="44"/>
        <v>-0.70792079207920799</v>
      </c>
      <c r="Q100" s="1" t="e">
        <f>(#REF!-Y$2)/Y$2</f>
        <v>#REF!</v>
      </c>
      <c r="R100" s="1" t="e">
        <f>(#REF!-Z$2)/Z$2</f>
        <v>#REF!</v>
      </c>
      <c r="S100" s="1">
        <f t="shared" si="45"/>
        <v>0.3258426966292135</v>
      </c>
      <c r="T100" s="1"/>
    </row>
    <row r="101" spans="1:20">
      <c r="A101" t="s">
        <v>105</v>
      </c>
      <c r="B101" s="2">
        <v>2E-3</v>
      </c>
      <c r="C101" s="2">
        <v>1E-3</v>
      </c>
      <c r="D101" s="2">
        <v>0</v>
      </c>
      <c r="E101" s="2">
        <v>0</v>
      </c>
      <c r="F101" s="2">
        <v>0</v>
      </c>
      <c r="G101" s="8">
        <v>0</v>
      </c>
      <c r="H101" s="7">
        <f t="shared" si="38"/>
        <v>-0.46899999999999997</v>
      </c>
      <c r="I101" s="7">
        <f t="shared" si="39"/>
        <v>-0.378</v>
      </c>
      <c r="J101" s="7">
        <f t="shared" si="40"/>
        <v>-0.20200000000000001</v>
      </c>
      <c r="K101" s="7">
        <f t="shared" ref="K101:K144" si="46">E101-Y$2</f>
        <v>-7.1185883783579498E-2</v>
      </c>
      <c r="L101" s="7">
        <f t="shared" ref="L101:L144" si="47">F101-Z$2</f>
        <v>-1.51306484795731E-2</v>
      </c>
      <c r="M101" s="10">
        <f t="shared" si="41"/>
        <v>-0.17799999999999999</v>
      </c>
      <c r="N101" s="1">
        <f t="shared" si="42"/>
        <v>-0.99575371549893843</v>
      </c>
      <c r="O101" s="1">
        <f t="shared" si="43"/>
        <v>-0.99736147757255933</v>
      </c>
      <c r="P101" s="1">
        <f t="shared" si="44"/>
        <v>-1</v>
      </c>
      <c r="Q101" s="1">
        <f t="shared" ref="Q101:Q144" si="48">(E101-Y$2)/Y$2</f>
        <v>-1</v>
      </c>
      <c r="R101" s="1">
        <f t="shared" ref="R101:R144" si="49">(F101-Z$2)/Z$2</f>
        <v>-1</v>
      </c>
      <c r="S101" s="1">
        <f t="shared" si="45"/>
        <v>-1</v>
      </c>
      <c r="T101" s="1"/>
    </row>
    <row r="102" spans="1:20">
      <c r="A102" t="s">
        <v>104</v>
      </c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8">
        <v>0</v>
      </c>
      <c r="H102" s="7">
        <f t="shared" si="38"/>
        <v>-0.47099999999999997</v>
      </c>
      <c r="I102" s="7">
        <f t="shared" si="39"/>
        <v>-0.379</v>
      </c>
      <c r="J102" s="7">
        <f t="shared" si="40"/>
        <v>-0.20200000000000001</v>
      </c>
      <c r="K102" s="7">
        <f t="shared" si="46"/>
        <v>-7.1185883783579498E-2</v>
      </c>
      <c r="L102" s="7">
        <f t="shared" si="47"/>
        <v>-1.51306484795731E-2</v>
      </c>
      <c r="M102" s="10">
        <f t="shared" si="41"/>
        <v>-0.17799999999999999</v>
      </c>
      <c r="N102" s="1">
        <f t="shared" si="42"/>
        <v>-1</v>
      </c>
      <c r="O102" s="1">
        <f t="shared" si="43"/>
        <v>-1</v>
      </c>
      <c r="P102" s="1">
        <f t="shared" si="44"/>
        <v>-1</v>
      </c>
      <c r="Q102" s="1">
        <f t="shared" si="48"/>
        <v>-1</v>
      </c>
      <c r="R102" s="1">
        <f t="shared" si="49"/>
        <v>-1</v>
      </c>
      <c r="S102" s="1">
        <f t="shared" si="45"/>
        <v>-1</v>
      </c>
      <c r="T102" s="1"/>
    </row>
    <row r="103" spans="1:20">
      <c r="A103" t="s">
        <v>106</v>
      </c>
      <c r="B103" s="2">
        <v>0.22900000000000001</v>
      </c>
      <c r="C103" s="2">
        <v>0.123</v>
      </c>
      <c r="D103" s="2">
        <v>5.0999999999999997E-2</v>
      </c>
      <c r="E103" s="2">
        <v>0.13200000000000001</v>
      </c>
      <c r="F103" s="2">
        <v>4.41E-2</v>
      </c>
      <c r="G103" s="8">
        <v>0.23</v>
      </c>
      <c r="H103" s="7">
        <f t="shared" si="38"/>
        <v>-0.24199999999999997</v>
      </c>
      <c r="I103" s="7">
        <f t="shared" si="39"/>
        <v>-0.25600000000000001</v>
      </c>
      <c r="J103" s="7">
        <f t="shared" si="40"/>
        <v>-0.15100000000000002</v>
      </c>
      <c r="K103" s="7">
        <f t="shared" si="46"/>
        <v>6.0814116216420508E-2</v>
      </c>
      <c r="L103" s="7">
        <f t="shared" si="47"/>
        <v>2.89693515204269E-2</v>
      </c>
      <c r="M103" s="10">
        <f t="shared" si="41"/>
        <v>5.2000000000000018E-2</v>
      </c>
      <c r="N103" s="1">
        <f t="shared" si="42"/>
        <v>-0.5138004246284501</v>
      </c>
      <c r="O103" s="1">
        <f t="shared" si="43"/>
        <v>-0.67546174142480209</v>
      </c>
      <c r="P103" s="1">
        <f t="shared" si="44"/>
        <v>-0.74752475247524763</v>
      </c>
      <c r="Q103" s="1">
        <f t="shared" si="48"/>
        <v>0.85430022055086918</v>
      </c>
      <c r="R103" s="1">
        <f t="shared" si="49"/>
        <v>1.9146140074258238</v>
      </c>
      <c r="S103" s="1">
        <f t="shared" si="45"/>
        <v>0.29213483146067426</v>
      </c>
      <c r="T103" s="1"/>
    </row>
    <row r="104" spans="1:20">
      <c r="A104" t="s">
        <v>107</v>
      </c>
      <c r="B104" s="2">
        <v>0.191</v>
      </c>
      <c r="C104" s="2">
        <v>9.6000000000000002E-2</v>
      </c>
      <c r="D104" s="2">
        <v>2.8000000000000001E-2</v>
      </c>
      <c r="E104" s="2">
        <v>0.106</v>
      </c>
      <c r="F104" s="2">
        <v>3.5799999999999998E-2</v>
      </c>
      <c r="G104" s="8">
        <v>0.19</v>
      </c>
      <c r="H104" s="7">
        <f t="shared" si="38"/>
        <v>-0.27999999999999997</v>
      </c>
      <c r="I104" s="7">
        <f t="shared" si="39"/>
        <v>-0.28300000000000003</v>
      </c>
      <c r="J104" s="7">
        <f t="shared" si="40"/>
        <v>-0.17400000000000002</v>
      </c>
      <c r="K104" s="7">
        <f t="shared" si="46"/>
        <v>3.4814116216420499E-2</v>
      </c>
      <c r="L104" s="7">
        <f t="shared" si="47"/>
        <v>2.0669351520426898E-2</v>
      </c>
      <c r="M104" s="10">
        <f t="shared" si="41"/>
        <v>1.2000000000000011E-2</v>
      </c>
      <c r="N104" s="1">
        <f t="shared" si="42"/>
        <v>-0.59447983014861994</v>
      </c>
      <c r="O104" s="1">
        <f t="shared" si="43"/>
        <v>-0.7467018469656993</v>
      </c>
      <c r="P104" s="1">
        <f t="shared" si="44"/>
        <v>-0.86138613861386137</v>
      </c>
      <c r="Q104" s="1">
        <f t="shared" si="48"/>
        <v>0.48905926801812211</v>
      </c>
      <c r="R104" s="1">
        <f t="shared" si="49"/>
        <v>1.3660585366404645</v>
      </c>
      <c r="S104" s="1">
        <f t="shared" si="45"/>
        <v>6.7415730337078719E-2</v>
      </c>
      <c r="T104" s="1"/>
    </row>
    <row r="105" spans="1:20">
      <c r="A105" t="s">
        <v>109</v>
      </c>
      <c r="B105" s="2">
        <v>2E-3</v>
      </c>
      <c r="C105" s="2">
        <v>1E-3</v>
      </c>
      <c r="D105" s="2">
        <v>0</v>
      </c>
      <c r="E105" s="2">
        <v>0</v>
      </c>
      <c r="F105" s="2">
        <v>0</v>
      </c>
      <c r="G105" s="8">
        <v>0</v>
      </c>
      <c r="H105" s="7">
        <f t="shared" si="38"/>
        <v>-0.46899999999999997</v>
      </c>
      <c r="I105" s="7">
        <f t="shared" si="39"/>
        <v>-0.378</v>
      </c>
      <c r="J105" s="7">
        <f t="shared" si="40"/>
        <v>-0.20200000000000001</v>
      </c>
      <c r="K105" s="7">
        <f t="shared" si="46"/>
        <v>-7.1185883783579498E-2</v>
      </c>
      <c r="L105" s="7">
        <f t="shared" si="47"/>
        <v>-1.51306484795731E-2</v>
      </c>
      <c r="M105" s="10">
        <f t="shared" si="41"/>
        <v>-0.17799999999999999</v>
      </c>
      <c r="N105" s="1">
        <f t="shared" si="42"/>
        <v>-0.99575371549893843</v>
      </c>
      <c r="O105" s="1">
        <f t="shared" si="43"/>
        <v>-0.99736147757255933</v>
      </c>
      <c r="P105" s="1">
        <f t="shared" si="44"/>
        <v>-1</v>
      </c>
      <c r="Q105" s="1">
        <f t="shared" si="48"/>
        <v>-1</v>
      </c>
      <c r="R105" s="1">
        <f t="shared" si="49"/>
        <v>-1</v>
      </c>
      <c r="S105" s="1">
        <f t="shared" si="45"/>
        <v>-1</v>
      </c>
      <c r="T105" s="1"/>
    </row>
    <row r="106" spans="1:20">
      <c r="A106" t="s">
        <v>108</v>
      </c>
      <c r="B106" s="2">
        <v>0</v>
      </c>
      <c r="C106" s="2">
        <v>0</v>
      </c>
      <c r="D106" s="2">
        <v>0</v>
      </c>
      <c r="E106" s="2">
        <v>0</v>
      </c>
      <c r="F106" s="2">
        <v>0</v>
      </c>
      <c r="G106" s="8">
        <v>0</v>
      </c>
      <c r="H106" s="7">
        <f t="shared" si="38"/>
        <v>-0.47099999999999997</v>
      </c>
      <c r="I106" s="7">
        <f t="shared" si="39"/>
        <v>-0.379</v>
      </c>
      <c r="J106" s="7">
        <f t="shared" si="40"/>
        <v>-0.20200000000000001</v>
      </c>
      <c r="K106" s="7">
        <f t="shared" si="46"/>
        <v>-7.1185883783579498E-2</v>
      </c>
      <c r="L106" s="7">
        <f t="shared" si="47"/>
        <v>-1.51306484795731E-2</v>
      </c>
      <c r="M106" s="10">
        <f t="shared" si="41"/>
        <v>-0.17799999999999999</v>
      </c>
      <c r="N106" s="1">
        <f t="shared" si="42"/>
        <v>-1</v>
      </c>
      <c r="O106" s="1">
        <f t="shared" si="43"/>
        <v>-1</v>
      </c>
      <c r="P106" s="1">
        <f t="shared" si="44"/>
        <v>-1</v>
      </c>
      <c r="Q106" s="1">
        <f t="shared" si="48"/>
        <v>-1</v>
      </c>
      <c r="R106" s="1">
        <f t="shared" si="49"/>
        <v>-1</v>
      </c>
      <c r="S106" s="1">
        <f t="shared" si="45"/>
        <v>-1</v>
      </c>
      <c r="T106" s="1"/>
    </row>
    <row r="107" spans="1:20">
      <c r="A107" t="s">
        <v>110</v>
      </c>
      <c r="B107" s="2">
        <v>0.22</v>
      </c>
      <c r="C107" s="2">
        <v>0.129</v>
      </c>
      <c r="D107" s="2">
        <v>5.5E-2</v>
      </c>
      <c r="E107" s="2">
        <v>0.15</v>
      </c>
      <c r="F107" s="2">
        <v>4.7E-2</v>
      </c>
      <c r="G107" s="8">
        <v>0.23100000000000001</v>
      </c>
      <c r="H107" s="7">
        <f t="shared" si="38"/>
        <v>-0.251</v>
      </c>
      <c r="I107" s="7">
        <f t="shared" si="39"/>
        <v>-0.25</v>
      </c>
      <c r="J107" s="7">
        <f t="shared" si="40"/>
        <v>-0.14700000000000002</v>
      </c>
      <c r="K107" s="7">
        <f t="shared" si="46"/>
        <v>7.8814116216420496E-2</v>
      </c>
      <c r="L107" s="7">
        <f t="shared" si="47"/>
        <v>3.18693515204269E-2</v>
      </c>
      <c r="M107" s="10">
        <f t="shared" si="41"/>
        <v>5.3000000000000019E-2</v>
      </c>
      <c r="N107" s="1">
        <f t="shared" si="42"/>
        <v>-0.53290870488322717</v>
      </c>
      <c r="O107" s="1">
        <f t="shared" si="43"/>
        <v>-0.65963060686015829</v>
      </c>
      <c r="P107" s="1">
        <f t="shared" si="44"/>
        <v>-0.72772277227722781</v>
      </c>
      <c r="Q107" s="1">
        <f t="shared" si="48"/>
        <v>1.1071593415350784</v>
      </c>
      <c r="R107" s="1">
        <f t="shared" si="49"/>
        <v>2.1062779670978169</v>
      </c>
      <c r="S107" s="1">
        <f t="shared" si="45"/>
        <v>0.29775280898876416</v>
      </c>
      <c r="T107" s="1"/>
    </row>
    <row r="108" spans="1:20">
      <c r="A108" t="s">
        <v>111</v>
      </c>
      <c r="B108" s="2">
        <v>0.17799999999999999</v>
      </c>
      <c r="C108" s="2">
        <v>8.4000000000000005E-2</v>
      </c>
      <c r="D108" s="2">
        <v>2.7E-2</v>
      </c>
      <c r="E108" s="2">
        <v>7.3499999999999996E-2</v>
      </c>
      <c r="F108" s="2">
        <v>2.1299999999999999E-2</v>
      </c>
      <c r="G108" s="8">
        <v>0.15</v>
      </c>
      <c r="H108" s="7">
        <f t="shared" si="38"/>
        <v>-0.29299999999999998</v>
      </c>
      <c r="I108" s="7">
        <f t="shared" si="39"/>
        <v>-0.29499999999999998</v>
      </c>
      <c r="J108" s="7">
        <f t="shared" si="40"/>
        <v>-0.17500000000000002</v>
      </c>
      <c r="K108" s="7">
        <f t="shared" si="46"/>
        <v>2.3141162164204976E-3</v>
      </c>
      <c r="L108" s="7">
        <f t="shared" si="47"/>
        <v>6.1693515204268995E-3</v>
      </c>
      <c r="M108" s="10">
        <f t="shared" si="41"/>
        <v>-2.7999999999999997E-2</v>
      </c>
      <c r="N108" s="1">
        <f t="shared" si="42"/>
        <v>-0.62208067940552014</v>
      </c>
      <c r="O108" s="1">
        <f t="shared" si="43"/>
        <v>-0.77836411609498679</v>
      </c>
      <c r="P108" s="1">
        <f t="shared" si="44"/>
        <v>-0.86633663366336633</v>
      </c>
      <c r="Q108" s="1">
        <f t="shared" si="48"/>
        <v>3.2508077352188421E-2</v>
      </c>
      <c r="R108" s="1">
        <f t="shared" si="49"/>
        <v>0.40773873828049989</v>
      </c>
      <c r="S108" s="1">
        <f t="shared" si="45"/>
        <v>-0.15730337078651685</v>
      </c>
      <c r="T108" s="1"/>
    </row>
    <row r="109" spans="1:20">
      <c r="A109" t="s">
        <v>120</v>
      </c>
      <c r="B109" s="2">
        <v>0.28100000000000003</v>
      </c>
      <c r="C109" s="2">
        <v>0.21099999999999999</v>
      </c>
      <c r="D109" s="2">
        <v>7.4999999999999997E-2</v>
      </c>
      <c r="E109" s="2">
        <v>0.20100000000000001</v>
      </c>
      <c r="F109" s="2">
        <v>6.9800000000000001E-2</v>
      </c>
      <c r="G109" s="8">
        <v>0.27700000000000002</v>
      </c>
      <c r="H109" s="7">
        <f t="shared" si="38"/>
        <v>-0.18999999999999995</v>
      </c>
      <c r="I109" s="7">
        <f t="shared" si="39"/>
        <v>-0.16800000000000001</v>
      </c>
      <c r="J109" s="7">
        <f t="shared" si="40"/>
        <v>-0.127</v>
      </c>
      <c r="K109" s="7">
        <f t="shared" si="46"/>
        <v>0.12981411621642053</v>
      </c>
      <c r="L109" s="7">
        <f t="shared" si="47"/>
        <v>5.4669351520426901E-2</v>
      </c>
      <c r="M109" s="10">
        <f t="shared" si="41"/>
        <v>9.9000000000000032E-2</v>
      </c>
      <c r="N109" s="1">
        <f t="shared" si="42"/>
        <v>-0.40339702760084917</v>
      </c>
      <c r="O109" s="1">
        <f t="shared" si="43"/>
        <v>-0.44327176781002642</v>
      </c>
      <c r="P109" s="1">
        <f t="shared" si="44"/>
        <v>-0.62871287128712872</v>
      </c>
      <c r="Q109" s="1">
        <f t="shared" si="48"/>
        <v>1.8235935176570055</v>
      </c>
      <c r="R109" s="1">
        <f t="shared" si="49"/>
        <v>3.6131532362431407</v>
      </c>
      <c r="S109" s="1">
        <f t="shared" si="45"/>
        <v>0.55617977528089912</v>
      </c>
      <c r="T109" s="1"/>
    </row>
    <row r="110" spans="1:20">
      <c r="A110" t="s">
        <v>118</v>
      </c>
      <c r="B110" s="2">
        <v>0.129</v>
      </c>
      <c r="C110" s="2">
        <v>0.11</v>
      </c>
      <c r="D110" s="2">
        <v>0.04</v>
      </c>
      <c r="E110" s="2">
        <v>0.104</v>
      </c>
      <c r="F110" s="2">
        <v>4.1099999999999998E-2</v>
      </c>
      <c r="G110" s="8">
        <v>0.129</v>
      </c>
      <c r="H110" s="7">
        <f t="shared" si="38"/>
        <v>-0.34199999999999997</v>
      </c>
      <c r="I110" s="7">
        <f t="shared" si="39"/>
        <v>-0.26900000000000002</v>
      </c>
      <c r="J110" s="7">
        <f t="shared" si="40"/>
        <v>-0.16200000000000001</v>
      </c>
      <c r="K110" s="7">
        <f t="shared" si="46"/>
        <v>3.2814116216420497E-2</v>
      </c>
      <c r="L110" s="7">
        <f t="shared" si="47"/>
        <v>2.5969351520426898E-2</v>
      </c>
      <c r="M110" s="10">
        <f t="shared" si="41"/>
        <v>-4.8999999999999988E-2</v>
      </c>
      <c r="N110" s="1">
        <f t="shared" si="42"/>
        <v>-0.72611464968152861</v>
      </c>
      <c r="O110" s="1">
        <f t="shared" si="43"/>
        <v>-0.70976253298153036</v>
      </c>
      <c r="P110" s="1">
        <f t="shared" si="44"/>
        <v>-0.80198019801980192</v>
      </c>
      <c r="Q110" s="1">
        <f t="shared" si="48"/>
        <v>0.46096381013098769</v>
      </c>
      <c r="R110" s="1">
        <f t="shared" si="49"/>
        <v>1.7163409456961758</v>
      </c>
      <c r="S110" s="1">
        <f t="shared" si="45"/>
        <v>-0.27528089887640445</v>
      </c>
      <c r="T110" s="1"/>
    </row>
    <row r="111" spans="1:20">
      <c r="A111" t="s">
        <v>119</v>
      </c>
      <c r="B111" s="2">
        <v>0.308</v>
      </c>
      <c r="C111" s="2">
        <v>0.22</v>
      </c>
      <c r="D111" s="2">
        <v>7.4999999999999997E-2</v>
      </c>
      <c r="E111" s="2">
        <v>0.218</v>
      </c>
      <c r="F111" s="2">
        <v>6.9800000000000001E-2</v>
      </c>
      <c r="G111" s="8">
        <v>0.28499999999999998</v>
      </c>
      <c r="H111" s="7">
        <f t="shared" si="38"/>
        <v>-0.16299999999999998</v>
      </c>
      <c r="I111" s="7">
        <f t="shared" si="39"/>
        <v>-0.159</v>
      </c>
      <c r="J111" s="7">
        <f t="shared" si="40"/>
        <v>-0.127</v>
      </c>
      <c r="K111" s="7">
        <f t="shared" si="46"/>
        <v>0.14681411621642049</v>
      </c>
      <c r="L111" s="7">
        <f t="shared" si="47"/>
        <v>5.4669351520426901E-2</v>
      </c>
      <c r="M111" s="10">
        <f t="shared" si="41"/>
        <v>0.10699999999999998</v>
      </c>
      <c r="N111" s="1">
        <f t="shared" si="42"/>
        <v>-0.34607218683651803</v>
      </c>
      <c r="O111" s="1">
        <f t="shared" si="43"/>
        <v>-0.41952506596306066</v>
      </c>
      <c r="P111" s="1">
        <f t="shared" si="44"/>
        <v>-0.62871287128712872</v>
      </c>
      <c r="Q111" s="1">
        <f t="shared" si="48"/>
        <v>2.0624049096976473</v>
      </c>
      <c r="R111" s="1">
        <f t="shared" si="49"/>
        <v>3.6131532362431407</v>
      </c>
      <c r="S111" s="1">
        <f t="shared" si="45"/>
        <v>0.60112359550561789</v>
      </c>
      <c r="T111" s="1"/>
    </row>
    <row r="112" spans="1:20">
      <c r="A112" t="s">
        <v>121</v>
      </c>
      <c r="B112" s="2">
        <v>0.24399999999999999</v>
      </c>
      <c r="C112" s="2">
        <v>0.152</v>
      </c>
      <c r="D112" s="2">
        <v>6.4000000000000001E-2</v>
      </c>
      <c r="E112" s="2">
        <v>0.152</v>
      </c>
      <c r="F112" s="2">
        <v>5.7799999999999997E-2</v>
      </c>
      <c r="G112" s="8">
        <v>0.222</v>
      </c>
      <c r="H112" s="7">
        <f t="shared" si="38"/>
        <v>-0.22699999999999998</v>
      </c>
      <c r="I112" s="7">
        <f t="shared" si="39"/>
        <v>-0.22700000000000001</v>
      </c>
      <c r="J112" s="7">
        <f t="shared" si="40"/>
        <v>-0.13800000000000001</v>
      </c>
      <c r="K112" s="7">
        <f t="shared" si="46"/>
        <v>8.0814116216420498E-2</v>
      </c>
      <c r="L112" s="7">
        <f t="shared" si="47"/>
        <v>4.2669351520426897E-2</v>
      </c>
      <c r="M112" s="10">
        <f t="shared" si="41"/>
        <v>4.4000000000000011E-2</v>
      </c>
      <c r="N112" s="1">
        <f t="shared" si="42"/>
        <v>-0.48195329087048833</v>
      </c>
      <c r="O112" s="1">
        <f t="shared" si="43"/>
        <v>-0.59894459102902375</v>
      </c>
      <c r="P112" s="1">
        <f t="shared" si="44"/>
        <v>-0.68316831683168322</v>
      </c>
      <c r="Q112" s="1">
        <f t="shared" si="48"/>
        <v>1.1352547994222129</v>
      </c>
      <c r="R112" s="1">
        <f t="shared" si="49"/>
        <v>2.8200609893245487</v>
      </c>
      <c r="S112" s="1">
        <f t="shared" si="45"/>
        <v>0.24719101123595513</v>
      </c>
      <c r="T112" s="1"/>
    </row>
    <row r="113" spans="1:20">
      <c r="A113" t="s">
        <v>122</v>
      </c>
      <c r="B113" s="2">
        <v>0.221</v>
      </c>
      <c r="C113" s="2">
        <v>0.11899999999999999</v>
      </c>
      <c r="D113" s="2">
        <v>4.5999999999999999E-2</v>
      </c>
      <c r="E113" s="2">
        <v>0.107</v>
      </c>
      <c r="F113" s="2">
        <v>3.2899999999999999E-2</v>
      </c>
      <c r="G113" s="8">
        <v>0.20899999999999999</v>
      </c>
      <c r="H113" s="7">
        <f t="shared" si="38"/>
        <v>-0.24999999999999997</v>
      </c>
      <c r="I113" s="7">
        <f t="shared" si="39"/>
        <v>-0.26</v>
      </c>
      <c r="J113" s="7">
        <f t="shared" si="40"/>
        <v>-0.15600000000000003</v>
      </c>
      <c r="K113" s="7">
        <f t="shared" si="46"/>
        <v>3.58141162164205E-2</v>
      </c>
      <c r="L113" s="7">
        <f t="shared" si="47"/>
        <v>1.7769351520426899E-2</v>
      </c>
      <c r="M113" s="10">
        <f t="shared" si="41"/>
        <v>3.1E-2</v>
      </c>
      <c r="N113" s="1">
        <f t="shared" si="42"/>
        <v>-0.53078556263269638</v>
      </c>
      <c r="O113" s="1">
        <f t="shared" si="43"/>
        <v>-0.68601583113456466</v>
      </c>
      <c r="P113" s="1">
        <f t="shared" si="44"/>
        <v>-0.77227722772277241</v>
      </c>
      <c r="Q113" s="1">
        <f t="shared" si="48"/>
        <v>0.50310699696168937</v>
      </c>
      <c r="R113" s="1">
        <f t="shared" si="49"/>
        <v>1.1743945769684716</v>
      </c>
      <c r="S113" s="1">
        <f t="shared" si="45"/>
        <v>0.17415730337078653</v>
      </c>
      <c r="T113" s="1"/>
    </row>
    <row r="114" spans="1:20">
      <c r="A114" s="4" t="s">
        <v>123</v>
      </c>
      <c r="B114" s="2">
        <v>0.32300000000000001</v>
      </c>
      <c r="C114" s="2">
        <v>0.23100000000000001</v>
      </c>
      <c r="D114" s="2">
        <v>9.1999999999999998E-2</v>
      </c>
      <c r="E114" s="2">
        <v>0.19</v>
      </c>
      <c r="F114" s="2">
        <v>5.4300000000000001E-2</v>
      </c>
      <c r="G114" s="8">
        <v>0.30499999999999999</v>
      </c>
      <c r="H114" s="7">
        <f t="shared" si="38"/>
        <v>-0.14799999999999996</v>
      </c>
      <c r="I114" s="7">
        <f t="shared" si="39"/>
        <v>-0.14799999999999999</v>
      </c>
      <c r="J114" s="7">
        <f t="shared" si="40"/>
        <v>-0.11000000000000001</v>
      </c>
      <c r="K114" s="7">
        <f t="shared" si="46"/>
        <v>0.1188141162164205</v>
      </c>
      <c r="L114" s="7">
        <f t="shared" si="47"/>
        <v>3.9169351520426901E-2</v>
      </c>
      <c r="M114" s="10">
        <f t="shared" si="41"/>
        <v>0.127</v>
      </c>
      <c r="N114" s="1">
        <f t="shared" si="42"/>
        <v>-0.31422505307855619</v>
      </c>
      <c r="O114" s="1">
        <f t="shared" si="43"/>
        <v>-0.39050131926121368</v>
      </c>
      <c r="P114" s="1">
        <f t="shared" si="44"/>
        <v>-0.54455445544554459</v>
      </c>
      <c r="Q114" s="1">
        <f t="shared" si="48"/>
        <v>1.6690684992777662</v>
      </c>
      <c r="R114" s="1">
        <f t="shared" si="49"/>
        <v>2.5887424173066265</v>
      </c>
      <c r="S114" s="1">
        <f t="shared" si="45"/>
        <v>0.71348314606741581</v>
      </c>
      <c r="T114" s="1"/>
    </row>
    <row r="115" spans="1:20">
      <c r="A115" t="s">
        <v>114</v>
      </c>
      <c r="B115" s="2">
        <v>0.29699999999999999</v>
      </c>
      <c r="C115" s="2">
        <v>0.222</v>
      </c>
      <c r="D115" s="2">
        <v>7.5999999999999998E-2</v>
      </c>
      <c r="E115" s="2">
        <v>0.215</v>
      </c>
      <c r="F115" s="2">
        <v>0.08</v>
      </c>
      <c r="G115" s="8">
        <v>0.27100000000000002</v>
      </c>
      <c r="H115" s="7">
        <f t="shared" si="38"/>
        <v>-0.17399999999999999</v>
      </c>
      <c r="I115" s="7">
        <f t="shared" si="39"/>
        <v>-0.157</v>
      </c>
      <c r="J115" s="7">
        <f t="shared" si="40"/>
        <v>-0.126</v>
      </c>
      <c r="K115" s="7">
        <f t="shared" si="46"/>
        <v>0.14381411621642048</v>
      </c>
      <c r="L115" s="7">
        <f t="shared" si="47"/>
        <v>6.4869351520426902E-2</v>
      </c>
      <c r="M115" s="10">
        <f t="shared" si="41"/>
        <v>9.3000000000000027E-2</v>
      </c>
      <c r="N115" s="1">
        <f t="shared" si="42"/>
        <v>-0.36942675159235666</v>
      </c>
      <c r="O115" s="1">
        <f t="shared" si="43"/>
        <v>-0.41424802110817943</v>
      </c>
      <c r="P115" s="1">
        <f t="shared" si="44"/>
        <v>-0.62376237623762376</v>
      </c>
      <c r="Q115" s="1">
        <f t="shared" si="48"/>
        <v>2.0202617228669455</v>
      </c>
      <c r="R115" s="1">
        <f t="shared" si="49"/>
        <v>4.2872816461239438</v>
      </c>
      <c r="S115" s="1">
        <f t="shared" si="45"/>
        <v>0.52247191011235972</v>
      </c>
      <c r="T115" s="1"/>
    </row>
    <row r="116" spans="1:20">
      <c r="A116" t="s">
        <v>112</v>
      </c>
      <c r="B116" s="2">
        <v>0.13900000000000001</v>
      </c>
      <c r="C116" s="2">
        <v>9.1999999999999998E-2</v>
      </c>
      <c r="D116" s="2">
        <v>4.2000000000000003E-2</v>
      </c>
      <c r="E116" s="2">
        <v>8.4895440824983001E-2</v>
      </c>
      <c r="F116" s="2">
        <v>3.0441016636774398E-2</v>
      </c>
      <c r="G116" s="8">
        <v>0.14199999999999999</v>
      </c>
      <c r="H116" s="7">
        <f t="shared" si="38"/>
        <v>-0.33199999999999996</v>
      </c>
      <c r="I116" s="7">
        <f t="shared" si="39"/>
        <v>-0.28700000000000003</v>
      </c>
      <c r="J116" s="7">
        <f t="shared" si="40"/>
        <v>-0.16</v>
      </c>
      <c r="K116" s="7">
        <f t="shared" si="46"/>
        <v>1.3709557041403503E-2</v>
      </c>
      <c r="L116" s="7">
        <f t="shared" si="47"/>
        <v>1.5310368157201298E-2</v>
      </c>
      <c r="M116" s="10">
        <f t="shared" si="41"/>
        <v>-3.6000000000000004E-2</v>
      </c>
      <c r="N116" s="1">
        <f t="shared" si="42"/>
        <v>-0.70488322717622076</v>
      </c>
      <c r="O116" s="1">
        <f t="shared" si="43"/>
        <v>-0.75725593667546187</v>
      </c>
      <c r="P116" s="1">
        <f t="shared" si="44"/>
        <v>-0.79207920792079201</v>
      </c>
      <c r="Q116" s="1">
        <f t="shared" si="48"/>
        <v>0.19258814125400936</v>
      </c>
      <c r="R116" s="1">
        <f t="shared" si="49"/>
        <v>1.0118778569121361</v>
      </c>
      <c r="S116" s="1">
        <f t="shared" si="45"/>
        <v>-0.20224719101123598</v>
      </c>
      <c r="T116" s="1"/>
    </row>
    <row r="117" spans="1:20">
      <c r="A117" s="11" t="s">
        <v>113</v>
      </c>
      <c r="B117" s="2">
        <v>0.31900000000000001</v>
      </c>
      <c r="C117" s="2">
        <v>0.21299999999999999</v>
      </c>
      <c r="D117" s="2">
        <v>7.8E-2</v>
      </c>
      <c r="E117" s="2">
        <v>0.23771521885128499</v>
      </c>
      <c r="F117" s="2">
        <v>7.7215939560785193E-2</v>
      </c>
      <c r="G117" s="8">
        <v>0.318</v>
      </c>
      <c r="H117" s="7">
        <f t="shared" si="38"/>
        <v>-0.15199999999999997</v>
      </c>
      <c r="I117" s="7">
        <f t="shared" si="39"/>
        <v>-0.16600000000000001</v>
      </c>
      <c r="J117" s="7">
        <f t="shared" si="40"/>
        <v>-0.12400000000000001</v>
      </c>
      <c r="K117" s="7">
        <f t="shared" si="46"/>
        <v>0.16652933506770551</v>
      </c>
      <c r="L117" s="7">
        <f t="shared" si="47"/>
        <v>6.2085291081212093E-2</v>
      </c>
      <c r="M117" s="10">
        <f t="shared" si="41"/>
        <v>0.14000000000000001</v>
      </c>
      <c r="N117" s="1">
        <f t="shared" si="42"/>
        <v>-0.32271762208067933</v>
      </c>
      <c r="O117" s="1">
        <f t="shared" si="43"/>
        <v>-0.43799472295514513</v>
      </c>
      <c r="P117" s="1">
        <f t="shared" si="44"/>
        <v>-0.61386138613861385</v>
      </c>
      <c r="Q117" s="1">
        <f t="shared" si="48"/>
        <v>2.3393589601836053</v>
      </c>
      <c r="R117" s="1">
        <f t="shared" si="49"/>
        <v>4.1032802503494405</v>
      </c>
      <c r="S117" s="1">
        <f t="shared" si="45"/>
        <v>0.78651685393258441</v>
      </c>
      <c r="T117" s="1"/>
    </row>
    <row r="118" spans="1:20">
      <c r="A118" s="13" t="s">
        <v>115</v>
      </c>
      <c r="B118" s="2">
        <v>0.25700000000000001</v>
      </c>
      <c r="C118" s="2">
        <v>0.152</v>
      </c>
      <c r="D118" s="2">
        <v>6.3E-2</v>
      </c>
      <c r="E118" s="2">
        <v>0.17</v>
      </c>
      <c r="F118" s="2">
        <v>5.8099999999999999E-2</v>
      </c>
      <c r="G118" s="8">
        <v>0.24199999999999999</v>
      </c>
      <c r="H118" s="7">
        <f t="shared" si="38"/>
        <v>-0.21399999999999997</v>
      </c>
      <c r="I118" s="7">
        <f t="shared" si="39"/>
        <v>-0.22700000000000001</v>
      </c>
      <c r="J118" s="7">
        <f t="shared" si="40"/>
        <v>-0.13900000000000001</v>
      </c>
      <c r="K118" s="7">
        <f t="shared" si="46"/>
        <v>9.8814116216420514E-2</v>
      </c>
      <c r="L118" s="7">
        <f t="shared" si="47"/>
        <v>4.2969351520426899E-2</v>
      </c>
      <c r="M118" s="10">
        <f t="shared" si="41"/>
        <v>6.4000000000000001E-2</v>
      </c>
      <c r="N118" s="1">
        <f t="shared" si="42"/>
        <v>-0.45435244161358807</v>
      </c>
      <c r="O118" s="1">
        <f t="shared" si="43"/>
        <v>-0.59894459102902375</v>
      </c>
      <c r="P118" s="1">
        <f t="shared" si="44"/>
        <v>-0.68811881188118817</v>
      </c>
      <c r="Q118" s="1">
        <f t="shared" si="48"/>
        <v>1.3881139204064226</v>
      </c>
      <c r="R118" s="1">
        <f t="shared" si="49"/>
        <v>2.8398882954975138</v>
      </c>
      <c r="S118" s="1">
        <f t="shared" si="45"/>
        <v>0.35955056179775285</v>
      </c>
      <c r="T118" s="1"/>
    </row>
    <row r="119" spans="1:20">
      <c r="A119" t="s">
        <v>116</v>
      </c>
      <c r="B119" s="2">
        <v>0.22600000000000001</v>
      </c>
      <c r="C119" s="2">
        <v>0.11899999999999999</v>
      </c>
      <c r="D119" s="2">
        <v>4.5999999999999999E-2</v>
      </c>
      <c r="E119" s="2">
        <v>0.109</v>
      </c>
      <c r="F119" s="2">
        <v>3.3300000000000003E-2</v>
      </c>
      <c r="G119" s="8">
        <v>0.20799999999999999</v>
      </c>
      <c r="H119" s="7">
        <f t="shared" si="38"/>
        <v>-0.24499999999999997</v>
      </c>
      <c r="I119" s="7">
        <f t="shared" si="39"/>
        <v>-0.26</v>
      </c>
      <c r="J119" s="7">
        <f t="shared" si="40"/>
        <v>-0.15600000000000003</v>
      </c>
      <c r="K119" s="7">
        <f t="shared" si="46"/>
        <v>3.7814116216420501E-2</v>
      </c>
      <c r="L119" s="7">
        <f t="shared" si="47"/>
        <v>1.8169351520426903E-2</v>
      </c>
      <c r="M119" s="10">
        <f t="shared" si="41"/>
        <v>0.03</v>
      </c>
      <c r="N119" s="1">
        <f t="shared" si="42"/>
        <v>-0.52016985138004246</v>
      </c>
      <c r="O119" s="1">
        <f t="shared" si="43"/>
        <v>-0.68601583113456466</v>
      </c>
      <c r="P119" s="1">
        <f t="shared" si="44"/>
        <v>-0.77227722772277241</v>
      </c>
      <c r="Q119" s="1">
        <f t="shared" si="48"/>
        <v>0.53120245484882367</v>
      </c>
      <c r="R119" s="1">
        <f t="shared" si="49"/>
        <v>1.2008309851990917</v>
      </c>
      <c r="S119" s="1">
        <f t="shared" si="45"/>
        <v>0.16853932584269662</v>
      </c>
      <c r="T119" s="1"/>
    </row>
    <row r="120" spans="1:20">
      <c r="A120" s="4" t="s">
        <v>117</v>
      </c>
      <c r="B120" s="2">
        <v>0.32400000000000001</v>
      </c>
      <c r="C120" s="2">
        <v>0.23200000000000001</v>
      </c>
      <c r="D120" s="2">
        <v>9.0999999999999998E-2</v>
      </c>
      <c r="E120" s="2">
        <v>0.19600000000000001</v>
      </c>
      <c r="F120" s="2">
        <v>5.74E-2</v>
      </c>
      <c r="G120" s="8">
        <v>0.312</v>
      </c>
      <c r="H120" s="7">
        <f t="shared" si="38"/>
        <v>-0.14699999999999996</v>
      </c>
      <c r="I120" s="7">
        <f t="shared" si="39"/>
        <v>-0.14699999999999999</v>
      </c>
      <c r="J120" s="7">
        <f t="shared" si="40"/>
        <v>-0.11100000000000002</v>
      </c>
      <c r="K120" s="7">
        <f t="shared" si="46"/>
        <v>0.12481411621642051</v>
      </c>
      <c r="L120" s="7">
        <f t="shared" si="47"/>
        <v>4.22693515204269E-2</v>
      </c>
      <c r="M120" s="10">
        <f t="shared" si="41"/>
        <v>0.13400000000000001</v>
      </c>
      <c r="N120" s="1">
        <f t="shared" si="42"/>
        <v>-0.31210191082802541</v>
      </c>
      <c r="O120" s="1">
        <f t="shared" si="43"/>
        <v>-0.38786279683377306</v>
      </c>
      <c r="P120" s="1">
        <f t="shared" si="44"/>
        <v>-0.54950495049504955</v>
      </c>
      <c r="Q120" s="1">
        <f t="shared" si="48"/>
        <v>1.7533548729391695</v>
      </c>
      <c r="R120" s="1">
        <f t="shared" si="49"/>
        <v>2.7936245810939293</v>
      </c>
      <c r="S120" s="1">
        <f t="shared" si="45"/>
        <v>0.75280898876404501</v>
      </c>
      <c r="T120" s="1"/>
    </row>
    <row r="121" spans="1:20">
      <c r="A121" t="s">
        <v>132</v>
      </c>
      <c r="B121" s="2">
        <v>0.215</v>
      </c>
      <c r="C121" s="2">
        <v>0.126</v>
      </c>
      <c r="D121" s="2">
        <v>4.3999999999999997E-2</v>
      </c>
      <c r="E121" s="2">
        <v>0.152</v>
      </c>
      <c r="F121" s="2">
        <v>5.1400000000000001E-2</v>
      </c>
      <c r="G121" s="8">
        <v>0.254</v>
      </c>
      <c r="H121" s="7">
        <f t="shared" si="38"/>
        <v>-0.25600000000000001</v>
      </c>
      <c r="I121" s="7">
        <f t="shared" si="39"/>
        <v>-0.253</v>
      </c>
      <c r="J121" s="7">
        <f t="shared" si="40"/>
        <v>-0.15800000000000003</v>
      </c>
      <c r="K121" s="7">
        <f t="shared" si="46"/>
        <v>8.0814116216420498E-2</v>
      </c>
      <c r="L121" s="7">
        <f t="shared" si="47"/>
        <v>3.6269351520426901E-2</v>
      </c>
      <c r="M121" s="10">
        <f t="shared" si="41"/>
        <v>7.6000000000000012E-2</v>
      </c>
      <c r="N121" s="1">
        <f t="shared" si="42"/>
        <v>-0.54352441613588109</v>
      </c>
      <c r="O121" s="1">
        <f t="shared" si="43"/>
        <v>-0.66754617414248019</v>
      </c>
      <c r="P121" s="1">
        <f t="shared" si="44"/>
        <v>-0.78217821782178232</v>
      </c>
      <c r="Q121" s="1">
        <f t="shared" si="48"/>
        <v>1.1352547994222129</v>
      </c>
      <c r="R121" s="1">
        <f t="shared" si="49"/>
        <v>2.3970784576346338</v>
      </c>
      <c r="S121" s="1">
        <f t="shared" si="45"/>
        <v>0.42696629213483156</v>
      </c>
      <c r="T121" s="1"/>
    </row>
    <row r="122" spans="1:20">
      <c r="A122" t="s">
        <v>130</v>
      </c>
      <c r="B122" s="2">
        <v>0.191</v>
      </c>
      <c r="C122" s="2">
        <v>0.109</v>
      </c>
      <c r="D122" s="2">
        <v>4.2000000000000003E-2</v>
      </c>
      <c r="E122" s="2">
        <v>0.108</v>
      </c>
      <c r="F122" s="2">
        <v>3.5000000000000003E-2</v>
      </c>
      <c r="G122" s="8">
        <v>0.19700000000000001</v>
      </c>
      <c r="H122" s="7">
        <f t="shared" si="38"/>
        <v>-0.27999999999999997</v>
      </c>
      <c r="I122" s="7">
        <f t="shared" si="39"/>
        <v>-0.27</v>
      </c>
      <c r="J122" s="7">
        <f t="shared" si="40"/>
        <v>-0.16</v>
      </c>
      <c r="K122" s="7">
        <f t="shared" si="46"/>
        <v>3.68141162164205E-2</v>
      </c>
      <c r="L122" s="7">
        <f t="shared" si="47"/>
        <v>1.9869351520426903E-2</v>
      </c>
      <c r="M122" s="10">
        <f t="shared" si="41"/>
        <v>1.9000000000000017E-2</v>
      </c>
      <c r="N122" s="1">
        <f t="shared" si="42"/>
        <v>-0.59447983014861994</v>
      </c>
      <c r="O122" s="1">
        <f t="shared" si="43"/>
        <v>-0.71240105540897103</v>
      </c>
      <c r="P122" s="1">
        <f t="shared" si="44"/>
        <v>-0.79207920792079201</v>
      </c>
      <c r="Q122" s="1">
        <f t="shared" si="48"/>
        <v>0.51715472590525657</v>
      </c>
      <c r="R122" s="1">
        <f t="shared" si="49"/>
        <v>1.3131857201792254</v>
      </c>
      <c r="S122" s="1">
        <f t="shared" si="45"/>
        <v>0.10674157303370796</v>
      </c>
      <c r="T122" s="1"/>
    </row>
    <row r="123" spans="1:20">
      <c r="A123" t="s">
        <v>131</v>
      </c>
      <c r="B123" s="2">
        <v>0.25900000000000001</v>
      </c>
      <c r="C123" s="2">
        <v>0.159</v>
      </c>
      <c r="D123" s="2">
        <v>6.5000000000000002E-2</v>
      </c>
      <c r="E123" s="2">
        <v>0.158</v>
      </c>
      <c r="F123" s="2">
        <v>6.6799999999999998E-2</v>
      </c>
      <c r="G123" s="8">
        <v>0.24099999999999999</v>
      </c>
      <c r="H123" s="7">
        <f t="shared" si="38"/>
        <v>-0.21199999999999997</v>
      </c>
      <c r="I123" s="7">
        <f t="shared" si="39"/>
        <v>-0.22</v>
      </c>
      <c r="J123" s="7">
        <f t="shared" si="40"/>
        <v>-0.13700000000000001</v>
      </c>
      <c r="K123" s="7">
        <f t="shared" si="46"/>
        <v>8.6814116216420503E-2</v>
      </c>
      <c r="L123" s="7">
        <f t="shared" si="47"/>
        <v>5.1669351520426898E-2</v>
      </c>
      <c r="M123" s="10">
        <f t="shared" si="41"/>
        <v>6.3E-2</v>
      </c>
      <c r="N123" s="1">
        <f t="shared" si="42"/>
        <v>-0.45010615711252649</v>
      </c>
      <c r="O123" s="1">
        <f t="shared" si="43"/>
        <v>-0.58047493403693928</v>
      </c>
      <c r="P123" s="1">
        <f t="shared" si="44"/>
        <v>-0.67821782178217827</v>
      </c>
      <c r="Q123" s="1">
        <f t="shared" si="48"/>
        <v>1.2195411730836161</v>
      </c>
      <c r="R123" s="1">
        <f t="shared" si="49"/>
        <v>3.4148801745134927</v>
      </c>
      <c r="S123" s="1">
        <f t="shared" si="45"/>
        <v>0.35393258426966295</v>
      </c>
      <c r="T123" s="1"/>
    </row>
    <row r="124" spans="1:20">
      <c r="A124" t="s">
        <v>133</v>
      </c>
      <c r="B124" s="2">
        <v>0.24399999999999999</v>
      </c>
      <c r="C124" s="2">
        <v>0.152</v>
      </c>
      <c r="D124" s="2">
        <v>6.4000000000000001E-2</v>
      </c>
      <c r="E124" s="2">
        <v>0.152</v>
      </c>
      <c r="F124" s="2">
        <v>5.7799999999999997E-2</v>
      </c>
      <c r="G124" s="8">
        <v>0.222</v>
      </c>
      <c r="H124" s="7">
        <f t="shared" si="38"/>
        <v>-0.22699999999999998</v>
      </c>
      <c r="I124" s="7">
        <f t="shared" si="39"/>
        <v>-0.22700000000000001</v>
      </c>
      <c r="J124" s="7">
        <f t="shared" si="40"/>
        <v>-0.13800000000000001</v>
      </c>
      <c r="K124" s="7">
        <f t="shared" si="46"/>
        <v>8.0814116216420498E-2</v>
      </c>
      <c r="L124" s="7">
        <f t="shared" si="47"/>
        <v>4.2669351520426897E-2</v>
      </c>
      <c r="M124" s="10">
        <f t="shared" si="41"/>
        <v>4.4000000000000011E-2</v>
      </c>
      <c r="N124" s="1">
        <f t="shared" si="42"/>
        <v>-0.48195329087048833</v>
      </c>
      <c r="O124" s="1">
        <f t="shared" si="43"/>
        <v>-0.59894459102902375</v>
      </c>
      <c r="P124" s="1">
        <f t="shared" si="44"/>
        <v>-0.68316831683168322</v>
      </c>
      <c r="Q124" s="1">
        <f t="shared" si="48"/>
        <v>1.1352547994222129</v>
      </c>
      <c r="R124" s="1">
        <f t="shared" si="49"/>
        <v>2.8200609893245487</v>
      </c>
      <c r="S124" s="1">
        <f t="shared" si="45"/>
        <v>0.24719101123595513</v>
      </c>
      <c r="T124" s="1"/>
    </row>
    <row r="125" spans="1:20">
      <c r="A125" t="s">
        <v>134</v>
      </c>
      <c r="B125" s="2">
        <v>0.15</v>
      </c>
      <c r="C125" s="2">
        <v>9.4E-2</v>
      </c>
      <c r="D125" s="2">
        <v>4.2999999999999997E-2</v>
      </c>
      <c r="E125" s="2">
        <v>7.7700000000000005E-2</v>
      </c>
      <c r="F125" s="2">
        <v>2.9700000000000001E-2</v>
      </c>
      <c r="G125" s="8">
        <v>0.13700000000000001</v>
      </c>
      <c r="H125" s="7">
        <f t="shared" si="38"/>
        <v>-0.32099999999999995</v>
      </c>
      <c r="I125" s="7">
        <f t="shared" si="39"/>
        <v>-0.28500000000000003</v>
      </c>
      <c r="J125" s="7">
        <f t="shared" si="40"/>
        <v>-0.15900000000000003</v>
      </c>
      <c r="K125" s="7">
        <f t="shared" si="46"/>
        <v>6.5141162164205069E-3</v>
      </c>
      <c r="L125" s="7">
        <f t="shared" si="47"/>
        <v>1.4569351520426901E-2</v>
      </c>
      <c r="M125" s="10">
        <f t="shared" si="41"/>
        <v>-4.0999999999999981E-2</v>
      </c>
      <c r="N125" s="1">
        <f t="shared" si="42"/>
        <v>-0.68152866242038213</v>
      </c>
      <c r="O125" s="1">
        <f t="shared" si="43"/>
        <v>-0.75197889182058053</v>
      </c>
      <c r="P125" s="1">
        <f t="shared" si="44"/>
        <v>-0.78712871287128727</v>
      </c>
      <c r="Q125" s="1">
        <f t="shared" si="48"/>
        <v>9.1508538915170745E-2</v>
      </c>
      <c r="R125" s="1">
        <f t="shared" si="49"/>
        <v>0.96290331112351402</v>
      </c>
      <c r="S125" s="1">
        <f t="shared" si="45"/>
        <v>-0.23033707865168529</v>
      </c>
      <c r="T125" s="1"/>
    </row>
    <row r="126" spans="1:20">
      <c r="A126" t="s">
        <v>135</v>
      </c>
      <c r="B126" s="2">
        <v>0.23499999999999999</v>
      </c>
      <c r="C126" s="2">
        <v>0.14000000000000001</v>
      </c>
      <c r="D126" s="2">
        <v>5.7000000000000002E-2</v>
      </c>
      <c r="E126" s="2">
        <v>0.115</v>
      </c>
      <c r="F126" s="2">
        <v>4.24E-2</v>
      </c>
      <c r="G126" s="8">
        <v>0.21299999999999999</v>
      </c>
      <c r="H126" s="7">
        <f t="shared" si="38"/>
        <v>-0.23599999999999999</v>
      </c>
      <c r="I126" s="7">
        <f t="shared" si="39"/>
        <v>-0.23899999999999999</v>
      </c>
      <c r="J126" s="7">
        <f t="shared" si="40"/>
        <v>-0.14500000000000002</v>
      </c>
      <c r="K126" s="7">
        <f t="shared" si="46"/>
        <v>4.3814116216420507E-2</v>
      </c>
      <c r="L126" s="7">
        <f t="shared" si="47"/>
        <v>2.72693515204269E-2</v>
      </c>
      <c r="M126" s="10">
        <f t="shared" si="41"/>
        <v>3.5000000000000003E-2</v>
      </c>
      <c r="N126" s="1">
        <f t="shared" si="42"/>
        <v>-0.50106157112526539</v>
      </c>
      <c r="O126" s="1">
        <f t="shared" si="43"/>
        <v>-0.63060686015831136</v>
      </c>
      <c r="P126" s="1">
        <f t="shared" si="44"/>
        <v>-0.7178217821782179</v>
      </c>
      <c r="Q126" s="1">
        <f t="shared" si="48"/>
        <v>0.6154888285102269</v>
      </c>
      <c r="R126" s="1">
        <f t="shared" si="49"/>
        <v>1.8022592724456901</v>
      </c>
      <c r="S126" s="1">
        <f t="shared" si="45"/>
        <v>0.1966292134831461</v>
      </c>
      <c r="T126" s="1"/>
    </row>
    <row r="127" spans="1:20">
      <c r="A127" t="s">
        <v>126</v>
      </c>
      <c r="B127" s="2">
        <v>0.215</v>
      </c>
      <c r="C127" s="2">
        <v>0.11</v>
      </c>
      <c r="D127" s="2">
        <v>4.5999999999999999E-2</v>
      </c>
      <c r="E127" s="2">
        <v>0.13300000000000001</v>
      </c>
      <c r="F127" s="2">
        <v>4.9399999999999999E-2</v>
      </c>
      <c r="G127" s="8">
        <v>0.218</v>
      </c>
      <c r="H127" s="7">
        <f t="shared" si="38"/>
        <v>-0.25600000000000001</v>
      </c>
      <c r="I127" s="7">
        <f t="shared" si="39"/>
        <v>-0.26900000000000002</v>
      </c>
      <c r="J127" s="7">
        <f t="shared" si="40"/>
        <v>-0.15600000000000003</v>
      </c>
      <c r="K127" s="7">
        <f t="shared" si="46"/>
        <v>6.1814116216420509E-2</v>
      </c>
      <c r="L127" s="7">
        <f t="shared" si="47"/>
        <v>3.4269351520426899E-2</v>
      </c>
      <c r="M127" s="10">
        <f t="shared" si="41"/>
        <v>4.0000000000000008E-2</v>
      </c>
      <c r="N127" s="1">
        <f t="shared" si="42"/>
        <v>-0.54352441613588109</v>
      </c>
      <c r="O127" s="1">
        <f t="shared" si="43"/>
        <v>-0.70976253298153036</v>
      </c>
      <c r="P127" s="1">
        <f t="shared" si="44"/>
        <v>-0.77227722772277241</v>
      </c>
      <c r="Q127" s="1">
        <f t="shared" si="48"/>
        <v>0.86834794949443639</v>
      </c>
      <c r="R127" s="1">
        <f t="shared" si="49"/>
        <v>2.2648964164815348</v>
      </c>
      <c r="S127" s="1">
        <f t="shared" si="45"/>
        <v>0.22471910112359555</v>
      </c>
      <c r="T127" s="1"/>
    </row>
    <row r="128" spans="1:20">
      <c r="A128" t="s">
        <v>124</v>
      </c>
      <c r="B128" s="2">
        <v>0.17599999999999999</v>
      </c>
      <c r="C128" s="2">
        <v>9.6000000000000002E-2</v>
      </c>
      <c r="D128" s="2">
        <v>4.1000000000000002E-2</v>
      </c>
      <c r="E128" s="2">
        <v>9.7799999999999998E-2</v>
      </c>
      <c r="F128" s="2">
        <v>2.9000000000000001E-2</v>
      </c>
      <c r="G128" s="8">
        <v>0.17799999999999999</v>
      </c>
      <c r="H128" s="7">
        <f t="shared" si="38"/>
        <v>-0.29499999999999998</v>
      </c>
      <c r="I128" s="7">
        <f t="shared" si="39"/>
        <v>-0.28300000000000003</v>
      </c>
      <c r="J128" s="7">
        <f t="shared" si="40"/>
        <v>-0.161</v>
      </c>
      <c r="K128" s="7">
        <f t="shared" si="46"/>
        <v>2.66141162164205E-2</v>
      </c>
      <c r="L128" s="7">
        <f t="shared" si="47"/>
        <v>1.3869351520426901E-2</v>
      </c>
      <c r="M128" s="10">
        <f t="shared" si="41"/>
        <v>0</v>
      </c>
      <c r="N128" s="1">
        <f t="shared" si="42"/>
        <v>-0.62632696390658171</v>
      </c>
      <c r="O128" s="1">
        <f t="shared" si="43"/>
        <v>-0.7467018469656993</v>
      </c>
      <c r="P128" s="1">
        <f t="shared" si="44"/>
        <v>-0.79702970297029696</v>
      </c>
      <c r="Q128" s="1">
        <f t="shared" si="48"/>
        <v>0.37386789068087117</v>
      </c>
      <c r="R128" s="1">
        <f t="shared" si="49"/>
        <v>0.91663959671992956</v>
      </c>
      <c r="S128" s="1">
        <f t="shared" si="45"/>
        <v>0</v>
      </c>
      <c r="T128" s="1"/>
    </row>
    <row r="129" spans="1:20">
      <c r="A129" t="s">
        <v>125</v>
      </c>
      <c r="B129" s="2">
        <v>0.21</v>
      </c>
      <c r="C129" s="2">
        <v>0.11600000000000001</v>
      </c>
      <c r="D129" s="2">
        <v>4.8000000000000001E-2</v>
      </c>
      <c r="E129" s="2">
        <v>0.14299999999999999</v>
      </c>
      <c r="F129" s="2">
        <v>4.87E-2</v>
      </c>
      <c r="G129" s="8">
        <v>0.23699999999999999</v>
      </c>
      <c r="H129" s="7">
        <f t="shared" si="38"/>
        <v>-0.26100000000000001</v>
      </c>
      <c r="I129" s="7">
        <f t="shared" si="39"/>
        <v>-0.26300000000000001</v>
      </c>
      <c r="J129" s="7">
        <f t="shared" si="40"/>
        <v>-0.15400000000000003</v>
      </c>
      <c r="K129" s="7">
        <f t="shared" si="46"/>
        <v>7.181411621642049E-2</v>
      </c>
      <c r="L129" s="7">
        <f t="shared" si="47"/>
        <v>3.35693515204269E-2</v>
      </c>
      <c r="M129" s="10">
        <f t="shared" si="41"/>
        <v>5.8999999999999997E-2</v>
      </c>
      <c r="N129" s="1">
        <f t="shared" si="42"/>
        <v>-0.55414012738853513</v>
      </c>
      <c r="O129" s="1">
        <f t="shared" si="43"/>
        <v>-0.69393139841688656</v>
      </c>
      <c r="P129" s="1">
        <f t="shared" si="44"/>
        <v>-0.7623762376237625</v>
      </c>
      <c r="Q129" s="1">
        <f t="shared" si="48"/>
        <v>1.008825238930108</v>
      </c>
      <c r="R129" s="1">
        <f t="shared" si="49"/>
        <v>2.2186327020779504</v>
      </c>
      <c r="S129" s="1">
        <f t="shared" si="45"/>
        <v>0.33146067415730335</v>
      </c>
      <c r="T129" s="1"/>
    </row>
    <row r="130" spans="1:20">
      <c r="A130" t="s">
        <v>127</v>
      </c>
      <c r="B130" s="2">
        <v>0.25700000000000001</v>
      </c>
      <c r="C130" s="2">
        <v>0.152</v>
      </c>
      <c r="D130" s="2">
        <v>6.3E-2</v>
      </c>
      <c r="E130" s="2">
        <v>0.17</v>
      </c>
      <c r="F130" s="2">
        <v>5.8099999999999999E-2</v>
      </c>
      <c r="G130" s="8">
        <v>0.24199999999999999</v>
      </c>
      <c r="H130" s="7">
        <f t="shared" si="38"/>
        <v>-0.21399999999999997</v>
      </c>
      <c r="I130" s="7">
        <f t="shared" si="39"/>
        <v>-0.22700000000000001</v>
      </c>
      <c r="J130" s="7">
        <f t="shared" si="40"/>
        <v>-0.13900000000000001</v>
      </c>
      <c r="K130" s="7">
        <f t="shared" si="46"/>
        <v>9.8814116216420514E-2</v>
      </c>
      <c r="L130" s="7">
        <f t="shared" si="47"/>
        <v>4.2969351520426899E-2</v>
      </c>
      <c r="M130" s="10">
        <f t="shared" si="41"/>
        <v>6.4000000000000001E-2</v>
      </c>
      <c r="N130" s="1">
        <f t="shared" si="42"/>
        <v>-0.45435244161358807</v>
      </c>
      <c r="O130" s="1">
        <f t="shared" si="43"/>
        <v>-0.59894459102902375</v>
      </c>
      <c r="P130" s="1">
        <f t="shared" si="44"/>
        <v>-0.68811881188118817</v>
      </c>
      <c r="Q130" s="1">
        <f t="shared" si="48"/>
        <v>1.3881139204064226</v>
      </c>
      <c r="R130" s="1">
        <f t="shared" si="49"/>
        <v>2.8398882954975138</v>
      </c>
      <c r="S130" s="1">
        <f t="shared" si="45"/>
        <v>0.35955056179775285</v>
      </c>
      <c r="T130" s="1"/>
    </row>
    <row r="131" spans="1:20">
      <c r="A131" t="s">
        <v>128</v>
      </c>
      <c r="B131" s="2">
        <v>0.16900000000000001</v>
      </c>
      <c r="C131" s="2">
        <v>9.7000000000000003E-2</v>
      </c>
      <c r="D131" s="2">
        <v>4.2000000000000003E-2</v>
      </c>
      <c r="E131" s="2">
        <v>5.8500000000000003E-2</v>
      </c>
      <c r="F131" s="2">
        <v>2.18E-2</v>
      </c>
      <c r="G131" s="8">
        <v>0.128</v>
      </c>
      <c r="H131" s="7">
        <f t="shared" si="38"/>
        <v>-0.30199999999999994</v>
      </c>
      <c r="I131" s="7">
        <f t="shared" si="39"/>
        <v>-0.28200000000000003</v>
      </c>
      <c r="J131" s="7">
        <f t="shared" si="40"/>
        <v>-0.16</v>
      </c>
      <c r="K131" s="7">
        <f t="shared" si="46"/>
        <v>-1.2685883783579495E-2</v>
      </c>
      <c r="L131" s="7">
        <f t="shared" si="47"/>
        <v>6.6693515204268999E-3</v>
      </c>
      <c r="M131" s="10">
        <f t="shared" si="41"/>
        <v>-4.9999999999999989E-2</v>
      </c>
      <c r="N131" s="1">
        <f t="shared" si="42"/>
        <v>-0.6411889596602971</v>
      </c>
      <c r="O131" s="1">
        <f t="shared" si="43"/>
        <v>-0.74406332453825863</v>
      </c>
      <c r="P131" s="1">
        <f t="shared" si="44"/>
        <v>-0.79207920792079201</v>
      </c>
      <c r="Q131" s="1">
        <f t="shared" si="48"/>
        <v>-0.17820785680131931</v>
      </c>
      <c r="R131" s="1">
        <f t="shared" si="49"/>
        <v>0.44078424856877452</v>
      </c>
      <c r="S131" s="1">
        <f t="shared" si="45"/>
        <v>-0.28089887640449435</v>
      </c>
      <c r="T131" s="1"/>
    </row>
    <row r="132" spans="1:20">
      <c r="A132" t="s">
        <v>129</v>
      </c>
      <c r="B132" s="2">
        <v>0.224</v>
      </c>
      <c r="C132" s="2">
        <v>0.13500000000000001</v>
      </c>
      <c r="D132" s="2">
        <v>5.3999999999999999E-2</v>
      </c>
      <c r="E132" s="2">
        <v>0.115</v>
      </c>
      <c r="F132" s="2">
        <v>4.1700000000000001E-2</v>
      </c>
      <c r="G132" s="8">
        <v>0.20799999999999999</v>
      </c>
      <c r="H132" s="7">
        <f t="shared" si="38"/>
        <v>-0.24699999999999997</v>
      </c>
      <c r="I132" s="7">
        <f t="shared" si="39"/>
        <v>-0.24399999999999999</v>
      </c>
      <c r="J132" s="7">
        <f t="shared" si="40"/>
        <v>-0.14800000000000002</v>
      </c>
      <c r="K132" s="7">
        <f t="shared" si="46"/>
        <v>4.3814116216420507E-2</v>
      </c>
      <c r="L132" s="7">
        <f t="shared" si="47"/>
        <v>2.6569351520426901E-2</v>
      </c>
      <c r="M132" s="10">
        <f t="shared" si="41"/>
        <v>0.03</v>
      </c>
      <c r="N132" s="1">
        <f t="shared" si="42"/>
        <v>-0.52441613588110403</v>
      </c>
      <c r="O132" s="1">
        <f t="shared" si="43"/>
        <v>-0.64379947229551449</v>
      </c>
      <c r="P132" s="1">
        <f t="shared" si="44"/>
        <v>-0.73267326732673277</v>
      </c>
      <c r="Q132" s="1">
        <f t="shared" si="48"/>
        <v>0.6154888285102269</v>
      </c>
      <c r="R132" s="1">
        <f t="shared" si="49"/>
        <v>1.7559955580421056</v>
      </c>
      <c r="S132" s="1">
        <f t="shared" si="45"/>
        <v>0.16853932584269662</v>
      </c>
      <c r="T132" s="1"/>
    </row>
    <row r="133" spans="1:20">
      <c r="A133" t="s">
        <v>144</v>
      </c>
      <c r="B133" s="2">
        <v>0.248</v>
      </c>
      <c r="C133" s="2">
        <v>0.17699999999999999</v>
      </c>
      <c r="D133" s="2">
        <v>7.4999999999999997E-2</v>
      </c>
      <c r="E133" s="2">
        <v>0.19400000000000001</v>
      </c>
      <c r="F133" s="2">
        <v>6.93E-2</v>
      </c>
      <c r="G133" s="8">
        <v>0.254</v>
      </c>
      <c r="H133" s="7">
        <f t="shared" si="38"/>
        <v>-0.22299999999999998</v>
      </c>
      <c r="I133" s="7">
        <f t="shared" si="39"/>
        <v>-0.20200000000000001</v>
      </c>
      <c r="J133" s="7">
        <f t="shared" si="40"/>
        <v>-0.127</v>
      </c>
      <c r="K133" s="7">
        <f t="shared" si="46"/>
        <v>0.12281411621642051</v>
      </c>
      <c r="L133" s="7">
        <f t="shared" si="47"/>
        <v>5.41693515204269E-2</v>
      </c>
      <c r="M133" s="10">
        <f t="shared" si="41"/>
        <v>7.6000000000000012E-2</v>
      </c>
      <c r="N133" s="1">
        <f t="shared" si="42"/>
        <v>-0.47346072186836513</v>
      </c>
      <c r="O133" s="1">
        <f t="shared" si="43"/>
        <v>-0.53298153034300799</v>
      </c>
      <c r="P133" s="1">
        <f t="shared" si="44"/>
        <v>-0.62871287128712872</v>
      </c>
      <c r="Q133" s="1">
        <f t="shared" si="48"/>
        <v>1.7252594150520351</v>
      </c>
      <c r="R133" s="1">
        <f t="shared" si="49"/>
        <v>3.5801077259548659</v>
      </c>
      <c r="S133" s="1">
        <f t="shared" si="45"/>
        <v>0.42696629213483156</v>
      </c>
      <c r="T133" s="1"/>
    </row>
    <row r="134" spans="1:20">
      <c r="A134" t="s">
        <v>142</v>
      </c>
      <c r="B134" s="2">
        <v>0.20100000000000001</v>
      </c>
      <c r="C134" s="2">
        <v>0.14099999999999999</v>
      </c>
      <c r="D134" s="2">
        <v>5.8999999999999997E-2</v>
      </c>
      <c r="E134" s="2">
        <v>0.111</v>
      </c>
      <c r="F134" s="2">
        <v>3.6900000000000002E-2</v>
      </c>
      <c r="G134" s="8">
        <v>0.16900000000000001</v>
      </c>
      <c r="H134" s="7">
        <f t="shared" si="38"/>
        <v>-0.26999999999999996</v>
      </c>
      <c r="I134" s="7">
        <f t="shared" si="39"/>
        <v>-0.23800000000000002</v>
      </c>
      <c r="J134" s="7">
        <f t="shared" si="40"/>
        <v>-0.14300000000000002</v>
      </c>
      <c r="K134" s="7">
        <f t="shared" si="46"/>
        <v>3.9814116216420503E-2</v>
      </c>
      <c r="L134" s="7">
        <f t="shared" si="47"/>
        <v>2.1769351520426902E-2</v>
      </c>
      <c r="M134" s="10">
        <f t="shared" si="41"/>
        <v>-8.9999999999999802E-3</v>
      </c>
      <c r="N134" s="1">
        <f t="shared" si="42"/>
        <v>-0.57324840764331209</v>
      </c>
      <c r="O134" s="1">
        <f t="shared" si="43"/>
        <v>-0.6279683377308708</v>
      </c>
      <c r="P134" s="1">
        <f t="shared" si="44"/>
        <v>-0.70792079207920799</v>
      </c>
      <c r="Q134" s="1">
        <f t="shared" si="48"/>
        <v>0.55929791273595808</v>
      </c>
      <c r="R134" s="1">
        <f t="shared" si="49"/>
        <v>1.4387586592746691</v>
      </c>
      <c r="S134" s="1">
        <f t="shared" si="45"/>
        <v>-5.0561797752808883E-2</v>
      </c>
      <c r="T134" s="1"/>
    </row>
    <row r="135" spans="1:20">
      <c r="A135" t="s">
        <v>143</v>
      </c>
      <c r="B135" s="2">
        <v>0.28699999999999998</v>
      </c>
      <c r="C135" s="2">
        <v>0.247</v>
      </c>
      <c r="D135" s="2">
        <v>0.1</v>
      </c>
      <c r="E135" s="2">
        <v>0.22800000000000001</v>
      </c>
      <c r="F135" s="2">
        <v>8.1500000000000003E-2</v>
      </c>
      <c r="G135" s="8">
        <v>0.28699999999999998</v>
      </c>
      <c r="H135" s="7">
        <f t="shared" si="38"/>
        <v>-0.184</v>
      </c>
      <c r="I135" s="7">
        <f t="shared" si="39"/>
        <v>-0.13200000000000001</v>
      </c>
      <c r="J135" s="7">
        <f t="shared" si="40"/>
        <v>-0.10200000000000001</v>
      </c>
      <c r="K135" s="7">
        <f t="shared" si="46"/>
        <v>0.1568141162164205</v>
      </c>
      <c r="L135" s="7">
        <f t="shared" si="47"/>
        <v>6.6369351520426903E-2</v>
      </c>
      <c r="M135" s="10">
        <f t="shared" si="41"/>
        <v>0.10899999999999999</v>
      </c>
      <c r="N135" s="1">
        <f t="shared" si="42"/>
        <v>-0.39065817409766457</v>
      </c>
      <c r="O135" s="1">
        <f t="shared" si="43"/>
        <v>-0.34828496042216361</v>
      </c>
      <c r="P135" s="1">
        <f t="shared" si="44"/>
        <v>-0.50495049504950495</v>
      </c>
      <c r="Q135" s="1">
        <f t="shared" si="48"/>
        <v>2.2028821991333194</v>
      </c>
      <c r="R135" s="1">
        <f t="shared" si="49"/>
        <v>4.3864181769887676</v>
      </c>
      <c r="S135" s="1">
        <f t="shared" si="45"/>
        <v>0.61235955056179769</v>
      </c>
      <c r="T135" s="1"/>
    </row>
    <row r="136" spans="1:20">
      <c r="A136" t="s">
        <v>145</v>
      </c>
      <c r="B136" s="2">
        <v>0.24399999999999999</v>
      </c>
      <c r="C136" s="2">
        <v>0.152</v>
      </c>
      <c r="D136" s="2">
        <v>6.4000000000000001E-2</v>
      </c>
      <c r="E136" s="2">
        <v>0.152</v>
      </c>
      <c r="F136" s="2">
        <v>5.7799999999999997E-2</v>
      </c>
      <c r="G136" s="8">
        <v>0.222</v>
      </c>
      <c r="H136" s="7">
        <f t="shared" si="38"/>
        <v>-0.22699999999999998</v>
      </c>
      <c r="I136" s="7">
        <f t="shared" si="39"/>
        <v>-0.22700000000000001</v>
      </c>
      <c r="J136" s="7">
        <f t="shared" si="40"/>
        <v>-0.13800000000000001</v>
      </c>
      <c r="K136" s="7">
        <f t="shared" si="46"/>
        <v>8.0814116216420498E-2</v>
      </c>
      <c r="L136" s="7">
        <f t="shared" si="47"/>
        <v>4.2669351520426897E-2</v>
      </c>
      <c r="M136" s="10">
        <f t="shared" si="41"/>
        <v>4.4000000000000011E-2</v>
      </c>
      <c r="N136" s="1">
        <f t="shared" si="42"/>
        <v>-0.48195329087048833</v>
      </c>
      <c r="O136" s="1">
        <f t="shared" si="43"/>
        <v>-0.59894459102902375</v>
      </c>
      <c r="P136" s="1">
        <f t="shared" si="44"/>
        <v>-0.68316831683168322</v>
      </c>
      <c r="Q136" s="1">
        <f t="shared" si="48"/>
        <v>1.1352547994222129</v>
      </c>
      <c r="R136" s="1">
        <f t="shared" si="49"/>
        <v>2.8200609893245487</v>
      </c>
      <c r="S136" s="1">
        <f t="shared" si="45"/>
        <v>0.24719101123595513</v>
      </c>
      <c r="T136" s="1"/>
    </row>
    <row r="137" spans="1:20">
      <c r="A137" t="s">
        <v>146</v>
      </c>
      <c r="B137" s="2">
        <v>0.17899999999999999</v>
      </c>
      <c r="C137" s="2">
        <v>0.121</v>
      </c>
      <c r="D137" s="2">
        <v>0.05</v>
      </c>
      <c r="E137" s="2">
        <v>8.2699999999999996E-2</v>
      </c>
      <c r="F137" s="2">
        <v>2.7699999999999999E-2</v>
      </c>
      <c r="G137" s="8">
        <v>0.14299999999999999</v>
      </c>
      <c r="H137" s="7">
        <f t="shared" si="38"/>
        <v>-0.29199999999999998</v>
      </c>
      <c r="I137" s="7">
        <f t="shared" si="39"/>
        <v>-0.25800000000000001</v>
      </c>
      <c r="J137" s="7">
        <f t="shared" si="40"/>
        <v>-0.15200000000000002</v>
      </c>
      <c r="K137" s="7">
        <f t="shared" si="46"/>
        <v>1.1514116216420497E-2</v>
      </c>
      <c r="L137" s="7">
        <f t="shared" si="47"/>
        <v>1.2569351520426899E-2</v>
      </c>
      <c r="M137" s="10">
        <f t="shared" si="41"/>
        <v>-3.5000000000000003E-2</v>
      </c>
      <c r="N137" s="1">
        <f t="shared" si="42"/>
        <v>-0.61995753715498936</v>
      </c>
      <c r="O137" s="1">
        <f t="shared" si="43"/>
        <v>-0.68073878627968343</v>
      </c>
      <c r="P137" s="1">
        <f t="shared" si="44"/>
        <v>-0.75247524752475259</v>
      </c>
      <c r="Q137" s="1">
        <f t="shared" si="48"/>
        <v>0.16174718363300658</v>
      </c>
      <c r="R137" s="1">
        <f t="shared" si="49"/>
        <v>0.83072126997041529</v>
      </c>
      <c r="S137" s="1">
        <f t="shared" si="45"/>
        <v>-0.1966292134831461</v>
      </c>
      <c r="T137" s="1"/>
    </row>
    <row r="138" spans="1:20">
      <c r="A138" s="4" t="s">
        <v>147</v>
      </c>
      <c r="B138" s="2">
        <v>0.26400000000000001</v>
      </c>
      <c r="C138" s="2">
        <v>0.16500000000000001</v>
      </c>
      <c r="D138" s="2">
        <v>6.4000000000000001E-2</v>
      </c>
      <c r="E138" s="2">
        <v>0.14599999999999999</v>
      </c>
      <c r="F138" s="2">
        <v>5.2699999999999997E-2</v>
      </c>
      <c r="G138" s="8">
        <v>0.245</v>
      </c>
      <c r="H138" s="7">
        <f t="shared" si="38"/>
        <v>-0.20699999999999996</v>
      </c>
      <c r="I138" s="7">
        <f t="shared" si="39"/>
        <v>-0.214</v>
      </c>
      <c r="J138" s="7">
        <f t="shared" si="40"/>
        <v>-0.13800000000000001</v>
      </c>
      <c r="K138" s="7">
        <f t="shared" si="46"/>
        <v>7.4814116216420493E-2</v>
      </c>
      <c r="L138" s="7">
        <f t="shared" si="47"/>
        <v>3.7569351520426897E-2</v>
      </c>
      <c r="M138" s="10">
        <f t="shared" si="41"/>
        <v>6.7000000000000004E-2</v>
      </c>
      <c r="N138" s="1">
        <f t="shared" si="42"/>
        <v>-0.43949044585987257</v>
      </c>
      <c r="O138" s="1">
        <f t="shared" si="43"/>
        <v>-0.56464379947229548</v>
      </c>
      <c r="P138" s="1">
        <f t="shared" si="44"/>
        <v>-0.68316831683168322</v>
      </c>
      <c r="Q138" s="1">
        <f t="shared" si="48"/>
        <v>1.0509684257608096</v>
      </c>
      <c r="R138" s="1">
        <f t="shared" si="49"/>
        <v>2.4829967843841474</v>
      </c>
      <c r="S138" s="1">
        <f t="shared" si="45"/>
        <v>0.3764044943820225</v>
      </c>
      <c r="T138" s="1"/>
    </row>
    <row r="139" spans="1:20">
      <c r="A139" t="s">
        <v>138</v>
      </c>
      <c r="B139" s="2">
        <v>0.26800000000000002</v>
      </c>
      <c r="C139" s="2">
        <v>0.191</v>
      </c>
      <c r="D139" s="2">
        <v>8.3000000000000004E-2</v>
      </c>
      <c r="E139" s="2">
        <v>0.20300000000000001</v>
      </c>
      <c r="F139" s="2">
        <v>6.8400000000000002E-2</v>
      </c>
      <c r="G139" s="8">
        <v>0.27400000000000002</v>
      </c>
      <c r="H139" s="7">
        <f t="shared" si="38"/>
        <v>-0.20299999999999996</v>
      </c>
      <c r="I139" s="7">
        <f t="shared" si="39"/>
        <v>-0.188</v>
      </c>
      <c r="J139" s="7">
        <f t="shared" si="40"/>
        <v>-0.11900000000000001</v>
      </c>
      <c r="K139" s="7">
        <f t="shared" si="46"/>
        <v>0.13181411621642053</v>
      </c>
      <c r="L139" s="7">
        <f t="shared" si="47"/>
        <v>5.3269351520426902E-2</v>
      </c>
      <c r="M139" s="10">
        <f t="shared" si="41"/>
        <v>9.600000000000003E-2</v>
      </c>
      <c r="N139" s="1">
        <f t="shared" si="42"/>
        <v>-0.43099787685774943</v>
      </c>
      <c r="O139" s="1">
        <f t="shared" si="43"/>
        <v>-0.49604221635883905</v>
      </c>
      <c r="P139" s="1">
        <f t="shared" si="44"/>
        <v>-0.58910891089108908</v>
      </c>
      <c r="Q139" s="1">
        <f t="shared" si="48"/>
        <v>1.8516889755441399</v>
      </c>
      <c r="R139" s="1">
        <f t="shared" si="49"/>
        <v>3.5206258074359718</v>
      </c>
      <c r="S139" s="1">
        <f t="shared" si="45"/>
        <v>0.53932584269662942</v>
      </c>
      <c r="T139" s="1"/>
    </row>
    <row r="140" spans="1:20">
      <c r="A140" t="s">
        <v>136</v>
      </c>
      <c r="B140" s="2">
        <v>0.20300000000000001</v>
      </c>
      <c r="C140" s="2">
        <v>0.13800000000000001</v>
      </c>
      <c r="D140" s="2">
        <v>5.6000000000000001E-2</v>
      </c>
      <c r="E140" s="2">
        <v>9.9699999999999997E-2</v>
      </c>
      <c r="F140" s="2">
        <v>3.6200000000000003E-2</v>
      </c>
      <c r="G140" s="8">
        <v>0.17100000000000001</v>
      </c>
      <c r="H140" s="7">
        <f t="shared" si="38"/>
        <v>-0.26799999999999996</v>
      </c>
      <c r="I140" s="7">
        <f t="shared" si="39"/>
        <v>-0.24099999999999999</v>
      </c>
      <c r="J140" s="7">
        <f t="shared" si="40"/>
        <v>-0.14600000000000002</v>
      </c>
      <c r="K140" s="7">
        <f t="shared" si="46"/>
        <v>2.8514116216420499E-2</v>
      </c>
      <c r="L140" s="7">
        <f t="shared" si="47"/>
        <v>2.1069351520426903E-2</v>
      </c>
      <c r="M140" s="10">
        <f t="shared" si="41"/>
        <v>-6.9999999999999785E-3</v>
      </c>
      <c r="N140" s="1">
        <f t="shared" si="42"/>
        <v>-0.56900212314225052</v>
      </c>
      <c r="O140" s="1">
        <f t="shared" si="43"/>
        <v>-0.63588390501319259</v>
      </c>
      <c r="P140" s="1">
        <f t="shared" si="44"/>
        <v>-0.72277227722772286</v>
      </c>
      <c r="Q140" s="1">
        <f t="shared" si="48"/>
        <v>0.40055857567364883</v>
      </c>
      <c r="R140" s="1">
        <f t="shared" si="49"/>
        <v>1.3924949448710846</v>
      </c>
      <c r="S140" s="1">
        <f t="shared" si="45"/>
        <v>-3.9325842696629094E-2</v>
      </c>
      <c r="T140" s="1"/>
    </row>
    <row r="141" spans="1:20">
      <c r="A141" t="s">
        <v>137</v>
      </c>
      <c r="B141" s="2">
        <v>0.28299999999999997</v>
      </c>
      <c r="C141" s="2">
        <v>0.214</v>
      </c>
      <c r="D141" s="2">
        <v>8.8999999999999996E-2</v>
      </c>
      <c r="E141" s="2">
        <v>0.21</v>
      </c>
      <c r="F141" s="2">
        <v>7.22E-2</v>
      </c>
      <c r="G141" s="8">
        <v>0.28799999999999998</v>
      </c>
      <c r="H141" s="7">
        <f t="shared" si="38"/>
        <v>-0.188</v>
      </c>
      <c r="I141" s="7">
        <f t="shared" si="39"/>
        <v>-0.16500000000000001</v>
      </c>
      <c r="J141" s="7">
        <f t="shared" si="40"/>
        <v>-0.11300000000000002</v>
      </c>
      <c r="K141" s="7">
        <f t="shared" si="46"/>
        <v>0.13881411621642048</v>
      </c>
      <c r="L141" s="7">
        <f t="shared" si="47"/>
        <v>5.70693515204269E-2</v>
      </c>
      <c r="M141" s="10">
        <f t="shared" si="41"/>
        <v>0.10999999999999999</v>
      </c>
      <c r="N141" s="1">
        <f t="shared" si="42"/>
        <v>-0.39915074309978771</v>
      </c>
      <c r="O141" s="1">
        <f t="shared" si="43"/>
        <v>-0.43535620052770452</v>
      </c>
      <c r="P141" s="1">
        <f t="shared" si="44"/>
        <v>-0.55940594059405946</v>
      </c>
      <c r="Q141" s="1">
        <f t="shared" si="48"/>
        <v>1.9500230781491097</v>
      </c>
      <c r="R141" s="1">
        <f t="shared" si="49"/>
        <v>3.771771685626859</v>
      </c>
      <c r="S141" s="1">
        <f t="shared" si="45"/>
        <v>0.6179775280898876</v>
      </c>
      <c r="T141" s="1"/>
    </row>
    <row r="142" spans="1:20">
      <c r="A142" t="s">
        <v>139</v>
      </c>
      <c r="B142" s="2">
        <v>0.25700000000000001</v>
      </c>
      <c r="C142" s="2">
        <v>0.152</v>
      </c>
      <c r="D142" s="2">
        <v>6.3E-2</v>
      </c>
      <c r="E142" s="2">
        <v>0.17</v>
      </c>
      <c r="F142" s="2">
        <v>5.8099999999999999E-2</v>
      </c>
      <c r="G142" s="8">
        <v>0.24199999999999999</v>
      </c>
      <c r="H142" s="7">
        <f t="shared" si="38"/>
        <v>-0.21399999999999997</v>
      </c>
      <c r="I142" s="7">
        <f t="shared" si="39"/>
        <v>-0.22700000000000001</v>
      </c>
      <c r="J142" s="7">
        <f t="shared" si="40"/>
        <v>-0.13900000000000001</v>
      </c>
      <c r="K142" s="7">
        <f t="shared" si="46"/>
        <v>9.8814116216420514E-2</v>
      </c>
      <c r="L142" s="7">
        <f t="shared" si="47"/>
        <v>4.2969351520426899E-2</v>
      </c>
      <c r="M142" s="10">
        <f t="shared" si="41"/>
        <v>6.4000000000000001E-2</v>
      </c>
      <c r="N142" s="1">
        <f t="shared" si="42"/>
        <v>-0.45435244161358807</v>
      </c>
      <c r="O142" s="1">
        <f t="shared" si="43"/>
        <v>-0.59894459102902375</v>
      </c>
      <c r="P142" s="1">
        <f t="shared" si="44"/>
        <v>-0.68811881188118817</v>
      </c>
      <c r="Q142" s="1">
        <f t="shared" si="48"/>
        <v>1.3881139204064226</v>
      </c>
      <c r="R142" s="1">
        <f t="shared" si="49"/>
        <v>2.8398882954975138</v>
      </c>
      <c r="S142" s="1">
        <f t="shared" si="45"/>
        <v>0.35955056179775285</v>
      </c>
      <c r="T142" s="1"/>
    </row>
    <row r="143" spans="1:20">
      <c r="A143" t="s">
        <v>140</v>
      </c>
      <c r="B143" s="2">
        <v>0.18099999999999999</v>
      </c>
      <c r="C143" s="2">
        <v>0.11899999999999999</v>
      </c>
      <c r="D143" s="2">
        <v>4.9000000000000002E-2</v>
      </c>
      <c r="E143" s="2">
        <v>8.4599999999999995E-2</v>
      </c>
      <c r="F143" s="2">
        <v>2.8500000000000001E-2</v>
      </c>
      <c r="G143" s="8">
        <v>0.13400000000000001</v>
      </c>
      <c r="H143" s="7">
        <f t="shared" si="38"/>
        <v>-0.28999999999999998</v>
      </c>
      <c r="I143" s="7">
        <f t="shared" si="39"/>
        <v>-0.26</v>
      </c>
      <c r="J143" s="7">
        <f t="shared" si="40"/>
        <v>-0.15300000000000002</v>
      </c>
      <c r="K143" s="7">
        <f t="shared" si="46"/>
        <v>1.3414116216420496E-2</v>
      </c>
      <c r="L143" s="7">
        <f t="shared" si="47"/>
        <v>1.3369351520426901E-2</v>
      </c>
      <c r="M143" s="10">
        <f t="shared" si="41"/>
        <v>-4.3999999999999984E-2</v>
      </c>
      <c r="N143" s="1">
        <f t="shared" si="42"/>
        <v>-0.61571125265392779</v>
      </c>
      <c r="O143" s="1">
        <f t="shared" si="43"/>
        <v>-0.68601583113456466</v>
      </c>
      <c r="P143" s="1">
        <f t="shared" si="44"/>
        <v>-0.75742574257425754</v>
      </c>
      <c r="Q143" s="1">
        <f t="shared" si="48"/>
        <v>0.18843786862578421</v>
      </c>
      <c r="R143" s="1">
        <f t="shared" si="49"/>
        <v>0.88359408643165482</v>
      </c>
      <c r="S143" s="1">
        <f t="shared" si="45"/>
        <v>-0.24719101123595497</v>
      </c>
      <c r="T143" s="1"/>
    </row>
    <row r="144" spans="1:20">
      <c r="A144" s="4" t="s">
        <v>141</v>
      </c>
      <c r="B144" s="2">
        <v>0.25700000000000001</v>
      </c>
      <c r="C144" s="2">
        <v>0.16200000000000001</v>
      </c>
      <c r="D144" s="2">
        <v>6.0999999999999999E-2</v>
      </c>
      <c r="E144" s="2">
        <v>0.14399999999999999</v>
      </c>
      <c r="F144" s="2">
        <v>5.1999999999999998E-2</v>
      </c>
      <c r="G144" s="8">
        <v>0.24399999999999999</v>
      </c>
      <c r="H144" s="7">
        <f t="shared" si="38"/>
        <v>-0.21399999999999997</v>
      </c>
      <c r="I144" s="7">
        <f t="shared" si="39"/>
        <v>-0.217</v>
      </c>
      <c r="J144" s="7">
        <f t="shared" si="40"/>
        <v>-0.14100000000000001</v>
      </c>
      <c r="K144" s="7">
        <f t="shared" si="46"/>
        <v>7.2814116216420491E-2</v>
      </c>
      <c r="L144" s="7">
        <f t="shared" si="47"/>
        <v>3.6869351520426898E-2</v>
      </c>
      <c r="M144" s="10">
        <f t="shared" si="41"/>
        <v>6.6000000000000003E-2</v>
      </c>
      <c r="N144" s="1">
        <f t="shared" si="42"/>
        <v>-0.45435244161358807</v>
      </c>
      <c r="O144" s="1">
        <f t="shared" si="43"/>
        <v>-0.57255936675461738</v>
      </c>
      <c r="P144" s="1">
        <f t="shared" si="44"/>
        <v>-0.69801980198019808</v>
      </c>
      <c r="Q144" s="1">
        <f t="shared" si="48"/>
        <v>1.0228729678736752</v>
      </c>
      <c r="R144" s="1">
        <f t="shared" si="49"/>
        <v>2.4367330699805629</v>
      </c>
      <c r="S144" s="1">
        <f t="shared" si="45"/>
        <v>0.3707865168539326</v>
      </c>
      <c r="T144" s="1"/>
    </row>
  </sheetData>
  <autoFilter ref="A1:S144"/>
  <sortState ref="A2:S144">
    <sortCondition ref="A59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144"/>
  <sheetViews>
    <sheetView topLeftCell="A16" workbookViewId="0">
      <selection activeCell="E17" sqref="E17:F40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6" width="12.3984375" style="2" customWidth="1"/>
    <col min="7" max="7" width="11.09765625" style="2" bestFit="1" customWidth="1"/>
    <col min="8" max="8" width="7.59765625" bestFit="1" customWidth="1"/>
    <col min="9" max="9" width="9.3984375" bestFit="1" customWidth="1"/>
    <col min="10" max="10" width="12" bestFit="1" customWidth="1"/>
    <col min="11" max="11" width="7.8984375" bestFit="1" customWidth="1"/>
    <col min="12" max="13" width="7.8984375" customWidth="1"/>
    <col min="14" max="14" width="8.59765625" bestFit="1" customWidth="1"/>
    <col min="15" max="15" width="10.3984375" bestFit="1" customWidth="1"/>
    <col min="16" max="16" width="13.09765625" bestFit="1" customWidth="1"/>
    <col min="17" max="17" width="8.8984375" bestFit="1" customWidth="1"/>
    <col min="18" max="18" width="10.59765625" customWidth="1"/>
  </cols>
  <sheetData>
    <row r="1" spans="1:27">
      <c r="A1" t="s">
        <v>0</v>
      </c>
      <c r="B1" s="2" t="s">
        <v>1</v>
      </c>
      <c r="C1" s="2" t="s">
        <v>162</v>
      </c>
      <c r="D1" s="2" t="s">
        <v>163</v>
      </c>
      <c r="E1" s="2" t="s">
        <v>164</v>
      </c>
      <c r="F1" s="2" t="s">
        <v>165</v>
      </c>
      <c r="G1" s="8" t="s">
        <v>4</v>
      </c>
      <c r="H1" t="str">
        <f>CONCATENATE("r",B1)</f>
        <v>rBox-F1</v>
      </c>
      <c r="I1" t="str">
        <f t="shared" ref="I1:K1" si="0">CONCATENATE("r",C1)</f>
        <v>rB-mAP50</v>
      </c>
      <c r="J1" t="str">
        <f t="shared" si="0"/>
        <v>rB-mAP50-95</v>
      </c>
      <c r="K1" t="str">
        <f t="shared" si="0"/>
        <v>rM-mAP50</v>
      </c>
      <c r="L1" t="str">
        <f t="shared" ref="L1" si="1">CONCATENATE("r",F1)</f>
        <v>rM-mAP50-95</v>
      </c>
      <c r="M1" s="9" t="str">
        <f t="shared" ref="M1" si="2">CONCATENATE("r",G1)</f>
        <v>rMask-F1</v>
      </c>
      <c r="N1" t="str">
        <f>CONCATENATE("d",B1)</f>
        <v>dBox-F1</v>
      </c>
      <c r="O1" t="str">
        <f t="shared" ref="O1:R1" si="3">CONCATENATE("d",C1)</f>
        <v>dB-mAP50</v>
      </c>
      <c r="P1" t="str">
        <f t="shared" si="3"/>
        <v>dB-mAP50-95</v>
      </c>
      <c r="Q1" t="str">
        <f t="shared" si="3"/>
        <v>dM-mAP50</v>
      </c>
      <c r="R1" t="str">
        <f t="shared" si="3"/>
        <v>dM-mAP50-95</v>
      </c>
      <c r="S1" t="str">
        <f>CONCATENATE("d",G1)</f>
        <v>dMask-F1</v>
      </c>
      <c r="V1" s="2" t="s">
        <v>1</v>
      </c>
      <c r="W1" s="2" t="s">
        <v>162</v>
      </c>
      <c r="X1" s="2" t="s">
        <v>163</v>
      </c>
      <c r="Y1" s="2" t="s">
        <v>164</v>
      </c>
      <c r="Z1" s="2" t="s">
        <v>165</v>
      </c>
      <c r="AA1" s="2" t="s">
        <v>4</v>
      </c>
    </row>
    <row r="2" spans="1:27">
      <c r="A2" t="s">
        <v>5</v>
      </c>
      <c r="B2" s="2">
        <v>0.68700000000000006</v>
      </c>
      <c r="C2" s="2">
        <v>0.67</v>
      </c>
      <c r="D2" s="2">
        <v>0.41499999999999998</v>
      </c>
      <c r="E2" s="2">
        <v>0</v>
      </c>
      <c r="F2" s="2">
        <v>0</v>
      </c>
      <c r="G2" s="8">
        <v>0</v>
      </c>
      <c r="H2" s="7">
        <f t="shared" ref="H2:H33" si="4">B2-V$2</f>
        <v>-0.14999999999999991</v>
      </c>
      <c r="I2" s="7">
        <f t="shared" ref="I2:I33" si="5">C2-W$2</f>
        <v>-0.15399999999999991</v>
      </c>
      <c r="J2" s="7">
        <f t="shared" ref="J2:J33" si="6">D2-X$2</f>
        <v>-0.16799999999999998</v>
      </c>
      <c r="K2" s="7">
        <f t="shared" ref="K2:K33" si="7">E2-Y$2</f>
        <v>-0.78816047155478197</v>
      </c>
      <c r="L2" s="7">
        <f t="shared" ref="L2:L33" si="8">F2-Z$2</f>
        <v>-0.43594300410752002</v>
      </c>
      <c r="M2" s="10">
        <f t="shared" ref="M2:M33" si="9">G2-AA$2</f>
        <v>-0.79800000000000004</v>
      </c>
      <c r="N2" s="1">
        <f t="shared" ref="N2:N33" si="10">(B2-V$2)/V$2</f>
        <v>-0.17921146953405009</v>
      </c>
      <c r="O2" s="1">
        <f t="shared" ref="O2:O33" si="11">(C2-W$2)/W$2</f>
        <v>-0.18689320388349506</v>
      </c>
      <c r="P2" s="1">
        <f t="shared" ref="P2:P33" si="12">(D2-X$2)/X$2</f>
        <v>-0.28816466552315606</v>
      </c>
      <c r="Q2" s="1">
        <f t="shared" ref="Q2:Q33" si="13">(E2-Y$2)/Y$2</f>
        <v>-1</v>
      </c>
      <c r="R2" s="1">
        <f t="shared" ref="R2:R33" si="14">(F2-Z$2)/Z$2</f>
        <v>-1</v>
      </c>
      <c r="S2" s="1">
        <f t="shared" ref="S2:S33" si="15">(G2-AA$2)/AA$2</f>
        <v>-1</v>
      </c>
      <c r="T2" s="3"/>
      <c r="U2" t="s">
        <v>161</v>
      </c>
      <c r="V2">
        <v>0.83699999999999997</v>
      </c>
      <c r="W2">
        <v>0.82399999999999995</v>
      </c>
      <c r="X2">
        <v>0.58299999999999996</v>
      </c>
      <c r="Y2" s="2">
        <v>0.78816047155478197</v>
      </c>
      <c r="Z2" s="2">
        <v>0.43594300410752002</v>
      </c>
      <c r="AA2">
        <v>0.79800000000000004</v>
      </c>
    </row>
    <row r="3" spans="1:27">
      <c r="A3" t="s">
        <v>6</v>
      </c>
      <c r="B3" s="2">
        <v>0.47199999999999998</v>
      </c>
      <c r="C3" s="2">
        <v>0.40699999999999997</v>
      </c>
      <c r="D3" s="2">
        <v>0.224</v>
      </c>
      <c r="E3" s="2">
        <v>0.38900000000000001</v>
      </c>
      <c r="F3" s="2">
        <v>0.20200000000000001</v>
      </c>
      <c r="G3" s="8">
        <v>0.46100000000000002</v>
      </c>
      <c r="H3" s="7">
        <f t="shared" si="4"/>
        <v>-0.36499999999999999</v>
      </c>
      <c r="I3" s="7">
        <f t="shared" si="5"/>
        <v>-0.41699999999999998</v>
      </c>
      <c r="J3" s="7">
        <f t="shared" si="6"/>
        <v>-0.35899999999999999</v>
      </c>
      <c r="K3" s="7">
        <f t="shared" si="7"/>
        <v>-0.39916047155478196</v>
      </c>
      <c r="L3" s="7">
        <f t="shared" si="8"/>
        <v>-0.23394300410752</v>
      </c>
      <c r="M3" s="10">
        <f t="shared" si="9"/>
        <v>-0.33700000000000002</v>
      </c>
      <c r="N3" s="1">
        <f t="shared" si="10"/>
        <v>-0.43608124253285546</v>
      </c>
      <c r="O3" s="1">
        <f t="shared" si="11"/>
        <v>-0.5060679611650486</v>
      </c>
      <c r="P3" s="1">
        <f t="shared" si="12"/>
        <v>-0.61578044596912518</v>
      </c>
      <c r="Q3" s="1">
        <f t="shared" si="13"/>
        <v>-0.50644568709132209</v>
      </c>
      <c r="R3" s="1">
        <f t="shared" si="14"/>
        <v>-0.53663667475627341</v>
      </c>
      <c r="S3" s="1">
        <f t="shared" si="15"/>
        <v>-0.42230576441102757</v>
      </c>
      <c r="T3" s="3"/>
    </row>
    <row r="4" spans="1:27">
      <c r="A4" t="s">
        <v>7</v>
      </c>
      <c r="B4" s="2">
        <v>0.439</v>
      </c>
      <c r="C4" s="2">
        <v>0.376</v>
      </c>
      <c r="D4" s="2">
        <v>0.16</v>
      </c>
      <c r="E4" s="2">
        <v>0</v>
      </c>
      <c r="F4" s="2">
        <v>0</v>
      </c>
      <c r="G4" s="8">
        <v>0</v>
      </c>
      <c r="H4" s="7">
        <f t="shared" si="4"/>
        <v>-0.39799999999999996</v>
      </c>
      <c r="I4" s="7">
        <f t="shared" si="5"/>
        <v>-0.44799999999999995</v>
      </c>
      <c r="J4" s="7">
        <f t="shared" si="6"/>
        <v>-0.42299999999999993</v>
      </c>
      <c r="K4" s="7">
        <f t="shared" si="7"/>
        <v>-0.78816047155478197</v>
      </c>
      <c r="L4" s="7">
        <f t="shared" si="8"/>
        <v>-0.43594300410752002</v>
      </c>
      <c r="M4" s="10">
        <f t="shared" si="9"/>
        <v>-0.79800000000000004</v>
      </c>
      <c r="N4" s="1">
        <f t="shared" si="10"/>
        <v>-0.47550776583034643</v>
      </c>
      <c r="O4" s="1">
        <f t="shared" si="11"/>
        <v>-0.5436893203883495</v>
      </c>
      <c r="P4" s="1">
        <f t="shared" si="12"/>
        <v>-0.72555746140651789</v>
      </c>
      <c r="Q4" s="1">
        <f t="shared" si="13"/>
        <v>-1</v>
      </c>
      <c r="R4" s="1">
        <f t="shared" si="14"/>
        <v>-1</v>
      </c>
      <c r="S4" s="1">
        <f t="shared" si="15"/>
        <v>-1</v>
      </c>
      <c r="T4" s="3"/>
    </row>
    <row r="5" spans="1:27">
      <c r="A5" t="s">
        <v>8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8">
        <v>0</v>
      </c>
      <c r="H5" s="7">
        <f t="shared" si="4"/>
        <v>-0.83699999999999997</v>
      </c>
      <c r="I5" s="7">
        <f t="shared" si="5"/>
        <v>-0.82399999999999995</v>
      </c>
      <c r="J5" s="7">
        <f t="shared" si="6"/>
        <v>-0.58299999999999996</v>
      </c>
      <c r="K5" s="7">
        <f t="shared" si="7"/>
        <v>-0.78816047155478197</v>
      </c>
      <c r="L5" s="7">
        <f t="shared" si="8"/>
        <v>-0.43594300410752002</v>
      </c>
      <c r="M5" s="10">
        <f t="shared" si="9"/>
        <v>-0.79800000000000004</v>
      </c>
      <c r="N5" s="1">
        <f t="shared" si="10"/>
        <v>-1</v>
      </c>
      <c r="O5" s="1">
        <f t="shared" si="11"/>
        <v>-1</v>
      </c>
      <c r="P5" s="1">
        <f t="shared" si="12"/>
        <v>-1</v>
      </c>
      <c r="Q5" s="1">
        <f t="shared" si="13"/>
        <v>-1</v>
      </c>
      <c r="R5" s="1">
        <f t="shared" si="14"/>
        <v>-1</v>
      </c>
      <c r="S5" s="1">
        <f t="shared" si="15"/>
        <v>-1</v>
      </c>
      <c r="T5" s="3"/>
    </row>
    <row r="6" spans="1:27">
      <c r="A6" t="s">
        <v>9</v>
      </c>
      <c r="B6" s="2">
        <v>0.73599999999999999</v>
      </c>
      <c r="C6" s="2">
        <v>0.72399999999999998</v>
      </c>
      <c r="D6" s="2">
        <v>0.47699999999999998</v>
      </c>
      <c r="E6" s="2">
        <v>0</v>
      </c>
      <c r="F6" s="2">
        <v>0</v>
      </c>
      <c r="G6" s="8">
        <v>0</v>
      </c>
      <c r="H6" s="7">
        <f t="shared" si="4"/>
        <v>-0.10099999999999998</v>
      </c>
      <c r="I6" s="7">
        <f t="shared" si="5"/>
        <v>-9.9999999999999978E-2</v>
      </c>
      <c r="J6" s="7">
        <f t="shared" si="6"/>
        <v>-0.10599999999999998</v>
      </c>
      <c r="K6" s="7">
        <f t="shared" si="7"/>
        <v>-0.78816047155478197</v>
      </c>
      <c r="L6" s="7">
        <f t="shared" si="8"/>
        <v>-0.43594300410752002</v>
      </c>
      <c r="M6" s="10">
        <f t="shared" si="9"/>
        <v>-0.79800000000000004</v>
      </c>
      <c r="N6" s="1">
        <f t="shared" si="10"/>
        <v>-0.1206690561529271</v>
      </c>
      <c r="O6" s="1">
        <f t="shared" si="11"/>
        <v>-0.12135922330097085</v>
      </c>
      <c r="P6" s="1">
        <f t="shared" si="12"/>
        <v>-0.1818181818181818</v>
      </c>
      <c r="Q6" s="1">
        <f t="shared" si="13"/>
        <v>-1</v>
      </c>
      <c r="R6" s="1">
        <f t="shared" si="14"/>
        <v>-1</v>
      </c>
      <c r="S6" s="1">
        <f t="shared" si="15"/>
        <v>-1</v>
      </c>
      <c r="T6" s="3"/>
    </row>
    <row r="7" spans="1:27">
      <c r="A7" t="s">
        <v>10</v>
      </c>
      <c r="B7" s="2">
        <v>0.57499999999999996</v>
      </c>
      <c r="C7" s="2">
        <v>0.52900000000000003</v>
      </c>
      <c r="D7" s="2">
        <v>0.35399999999999998</v>
      </c>
      <c r="E7" s="2">
        <v>0.51</v>
      </c>
      <c r="F7" s="2">
        <v>0.31900000000000001</v>
      </c>
      <c r="G7" s="8">
        <v>0.56399999999999995</v>
      </c>
      <c r="H7" s="7">
        <f t="shared" si="4"/>
        <v>-0.26200000000000001</v>
      </c>
      <c r="I7" s="7">
        <f t="shared" si="5"/>
        <v>-0.29499999999999993</v>
      </c>
      <c r="J7" s="7">
        <f t="shared" si="6"/>
        <v>-0.22899999999999998</v>
      </c>
      <c r="K7" s="7">
        <f t="shared" si="7"/>
        <v>-0.27816047155478196</v>
      </c>
      <c r="L7" s="7">
        <f t="shared" si="8"/>
        <v>-0.11694300410752001</v>
      </c>
      <c r="M7" s="10">
        <f t="shared" si="9"/>
        <v>-0.2340000000000001</v>
      </c>
      <c r="N7" s="1">
        <f t="shared" si="10"/>
        <v>-0.31302270011947436</v>
      </c>
      <c r="O7" s="1">
        <f t="shared" si="11"/>
        <v>-0.35800970873786403</v>
      </c>
      <c r="P7" s="1">
        <f t="shared" si="12"/>
        <v>-0.39279588336192112</v>
      </c>
      <c r="Q7" s="1">
        <f t="shared" si="13"/>
        <v>-0.35292365145648907</v>
      </c>
      <c r="R7" s="1">
        <f t="shared" si="14"/>
        <v>-0.2682529665705507</v>
      </c>
      <c r="S7" s="1">
        <f t="shared" si="15"/>
        <v>-0.29323308270676701</v>
      </c>
      <c r="T7" s="3"/>
    </row>
    <row r="8" spans="1:27">
      <c r="A8" t="s">
        <v>14</v>
      </c>
      <c r="B8" s="2">
        <v>0.69299999999999995</v>
      </c>
      <c r="C8" s="2">
        <v>0.67800000000000005</v>
      </c>
      <c r="D8" s="2">
        <v>0.435</v>
      </c>
      <c r="E8" s="2">
        <v>0</v>
      </c>
      <c r="F8" s="2">
        <v>0</v>
      </c>
      <c r="G8" s="8">
        <v>0</v>
      </c>
      <c r="H8" s="7">
        <f t="shared" si="4"/>
        <v>-0.14400000000000002</v>
      </c>
      <c r="I8" s="7">
        <f t="shared" si="5"/>
        <v>-0.14599999999999991</v>
      </c>
      <c r="J8" s="7">
        <f t="shared" si="6"/>
        <v>-0.14799999999999996</v>
      </c>
      <c r="K8" s="7">
        <f t="shared" si="7"/>
        <v>-0.78816047155478197</v>
      </c>
      <c r="L8" s="7">
        <f t="shared" si="8"/>
        <v>-0.43594300410752002</v>
      </c>
      <c r="M8" s="10">
        <f t="shared" si="9"/>
        <v>-0.79800000000000004</v>
      </c>
      <c r="N8" s="1">
        <f t="shared" si="10"/>
        <v>-0.17204301075268819</v>
      </c>
      <c r="O8" s="1">
        <f t="shared" si="11"/>
        <v>-0.17718446601941737</v>
      </c>
      <c r="P8" s="1">
        <f t="shared" si="12"/>
        <v>-0.25385934819897077</v>
      </c>
      <c r="Q8" s="1">
        <f t="shared" si="13"/>
        <v>-1</v>
      </c>
      <c r="R8" s="1">
        <f t="shared" si="14"/>
        <v>-1</v>
      </c>
      <c r="S8" s="1">
        <f t="shared" si="15"/>
        <v>-1</v>
      </c>
      <c r="T8" s="3"/>
    </row>
    <row r="9" spans="1:27">
      <c r="A9" t="s">
        <v>15</v>
      </c>
      <c r="B9" s="2">
        <v>0.48799999999999999</v>
      </c>
      <c r="C9" s="2">
        <v>0.42199999999999999</v>
      </c>
      <c r="D9" s="2">
        <v>0.24099999999999999</v>
      </c>
      <c r="E9" s="2">
        <v>0.40100000000000002</v>
      </c>
      <c r="F9" s="2">
        <v>0.21299999999999999</v>
      </c>
      <c r="G9" s="8">
        <v>0.47099999999999997</v>
      </c>
      <c r="H9" s="7">
        <f t="shared" si="4"/>
        <v>-0.34899999999999998</v>
      </c>
      <c r="I9" s="7">
        <f t="shared" si="5"/>
        <v>-0.40199999999999997</v>
      </c>
      <c r="J9" s="7">
        <f t="shared" si="6"/>
        <v>-0.34199999999999997</v>
      </c>
      <c r="K9" s="7">
        <f t="shared" si="7"/>
        <v>-0.38716047155478195</v>
      </c>
      <c r="L9" s="7">
        <f t="shared" si="8"/>
        <v>-0.22294300410752002</v>
      </c>
      <c r="M9" s="10">
        <f t="shared" si="9"/>
        <v>-0.32700000000000007</v>
      </c>
      <c r="N9" s="1">
        <f t="shared" si="10"/>
        <v>-0.41696535244922339</v>
      </c>
      <c r="O9" s="1">
        <f t="shared" si="11"/>
        <v>-0.48786407766990292</v>
      </c>
      <c r="P9" s="1">
        <f t="shared" si="12"/>
        <v>-0.58662092624356776</v>
      </c>
      <c r="Q9" s="1">
        <f t="shared" si="13"/>
        <v>-0.49122036124323942</v>
      </c>
      <c r="R9" s="1">
        <f t="shared" si="14"/>
        <v>-0.51140401843112004</v>
      </c>
      <c r="S9" s="1">
        <f t="shared" si="15"/>
        <v>-0.40977443609022562</v>
      </c>
      <c r="T9" s="3"/>
    </row>
    <row r="10" spans="1:27">
      <c r="A10" t="s">
        <v>16</v>
      </c>
      <c r="B10" s="2">
        <v>0.441</v>
      </c>
      <c r="C10" s="2">
        <v>0.39800000000000002</v>
      </c>
      <c r="D10" s="2">
        <v>0.17699999999999999</v>
      </c>
      <c r="E10" s="2">
        <v>0</v>
      </c>
      <c r="F10" s="2">
        <v>0</v>
      </c>
      <c r="G10" s="8">
        <v>0</v>
      </c>
      <c r="H10" s="7">
        <f t="shared" si="4"/>
        <v>-0.39599999999999996</v>
      </c>
      <c r="I10" s="7">
        <f t="shared" si="5"/>
        <v>-0.42599999999999993</v>
      </c>
      <c r="J10" s="7">
        <f t="shared" si="6"/>
        <v>-0.40599999999999997</v>
      </c>
      <c r="K10" s="7">
        <f t="shared" si="7"/>
        <v>-0.78816047155478197</v>
      </c>
      <c r="L10" s="7">
        <f t="shared" si="8"/>
        <v>-0.43594300410752002</v>
      </c>
      <c r="M10" s="10">
        <f t="shared" si="9"/>
        <v>-0.79800000000000004</v>
      </c>
      <c r="N10" s="1">
        <f t="shared" si="10"/>
        <v>-0.47311827956989244</v>
      </c>
      <c r="O10" s="1">
        <f t="shared" si="11"/>
        <v>-0.51699029126213591</v>
      </c>
      <c r="P10" s="1">
        <f t="shared" si="12"/>
        <v>-0.69639794168096059</v>
      </c>
      <c r="Q10" s="1">
        <f t="shared" si="13"/>
        <v>-1</v>
      </c>
      <c r="R10" s="1">
        <f t="shared" si="14"/>
        <v>-1</v>
      </c>
      <c r="S10" s="1">
        <f t="shared" si="15"/>
        <v>-1</v>
      </c>
      <c r="T10" s="3"/>
    </row>
    <row r="11" spans="1:27">
      <c r="A11" t="s">
        <v>17</v>
      </c>
      <c r="B11" s="2">
        <v>8.0000000000000002E-3</v>
      </c>
      <c r="C11" s="2">
        <v>0.01</v>
      </c>
      <c r="D11" s="2">
        <v>3.0000000000000001E-3</v>
      </c>
      <c r="E11" s="2">
        <v>8.4200000000000004E-3</v>
      </c>
      <c r="F11" s="2">
        <v>2.99E-3</v>
      </c>
      <c r="G11" s="8">
        <v>6.0000000000000001E-3</v>
      </c>
      <c r="H11" s="7">
        <f t="shared" si="4"/>
        <v>-0.82899999999999996</v>
      </c>
      <c r="I11" s="7">
        <f t="shared" si="5"/>
        <v>-0.81399999999999995</v>
      </c>
      <c r="J11" s="7">
        <f t="shared" si="6"/>
        <v>-0.57999999999999996</v>
      </c>
      <c r="K11" s="7">
        <f t="shared" si="7"/>
        <v>-0.77974047155478199</v>
      </c>
      <c r="L11" s="7">
        <f t="shared" si="8"/>
        <v>-0.43295300410752002</v>
      </c>
      <c r="M11" s="10">
        <f t="shared" si="9"/>
        <v>-0.79200000000000004</v>
      </c>
      <c r="N11" s="1">
        <f t="shared" si="10"/>
        <v>-0.99044205495818394</v>
      </c>
      <c r="O11" s="1">
        <f t="shared" si="11"/>
        <v>-0.98786407766990292</v>
      </c>
      <c r="P11" s="1">
        <f t="shared" si="12"/>
        <v>-0.99485420240137223</v>
      </c>
      <c r="Q11" s="1">
        <f t="shared" si="13"/>
        <v>-0.98931689636326203</v>
      </c>
      <c r="R11" s="1">
        <f t="shared" si="14"/>
        <v>-0.99314130523525379</v>
      </c>
      <c r="S11" s="1">
        <f t="shared" si="15"/>
        <v>-0.99248120300751874</v>
      </c>
      <c r="T11" s="3"/>
    </row>
    <row r="12" spans="1:27">
      <c r="A12" t="s">
        <v>18</v>
      </c>
      <c r="B12" s="2">
        <v>0.74199999999999999</v>
      </c>
      <c r="C12" s="2">
        <v>0.72599999999999998</v>
      </c>
      <c r="D12" s="2">
        <v>0.48099999999999998</v>
      </c>
      <c r="E12" s="2">
        <v>0</v>
      </c>
      <c r="F12" s="2">
        <v>0</v>
      </c>
      <c r="G12" s="8">
        <v>0</v>
      </c>
      <c r="H12" s="7">
        <f t="shared" si="4"/>
        <v>-9.4999999999999973E-2</v>
      </c>
      <c r="I12" s="7">
        <f t="shared" si="5"/>
        <v>-9.7999999999999976E-2</v>
      </c>
      <c r="J12" s="7">
        <f t="shared" si="6"/>
        <v>-0.10199999999999998</v>
      </c>
      <c r="K12" s="7">
        <f t="shared" si="7"/>
        <v>-0.78816047155478197</v>
      </c>
      <c r="L12" s="7">
        <f t="shared" si="8"/>
        <v>-0.43594300410752002</v>
      </c>
      <c r="M12" s="10">
        <f t="shared" si="9"/>
        <v>-0.79800000000000004</v>
      </c>
      <c r="N12" s="1">
        <f t="shared" si="10"/>
        <v>-0.11350059737156509</v>
      </c>
      <c r="O12" s="1">
        <f t="shared" si="11"/>
        <v>-0.11893203883495143</v>
      </c>
      <c r="P12" s="1">
        <f t="shared" si="12"/>
        <v>-0.17495711835334474</v>
      </c>
      <c r="Q12" s="1">
        <f t="shared" si="13"/>
        <v>-1</v>
      </c>
      <c r="R12" s="1">
        <f t="shared" si="14"/>
        <v>-1</v>
      </c>
      <c r="S12" s="1">
        <f t="shared" si="15"/>
        <v>-1</v>
      </c>
      <c r="T12" s="3"/>
    </row>
    <row r="13" spans="1:27">
      <c r="A13" t="s">
        <v>19</v>
      </c>
      <c r="B13" s="2">
        <v>0.56699999999999995</v>
      </c>
      <c r="C13" s="2">
        <v>0.52900000000000003</v>
      </c>
      <c r="D13" s="2">
        <v>0.35599999999999998</v>
      </c>
      <c r="E13" s="2">
        <v>0.50800000000000001</v>
      </c>
      <c r="F13" s="2">
        <v>0.31900000000000001</v>
      </c>
      <c r="G13" s="8">
        <v>0.55900000000000005</v>
      </c>
      <c r="H13" s="7">
        <f t="shared" si="4"/>
        <v>-0.27</v>
      </c>
      <c r="I13" s="7">
        <f t="shared" si="5"/>
        <v>-0.29499999999999993</v>
      </c>
      <c r="J13" s="7">
        <f t="shared" si="6"/>
        <v>-0.22699999999999998</v>
      </c>
      <c r="K13" s="7">
        <f t="shared" si="7"/>
        <v>-0.28016047155478196</v>
      </c>
      <c r="L13" s="7">
        <f t="shared" si="8"/>
        <v>-0.11694300410752001</v>
      </c>
      <c r="M13" s="10">
        <f t="shared" si="9"/>
        <v>-0.23899999999999999</v>
      </c>
      <c r="N13" s="1">
        <f t="shared" si="10"/>
        <v>-0.32258064516129037</v>
      </c>
      <c r="O13" s="1">
        <f t="shared" si="11"/>
        <v>-0.35800970873786403</v>
      </c>
      <c r="P13" s="1">
        <f t="shared" si="12"/>
        <v>-0.38936535162950259</v>
      </c>
      <c r="Q13" s="1">
        <f t="shared" si="13"/>
        <v>-0.35546120576450285</v>
      </c>
      <c r="R13" s="1">
        <f t="shared" si="14"/>
        <v>-0.2682529665705507</v>
      </c>
      <c r="S13" s="1">
        <f t="shared" si="15"/>
        <v>-0.29949874686716788</v>
      </c>
      <c r="T13" s="3"/>
    </row>
    <row r="14" spans="1:27">
      <c r="A14" s="4" t="s">
        <v>11</v>
      </c>
      <c r="B14" s="2">
        <v>0.80900000000000005</v>
      </c>
      <c r="C14" s="2">
        <v>0.79500000000000004</v>
      </c>
      <c r="D14" s="2">
        <v>0.56799999999999995</v>
      </c>
      <c r="G14" s="8">
        <v>0.79100000000000004</v>
      </c>
      <c r="H14" s="7">
        <f t="shared" si="4"/>
        <v>-2.7999999999999914E-2</v>
      </c>
      <c r="I14" s="7">
        <f t="shared" si="5"/>
        <v>-2.8999999999999915E-2</v>
      </c>
      <c r="J14" s="7">
        <f t="shared" si="6"/>
        <v>-1.5000000000000013E-2</v>
      </c>
      <c r="K14" s="7">
        <f t="shared" si="7"/>
        <v>-0.78816047155478197</v>
      </c>
      <c r="L14" s="7">
        <f t="shared" si="8"/>
        <v>-0.43594300410752002</v>
      </c>
      <c r="M14" s="10">
        <f t="shared" si="9"/>
        <v>-7.0000000000000062E-3</v>
      </c>
      <c r="N14" s="1">
        <f t="shared" si="10"/>
        <v>-3.3452807646355935E-2</v>
      </c>
      <c r="O14" s="1">
        <f t="shared" si="11"/>
        <v>-3.5194174757281455E-2</v>
      </c>
      <c r="P14" s="1">
        <f t="shared" si="12"/>
        <v>-2.5728987993138962E-2</v>
      </c>
      <c r="Q14" s="1">
        <f t="shared" si="13"/>
        <v>-1</v>
      </c>
      <c r="R14" s="1">
        <f t="shared" si="14"/>
        <v>-1</v>
      </c>
      <c r="S14" s="1">
        <f t="shared" si="15"/>
        <v>-8.7719298245614117E-3</v>
      </c>
      <c r="T14" s="3"/>
    </row>
    <row r="15" spans="1:27">
      <c r="A15" t="s">
        <v>12</v>
      </c>
      <c r="B15" s="2">
        <v>0.56699999999999995</v>
      </c>
      <c r="C15" s="2">
        <v>0.52900000000000003</v>
      </c>
      <c r="D15" s="2">
        <v>0.35599999999999998</v>
      </c>
      <c r="G15" s="8">
        <v>0.55900000000000005</v>
      </c>
      <c r="H15" s="7">
        <f t="shared" si="4"/>
        <v>-0.27</v>
      </c>
      <c r="I15" s="7">
        <f t="shared" si="5"/>
        <v>-0.29499999999999993</v>
      </c>
      <c r="J15" s="7">
        <f t="shared" si="6"/>
        <v>-0.22699999999999998</v>
      </c>
      <c r="K15" s="7">
        <f t="shared" si="7"/>
        <v>-0.78816047155478197</v>
      </c>
      <c r="L15" s="7">
        <f t="shared" si="8"/>
        <v>-0.43594300410752002</v>
      </c>
      <c r="M15" s="10">
        <f t="shared" si="9"/>
        <v>-0.23899999999999999</v>
      </c>
      <c r="N15" s="1">
        <f t="shared" si="10"/>
        <v>-0.32258064516129037</v>
      </c>
      <c r="O15" s="1">
        <f t="shared" si="11"/>
        <v>-0.35800970873786403</v>
      </c>
      <c r="P15" s="1">
        <f t="shared" si="12"/>
        <v>-0.38936535162950259</v>
      </c>
      <c r="Q15" s="1">
        <f t="shared" si="13"/>
        <v>-1</v>
      </c>
      <c r="R15" s="1">
        <f t="shared" si="14"/>
        <v>-1</v>
      </c>
      <c r="S15" s="1">
        <f t="shared" si="15"/>
        <v>-0.29949874686716788</v>
      </c>
      <c r="T15" s="3"/>
    </row>
    <row r="16" spans="1:27">
      <c r="A16" t="s">
        <v>13</v>
      </c>
      <c r="B16" s="2">
        <v>0.55500000000000005</v>
      </c>
      <c r="C16" s="2">
        <v>0.50900000000000001</v>
      </c>
      <c r="D16" s="2">
        <v>0.34</v>
      </c>
      <c r="G16" s="8">
        <v>0.54300000000000004</v>
      </c>
      <c r="H16" s="7">
        <f t="shared" si="4"/>
        <v>-0.28199999999999992</v>
      </c>
      <c r="I16" s="7">
        <f t="shared" si="5"/>
        <v>-0.31499999999999995</v>
      </c>
      <c r="J16" s="7">
        <f t="shared" si="6"/>
        <v>-0.24299999999999994</v>
      </c>
      <c r="K16" s="7">
        <f t="shared" si="7"/>
        <v>-0.78816047155478197</v>
      </c>
      <c r="L16" s="7">
        <f t="shared" si="8"/>
        <v>-0.43594300410752002</v>
      </c>
      <c r="M16" s="10">
        <f t="shared" si="9"/>
        <v>-0.255</v>
      </c>
      <c r="N16" s="1">
        <f t="shared" si="10"/>
        <v>-0.33691756272401424</v>
      </c>
      <c r="O16" s="1">
        <f t="shared" si="11"/>
        <v>-0.38228155339805819</v>
      </c>
      <c r="P16" s="1">
        <f t="shared" si="12"/>
        <v>-0.41680960548885071</v>
      </c>
      <c r="Q16" s="1">
        <f t="shared" si="13"/>
        <v>-1</v>
      </c>
      <c r="R16" s="1">
        <f t="shared" si="14"/>
        <v>-1</v>
      </c>
      <c r="S16" s="1">
        <f t="shared" si="15"/>
        <v>-0.31954887218045114</v>
      </c>
      <c r="T16" s="3"/>
    </row>
    <row r="17" spans="1:20">
      <c r="A17" t="s">
        <v>20</v>
      </c>
      <c r="B17" s="2">
        <v>0.68400000000000005</v>
      </c>
      <c r="C17" s="2">
        <v>0.67100000000000004</v>
      </c>
      <c r="D17" s="2">
        <v>0.42</v>
      </c>
      <c r="E17" s="2">
        <v>0</v>
      </c>
      <c r="F17" s="2">
        <v>0</v>
      </c>
      <c r="G17" s="8">
        <v>0</v>
      </c>
      <c r="H17" s="7">
        <f t="shared" si="4"/>
        <v>-0.15299999999999991</v>
      </c>
      <c r="I17" s="7">
        <f t="shared" si="5"/>
        <v>-0.15299999999999991</v>
      </c>
      <c r="J17" s="7">
        <f t="shared" si="6"/>
        <v>-0.16299999999999998</v>
      </c>
      <c r="K17" s="7">
        <f t="shared" si="7"/>
        <v>-0.78816047155478197</v>
      </c>
      <c r="L17" s="7">
        <f t="shared" si="8"/>
        <v>-0.43594300410752002</v>
      </c>
      <c r="M17" s="10">
        <f t="shared" si="9"/>
        <v>-0.79800000000000004</v>
      </c>
      <c r="N17" s="1">
        <f t="shared" si="10"/>
        <v>-0.18279569892473108</v>
      </c>
      <c r="O17" s="1">
        <f t="shared" si="11"/>
        <v>-0.18567961165048535</v>
      </c>
      <c r="P17" s="1">
        <f t="shared" si="12"/>
        <v>-0.27958833619210977</v>
      </c>
      <c r="Q17" s="1">
        <f t="shared" si="13"/>
        <v>-1</v>
      </c>
      <c r="R17" s="1">
        <f t="shared" si="14"/>
        <v>-1</v>
      </c>
      <c r="S17" s="1">
        <f t="shared" si="15"/>
        <v>-1</v>
      </c>
      <c r="T17" s="3"/>
    </row>
    <row r="18" spans="1:20">
      <c r="A18" t="s">
        <v>21</v>
      </c>
      <c r="B18" s="2">
        <v>0.53100000000000003</v>
      </c>
      <c r="C18" s="2">
        <v>0.47799999999999998</v>
      </c>
      <c r="D18" s="2">
        <v>0.28899999999999998</v>
      </c>
      <c r="E18" s="2">
        <v>0.438</v>
      </c>
      <c r="F18" s="2">
        <v>0.247</v>
      </c>
      <c r="G18" s="8">
        <v>0.50800000000000001</v>
      </c>
      <c r="H18" s="7">
        <f t="shared" si="4"/>
        <v>-0.30599999999999994</v>
      </c>
      <c r="I18" s="7">
        <f t="shared" si="5"/>
        <v>-0.34599999999999997</v>
      </c>
      <c r="J18" s="7">
        <f t="shared" si="6"/>
        <v>-0.29399999999999998</v>
      </c>
      <c r="K18" s="7">
        <f t="shared" si="7"/>
        <v>-0.35016047155478197</v>
      </c>
      <c r="L18" s="7">
        <f t="shared" si="8"/>
        <v>-0.18894300410752002</v>
      </c>
      <c r="M18" s="10">
        <f t="shared" si="9"/>
        <v>-0.29000000000000004</v>
      </c>
      <c r="N18" s="1">
        <f t="shared" si="10"/>
        <v>-0.36559139784946232</v>
      </c>
      <c r="O18" s="1">
        <f t="shared" si="11"/>
        <v>-0.4199029126213592</v>
      </c>
      <c r="P18" s="1">
        <f t="shared" si="12"/>
        <v>-0.50428816466552318</v>
      </c>
      <c r="Q18" s="1">
        <f t="shared" si="13"/>
        <v>-0.44427560654498477</v>
      </c>
      <c r="R18" s="1">
        <f t="shared" si="14"/>
        <v>-0.43341217160791856</v>
      </c>
      <c r="S18" s="1">
        <f t="shared" si="15"/>
        <v>-0.36340852130325818</v>
      </c>
      <c r="T18" s="3"/>
    </row>
    <row r="19" spans="1:20">
      <c r="A19" t="s">
        <v>22</v>
      </c>
      <c r="B19" s="2">
        <v>0.42199999999999999</v>
      </c>
      <c r="C19" s="2">
        <v>0.35099999999999998</v>
      </c>
      <c r="D19" s="2">
        <v>0.14499999999999999</v>
      </c>
      <c r="E19" s="2">
        <v>0</v>
      </c>
      <c r="F19" s="2">
        <v>0</v>
      </c>
      <c r="G19" s="8">
        <v>0</v>
      </c>
      <c r="H19" s="7">
        <f t="shared" si="4"/>
        <v>-0.41499999999999998</v>
      </c>
      <c r="I19" s="7">
        <f t="shared" si="5"/>
        <v>-0.47299999999999998</v>
      </c>
      <c r="J19" s="7">
        <f t="shared" si="6"/>
        <v>-0.43799999999999994</v>
      </c>
      <c r="K19" s="7">
        <f t="shared" si="7"/>
        <v>-0.78816047155478197</v>
      </c>
      <c r="L19" s="7">
        <f t="shared" si="8"/>
        <v>-0.43594300410752002</v>
      </c>
      <c r="M19" s="10">
        <f t="shared" si="9"/>
        <v>-0.79800000000000004</v>
      </c>
      <c r="N19" s="1">
        <f t="shared" si="10"/>
        <v>-0.49581839904420549</v>
      </c>
      <c r="O19" s="1">
        <f t="shared" si="11"/>
        <v>-0.57402912621359226</v>
      </c>
      <c r="P19" s="1">
        <f t="shared" si="12"/>
        <v>-0.75128644939965694</v>
      </c>
      <c r="Q19" s="1">
        <f t="shared" si="13"/>
        <v>-1</v>
      </c>
      <c r="R19" s="1">
        <f t="shared" si="14"/>
        <v>-1</v>
      </c>
      <c r="S19" s="1">
        <f t="shared" si="15"/>
        <v>-1</v>
      </c>
      <c r="T19" s="3"/>
    </row>
    <row r="20" spans="1:20">
      <c r="A20" t="s">
        <v>23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8">
        <v>0</v>
      </c>
      <c r="H20" s="7">
        <f t="shared" si="4"/>
        <v>-0.83699999999999997</v>
      </c>
      <c r="I20" s="7">
        <f t="shared" si="5"/>
        <v>-0.82399999999999995</v>
      </c>
      <c r="J20" s="7">
        <f t="shared" si="6"/>
        <v>-0.58299999999999996</v>
      </c>
      <c r="K20" s="7">
        <f t="shared" si="7"/>
        <v>-0.78816047155478197</v>
      </c>
      <c r="L20" s="7">
        <f t="shared" si="8"/>
        <v>-0.43594300410752002</v>
      </c>
      <c r="M20" s="10">
        <f t="shared" si="9"/>
        <v>-0.79800000000000004</v>
      </c>
      <c r="N20" s="1">
        <f t="shared" si="10"/>
        <v>-1</v>
      </c>
      <c r="O20" s="1">
        <f t="shared" si="11"/>
        <v>-1</v>
      </c>
      <c r="P20" s="1">
        <f t="shared" si="12"/>
        <v>-1</v>
      </c>
      <c r="Q20" s="1">
        <f t="shared" si="13"/>
        <v>-1</v>
      </c>
      <c r="R20" s="1">
        <f t="shared" si="14"/>
        <v>-1</v>
      </c>
      <c r="S20" s="1">
        <f t="shared" si="15"/>
        <v>-1</v>
      </c>
      <c r="T20" s="3"/>
    </row>
    <row r="21" spans="1:20">
      <c r="A21" t="s">
        <v>24</v>
      </c>
      <c r="B21" s="2">
        <v>0.73899999999999999</v>
      </c>
      <c r="C21" s="2">
        <v>0.72899999999999998</v>
      </c>
      <c r="D21" s="2">
        <v>0.48399999999999999</v>
      </c>
      <c r="E21" s="2">
        <v>0</v>
      </c>
      <c r="F21" s="2">
        <v>0</v>
      </c>
      <c r="G21" s="8">
        <v>0</v>
      </c>
      <c r="H21" s="7">
        <f t="shared" si="4"/>
        <v>-9.7999999999999976E-2</v>
      </c>
      <c r="I21" s="7">
        <f t="shared" si="5"/>
        <v>-9.4999999999999973E-2</v>
      </c>
      <c r="J21" s="7">
        <f t="shared" si="6"/>
        <v>-9.8999999999999977E-2</v>
      </c>
      <c r="K21" s="7">
        <f t="shared" si="7"/>
        <v>-0.78816047155478197</v>
      </c>
      <c r="L21" s="7">
        <f t="shared" si="8"/>
        <v>-0.43594300410752002</v>
      </c>
      <c r="M21" s="10">
        <f t="shared" si="9"/>
        <v>-0.79800000000000004</v>
      </c>
      <c r="N21" s="1">
        <f t="shared" si="10"/>
        <v>-0.11708482676224609</v>
      </c>
      <c r="O21" s="1">
        <f t="shared" si="11"/>
        <v>-0.11529126213592231</v>
      </c>
      <c r="P21" s="1">
        <f t="shared" si="12"/>
        <v>-0.16981132075471694</v>
      </c>
      <c r="Q21" s="1">
        <f t="shared" si="13"/>
        <v>-1</v>
      </c>
      <c r="R21" s="1">
        <f t="shared" si="14"/>
        <v>-1</v>
      </c>
      <c r="S21" s="1">
        <f t="shared" si="15"/>
        <v>-1</v>
      </c>
      <c r="T21" s="3"/>
    </row>
    <row r="22" spans="1:20">
      <c r="A22" t="s">
        <v>25</v>
      </c>
      <c r="B22" s="2">
        <v>0.58099999999999996</v>
      </c>
      <c r="C22" s="2">
        <v>0.54</v>
      </c>
      <c r="D22" s="2">
        <v>0.36399999999999999</v>
      </c>
      <c r="E22" s="2">
        <v>0.51700000000000002</v>
      </c>
      <c r="F22" s="2">
        <v>0.32700000000000001</v>
      </c>
      <c r="G22" s="8">
        <v>0.56499999999999995</v>
      </c>
      <c r="H22" s="7">
        <f t="shared" si="4"/>
        <v>-0.25600000000000001</v>
      </c>
      <c r="I22" s="7">
        <f t="shared" si="5"/>
        <v>-0.28399999999999992</v>
      </c>
      <c r="J22" s="7">
        <f t="shared" si="6"/>
        <v>-0.21899999999999997</v>
      </c>
      <c r="K22" s="7">
        <f t="shared" si="7"/>
        <v>-0.27116047155478196</v>
      </c>
      <c r="L22" s="7">
        <f t="shared" si="8"/>
        <v>-0.10894300410752</v>
      </c>
      <c r="M22" s="10">
        <f t="shared" si="9"/>
        <v>-0.2330000000000001</v>
      </c>
      <c r="N22" s="1">
        <f t="shared" si="10"/>
        <v>-0.30585424133811234</v>
      </c>
      <c r="O22" s="1">
        <f t="shared" si="11"/>
        <v>-0.34466019417475718</v>
      </c>
      <c r="P22" s="1">
        <f t="shared" si="12"/>
        <v>-0.37564322469982847</v>
      </c>
      <c r="Q22" s="1">
        <f t="shared" si="13"/>
        <v>-0.34404221137844088</v>
      </c>
      <c r="R22" s="1">
        <f t="shared" si="14"/>
        <v>-0.24990194378862091</v>
      </c>
      <c r="S22" s="1">
        <f t="shared" si="15"/>
        <v>-0.29197994987468684</v>
      </c>
      <c r="T22" s="3"/>
    </row>
    <row r="23" spans="1:20">
      <c r="A23" t="s">
        <v>26</v>
      </c>
      <c r="B23" s="2">
        <v>0.71099999999999997</v>
      </c>
      <c r="C23" s="2">
        <v>0.69599999999999995</v>
      </c>
      <c r="D23" s="2">
        <v>0.45100000000000001</v>
      </c>
      <c r="E23" s="2">
        <v>0</v>
      </c>
      <c r="F23" s="2">
        <v>0</v>
      </c>
      <c r="G23" s="8">
        <v>0</v>
      </c>
      <c r="H23" s="7">
        <f t="shared" si="4"/>
        <v>-0.126</v>
      </c>
      <c r="I23" s="7">
        <f t="shared" si="5"/>
        <v>-0.128</v>
      </c>
      <c r="J23" s="7">
        <f t="shared" si="6"/>
        <v>-0.13199999999999995</v>
      </c>
      <c r="K23" s="7">
        <f t="shared" si="7"/>
        <v>-0.78816047155478197</v>
      </c>
      <c r="L23" s="7">
        <f t="shared" si="8"/>
        <v>-0.43594300410752002</v>
      </c>
      <c r="M23" s="10">
        <f t="shared" si="9"/>
        <v>-0.79800000000000004</v>
      </c>
      <c r="N23" s="1">
        <f t="shared" si="10"/>
        <v>-0.15053763440860216</v>
      </c>
      <c r="O23" s="1">
        <f t="shared" si="11"/>
        <v>-0.15533980582524273</v>
      </c>
      <c r="P23" s="1">
        <f t="shared" si="12"/>
        <v>-0.22641509433962256</v>
      </c>
      <c r="Q23" s="1">
        <f t="shared" si="13"/>
        <v>-1</v>
      </c>
      <c r="R23" s="1">
        <f t="shared" si="14"/>
        <v>-1</v>
      </c>
      <c r="S23" s="1">
        <f t="shared" si="15"/>
        <v>-1</v>
      </c>
      <c r="T23" s="3"/>
    </row>
    <row r="24" spans="1:20">
      <c r="A24" t="s">
        <v>27</v>
      </c>
      <c r="B24" s="2">
        <v>0.53700000000000003</v>
      </c>
      <c r="C24" s="2">
        <v>0.49299999999999999</v>
      </c>
      <c r="D24" s="2">
        <v>0.30399999999999999</v>
      </c>
      <c r="E24" s="2">
        <v>0.44700000000000001</v>
      </c>
      <c r="F24" s="2">
        <v>0.254</v>
      </c>
      <c r="G24" s="8">
        <v>0.51100000000000001</v>
      </c>
      <c r="H24" s="7">
        <f t="shared" si="4"/>
        <v>-0.29999999999999993</v>
      </c>
      <c r="I24" s="7">
        <f t="shared" si="5"/>
        <v>-0.33099999999999996</v>
      </c>
      <c r="J24" s="7">
        <f t="shared" si="6"/>
        <v>-0.27899999999999997</v>
      </c>
      <c r="K24" s="7">
        <f t="shared" si="7"/>
        <v>-0.34116047155478196</v>
      </c>
      <c r="L24" s="7">
        <f t="shared" si="8"/>
        <v>-0.18194300410752001</v>
      </c>
      <c r="M24" s="10">
        <f t="shared" si="9"/>
        <v>-0.28700000000000003</v>
      </c>
      <c r="N24" s="1">
        <f t="shared" si="10"/>
        <v>-0.3584229390681003</v>
      </c>
      <c r="O24" s="1">
        <f t="shared" si="11"/>
        <v>-0.40169902912621358</v>
      </c>
      <c r="P24" s="1">
        <f t="shared" si="12"/>
        <v>-0.47855917667238418</v>
      </c>
      <c r="Q24" s="1">
        <f t="shared" si="13"/>
        <v>-0.43285661215892279</v>
      </c>
      <c r="R24" s="1">
        <f t="shared" si="14"/>
        <v>-0.41735502667373003</v>
      </c>
      <c r="S24" s="1">
        <f t="shared" si="15"/>
        <v>-0.35964912280701755</v>
      </c>
      <c r="T24" s="3"/>
    </row>
    <row r="25" spans="1:20">
      <c r="A25" t="s">
        <v>28</v>
      </c>
      <c r="B25" s="2">
        <v>0.42099999999999999</v>
      </c>
      <c r="C25" s="2">
        <v>0.35699999999999998</v>
      </c>
      <c r="D25" s="2">
        <v>0.152</v>
      </c>
      <c r="E25" s="2">
        <v>0</v>
      </c>
      <c r="F25" s="2">
        <v>0</v>
      </c>
      <c r="G25" s="8">
        <v>0</v>
      </c>
      <c r="H25" s="7">
        <f t="shared" si="4"/>
        <v>-0.41599999999999998</v>
      </c>
      <c r="I25" s="7">
        <f t="shared" si="5"/>
        <v>-0.46699999999999997</v>
      </c>
      <c r="J25" s="7">
        <f t="shared" si="6"/>
        <v>-0.43099999999999994</v>
      </c>
      <c r="K25" s="7">
        <f t="shared" si="7"/>
        <v>-0.78816047155478197</v>
      </c>
      <c r="L25" s="7">
        <f t="shared" si="8"/>
        <v>-0.43594300410752002</v>
      </c>
      <c r="M25" s="10">
        <f t="shared" si="9"/>
        <v>-0.79800000000000004</v>
      </c>
      <c r="N25" s="1">
        <f t="shared" si="10"/>
        <v>-0.49701314217443249</v>
      </c>
      <c r="O25" s="1">
        <f t="shared" si="11"/>
        <v>-0.56674757281553401</v>
      </c>
      <c r="P25" s="1">
        <f t="shared" si="12"/>
        <v>-0.73927958833619201</v>
      </c>
      <c r="Q25" s="1">
        <f t="shared" si="13"/>
        <v>-1</v>
      </c>
      <c r="R25" s="1">
        <f t="shared" si="14"/>
        <v>-1</v>
      </c>
      <c r="S25" s="1">
        <f t="shared" si="15"/>
        <v>-1</v>
      </c>
      <c r="T25" s="3"/>
    </row>
    <row r="26" spans="1:20">
      <c r="A26" t="s">
        <v>29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8">
        <v>0</v>
      </c>
      <c r="H26" s="7">
        <f t="shared" si="4"/>
        <v>-0.83699999999999997</v>
      </c>
      <c r="I26" s="7">
        <f t="shared" si="5"/>
        <v>-0.82399999999999995</v>
      </c>
      <c r="J26" s="7">
        <f t="shared" si="6"/>
        <v>-0.58299999999999996</v>
      </c>
      <c r="K26" s="7">
        <f t="shared" si="7"/>
        <v>-0.78816047155478197</v>
      </c>
      <c r="L26" s="7">
        <f t="shared" si="8"/>
        <v>-0.43594300410752002</v>
      </c>
      <c r="M26" s="10">
        <f t="shared" si="9"/>
        <v>-0.79800000000000004</v>
      </c>
      <c r="N26" s="1">
        <f t="shared" si="10"/>
        <v>-1</v>
      </c>
      <c r="O26" s="1">
        <f t="shared" si="11"/>
        <v>-1</v>
      </c>
      <c r="P26" s="1">
        <f t="shared" si="12"/>
        <v>-1</v>
      </c>
      <c r="Q26" s="1">
        <f t="shared" si="13"/>
        <v>-1</v>
      </c>
      <c r="R26" s="1">
        <f t="shared" si="14"/>
        <v>-1</v>
      </c>
      <c r="S26" s="1">
        <f t="shared" si="15"/>
        <v>-1</v>
      </c>
      <c r="T26" s="3"/>
    </row>
    <row r="27" spans="1:20">
      <c r="A27" t="s">
        <v>30</v>
      </c>
      <c r="B27" s="2">
        <v>0.74099999999999999</v>
      </c>
      <c r="C27" s="2">
        <v>0.72899999999999998</v>
      </c>
      <c r="D27" s="2">
        <v>0.47799999999999998</v>
      </c>
      <c r="E27" s="2">
        <v>0</v>
      </c>
      <c r="F27" s="2">
        <v>0</v>
      </c>
      <c r="G27" s="8">
        <v>0</v>
      </c>
      <c r="H27" s="7">
        <f t="shared" si="4"/>
        <v>-9.5999999999999974E-2</v>
      </c>
      <c r="I27" s="7">
        <f t="shared" si="5"/>
        <v>-9.4999999999999973E-2</v>
      </c>
      <c r="J27" s="7">
        <f t="shared" si="6"/>
        <v>-0.10499999999999998</v>
      </c>
      <c r="K27" s="7">
        <f t="shared" si="7"/>
        <v>-0.78816047155478197</v>
      </c>
      <c r="L27" s="7">
        <f t="shared" si="8"/>
        <v>-0.43594300410752002</v>
      </c>
      <c r="M27" s="10">
        <f t="shared" si="9"/>
        <v>-0.79800000000000004</v>
      </c>
      <c r="N27" s="1">
        <f t="shared" si="10"/>
        <v>-0.11469534050179209</v>
      </c>
      <c r="O27" s="1">
        <f t="shared" si="11"/>
        <v>-0.11529126213592231</v>
      </c>
      <c r="P27" s="1">
        <f t="shared" si="12"/>
        <v>-0.18010291595197253</v>
      </c>
      <c r="Q27" s="1">
        <f t="shared" si="13"/>
        <v>-1</v>
      </c>
      <c r="R27" s="1">
        <f t="shared" si="14"/>
        <v>-1</v>
      </c>
      <c r="S27" s="1">
        <f t="shared" si="15"/>
        <v>-1</v>
      </c>
      <c r="T27" s="3"/>
    </row>
    <row r="28" spans="1:20">
      <c r="A28" t="s">
        <v>31</v>
      </c>
      <c r="B28" s="2">
        <v>0.56399999999999995</v>
      </c>
      <c r="C28" s="2">
        <v>0.52300000000000002</v>
      </c>
      <c r="D28" s="2">
        <v>0.35</v>
      </c>
      <c r="E28" s="2">
        <v>0.504</v>
      </c>
      <c r="F28" s="2">
        <v>0.309</v>
      </c>
      <c r="G28" s="8">
        <v>0.55600000000000005</v>
      </c>
      <c r="H28" s="7">
        <f t="shared" si="4"/>
        <v>-0.27300000000000002</v>
      </c>
      <c r="I28" s="7">
        <f t="shared" si="5"/>
        <v>-0.30099999999999993</v>
      </c>
      <c r="J28" s="7">
        <f t="shared" si="6"/>
        <v>-0.23299999999999998</v>
      </c>
      <c r="K28" s="7">
        <f t="shared" si="7"/>
        <v>-0.28416047155478197</v>
      </c>
      <c r="L28" s="7">
        <f t="shared" si="8"/>
        <v>-0.12694300410752002</v>
      </c>
      <c r="M28" s="10">
        <f t="shared" si="9"/>
        <v>-0.24199999999999999</v>
      </c>
      <c r="N28" s="1">
        <f t="shared" si="10"/>
        <v>-0.32616487455197135</v>
      </c>
      <c r="O28" s="1">
        <f t="shared" si="11"/>
        <v>-0.36529126213592228</v>
      </c>
      <c r="P28" s="1">
        <f t="shared" si="12"/>
        <v>-0.39965694682675817</v>
      </c>
      <c r="Q28" s="1">
        <f t="shared" si="13"/>
        <v>-0.36053631438053041</v>
      </c>
      <c r="R28" s="1">
        <f t="shared" si="14"/>
        <v>-0.29119174504796291</v>
      </c>
      <c r="S28" s="1">
        <f t="shared" si="15"/>
        <v>-0.3032581453634085</v>
      </c>
      <c r="T28" s="3"/>
    </row>
    <row r="29" spans="1:20">
      <c r="A29" t="s">
        <v>32</v>
      </c>
      <c r="B29" s="2">
        <v>0.70799999999999996</v>
      </c>
      <c r="C29" s="2">
        <v>0.70099999999999996</v>
      </c>
      <c r="D29" s="2">
        <v>0.44500000000000001</v>
      </c>
      <c r="E29" s="2">
        <v>0</v>
      </c>
      <c r="F29" s="2">
        <v>0</v>
      </c>
      <c r="G29" s="8">
        <v>0</v>
      </c>
      <c r="H29" s="7">
        <f t="shared" si="4"/>
        <v>-0.129</v>
      </c>
      <c r="I29" s="7">
        <f t="shared" si="5"/>
        <v>-0.123</v>
      </c>
      <c r="J29" s="7">
        <f t="shared" si="6"/>
        <v>-0.13799999999999996</v>
      </c>
      <c r="K29" s="7">
        <f t="shared" si="7"/>
        <v>-0.78816047155478197</v>
      </c>
      <c r="L29" s="7">
        <f t="shared" si="8"/>
        <v>-0.43594300410752002</v>
      </c>
      <c r="M29" s="10">
        <f t="shared" si="9"/>
        <v>-0.79800000000000004</v>
      </c>
      <c r="N29" s="1">
        <f t="shared" si="10"/>
        <v>-0.15412186379928317</v>
      </c>
      <c r="O29" s="1">
        <f t="shared" si="11"/>
        <v>-0.14927184466019419</v>
      </c>
      <c r="P29" s="1">
        <f t="shared" si="12"/>
        <v>-0.23670668953687815</v>
      </c>
      <c r="Q29" s="1">
        <f t="shared" si="13"/>
        <v>-1</v>
      </c>
      <c r="R29" s="1">
        <f t="shared" si="14"/>
        <v>-1</v>
      </c>
      <c r="S29" s="1">
        <f t="shared" si="15"/>
        <v>-1</v>
      </c>
      <c r="T29" s="3"/>
    </row>
    <row r="30" spans="1:20">
      <c r="A30" t="s">
        <v>33</v>
      </c>
      <c r="B30" s="2">
        <v>0.56799999999999995</v>
      </c>
      <c r="C30" s="2">
        <v>0.504</v>
      </c>
      <c r="D30" s="2">
        <v>0.32500000000000001</v>
      </c>
      <c r="E30" s="2">
        <v>0.47099999999999997</v>
      </c>
      <c r="F30" s="2">
        <v>0.27500000000000002</v>
      </c>
      <c r="G30" s="8">
        <v>0.54200000000000004</v>
      </c>
      <c r="H30" s="7">
        <f t="shared" si="4"/>
        <v>-0.26900000000000002</v>
      </c>
      <c r="I30" s="7">
        <f t="shared" si="5"/>
        <v>-0.31999999999999995</v>
      </c>
      <c r="J30" s="7">
        <f t="shared" si="6"/>
        <v>-0.25799999999999995</v>
      </c>
      <c r="K30" s="7">
        <f t="shared" si="7"/>
        <v>-0.317160471554782</v>
      </c>
      <c r="L30" s="7">
        <f t="shared" si="8"/>
        <v>-0.16094300410751999</v>
      </c>
      <c r="M30" s="10">
        <f t="shared" si="9"/>
        <v>-0.25600000000000001</v>
      </c>
      <c r="N30" s="1">
        <f t="shared" si="10"/>
        <v>-0.32138590203106338</v>
      </c>
      <c r="O30" s="1">
        <f t="shared" si="11"/>
        <v>-0.38834951456310673</v>
      </c>
      <c r="P30" s="1">
        <f t="shared" si="12"/>
        <v>-0.44253859348198965</v>
      </c>
      <c r="Q30" s="1">
        <f t="shared" si="13"/>
        <v>-0.40240596046275762</v>
      </c>
      <c r="R30" s="1">
        <f t="shared" si="14"/>
        <v>-0.36918359187116434</v>
      </c>
      <c r="S30" s="1">
        <f t="shared" si="15"/>
        <v>-0.32080200501253131</v>
      </c>
      <c r="T30" s="3"/>
    </row>
    <row r="31" spans="1:20">
      <c r="A31" t="s">
        <v>34</v>
      </c>
      <c r="B31" s="2">
        <v>0.47899999999999998</v>
      </c>
      <c r="C31" s="2">
        <v>0.442</v>
      </c>
      <c r="D31" s="2">
        <v>0.2</v>
      </c>
      <c r="E31" s="2">
        <v>0</v>
      </c>
      <c r="F31" s="2">
        <v>0</v>
      </c>
      <c r="G31" s="8">
        <v>0</v>
      </c>
      <c r="H31" s="7">
        <f t="shared" si="4"/>
        <v>-0.35799999999999998</v>
      </c>
      <c r="I31" s="7">
        <f t="shared" si="5"/>
        <v>-0.38199999999999995</v>
      </c>
      <c r="J31" s="7">
        <f t="shared" si="6"/>
        <v>-0.38299999999999995</v>
      </c>
      <c r="K31" s="7">
        <f t="shared" si="7"/>
        <v>-0.78816047155478197</v>
      </c>
      <c r="L31" s="7">
        <f t="shared" si="8"/>
        <v>-0.43594300410752002</v>
      </c>
      <c r="M31" s="10">
        <f t="shared" si="9"/>
        <v>-0.79800000000000004</v>
      </c>
      <c r="N31" s="1">
        <f t="shared" si="10"/>
        <v>-0.42771804062126645</v>
      </c>
      <c r="O31" s="1">
        <f t="shared" si="11"/>
        <v>-0.4635922330097087</v>
      </c>
      <c r="P31" s="1">
        <f t="shared" si="12"/>
        <v>-0.65694682675814742</v>
      </c>
      <c r="Q31" s="1">
        <f t="shared" si="13"/>
        <v>-1</v>
      </c>
      <c r="R31" s="1">
        <f t="shared" si="14"/>
        <v>-1</v>
      </c>
      <c r="S31" s="1">
        <f t="shared" si="15"/>
        <v>-1</v>
      </c>
      <c r="T31" s="3"/>
    </row>
    <row r="32" spans="1:20">
      <c r="A32" t="s">
        <v>35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8">
        <v>0</v>
      </c>
      <c r="H32" s="7">
        <f t="shared" si="4"/>
        <v>-0.83699999999999997</v>
      </c>
      <c r="I32" s="7">
        <f t="shared" si="5"/>
        <v>-0.82399999999999995</v>
      </c>
      <c r="J32" s="7">
        <f t="shared" si="6"/>
        <v>-0.58299999999999996</v>
      </c>
      <c r="K32" s="7">
        <f t="shared" si="7"/>
        <v>-0.78816047155478197</v>
      </c>
      <c r="L32" s="7">
        <f t="shared" si="8"/>
        <v>-0.43594300410752002</v>
      </c>
      <c r="M32" s="10">
        <f t="shared" si="9"/>
        <v>-0.79800000000000004</v>
      </c>
      <c r="N32" s="1">
        <f t="shared" si="10"/>
        <v>-1</v>
      </c>
      <c r="O32" s="1">
        <f t="shared" si="11"/>
        <v>-1</v>
      </c>
      <c r="P32" s="1">
        <f t="shared" si="12"/>
        <v>-1</v>
      </c>
      <c r="Q32" s="1">
        <f t="shared" si="13"/>
        <v>-1</v>
      </c>
      <c r="R32" s="1">
        <f t="shared" si="14"/>
        <v>-1</v>
      </c>
      <c r="S32" s="1">
        <f t="shared" si="15"/>
        <v>-1</v>
      </c>
      <c r="T32" s="3"/>
    </row>
    <row r="33" spans="1:20">
      <c r="A33" t="s">
        <v>36</v>
      </c>
      <c r="B33" s="2">
        <v>0.72499999999999998</v>
      </c>
      <c r="C33" s="2">
        <v>0.71199999999999997</v>
      </c>
      <c r="D33" s="2">
        <v>0.45700000000000002</v>
      </c>
      <c r="E33" s="2">
        <v>0</v>
      </c>
      <c r="F33" s="2">
        <v>0</v>
      </c>
      <c r="G33" s="8">
        <v>0</v>
      </c>
      <c r="H33" s="7">
        <f t="shared" si="4"/>
        <v>-0.11199999999999999</v>
      </c>
      <c r="I33" s="7">
        <f t="shared" si="5"/>
        <v>-0.11199999999999999</v>
      </c>
      <c r="J33" s="7">
        <f t="shared" si="6"/>
        <v>-0.12599999999999995</v>
      </c>
      <c r="K33" s="7">
        <f t="shared" si="7"/>
        <v>-0.78816047155478197</v>
      </c>
      <c r="L33" s="7">
        <f t="shared" si="8"/>
        <v>-0.43594300410752002</v>
      </c>
      <c r="M33" s="10">
        <f t="shared" si="9"/>
        <v>-0.79800000000000004</v>
      </c>
      <c r="N33" s="1">
        <f t="shared" si="10"/>
        <v>-0.13381123058542413</v>
      </c>
      <c r="O33" s="1">
        <f t="shared" si="11"/>
        <v>-0.13592233009708737</v>
      </c>
      <c r="P33" s="1">
        <f t="shared" si="12"/>
        <v>-0.21612349914236698</v>
      </c>
      <c r="Q33" s="1">
        <f t="shared" si="13"/>
        <v>-1</v>
      </c>
      <c r="R33" s="1">
        <f t="shared" si="14"/>
        <v>-1</v>
      </c>
      <c r="S33" s="1">
        <f t="shared" si="15"/>
        <v>-1</v>
      </c>
      <c r="T33" s="3"/>
    </row>
    <row r="34" spans="1:20">
      <c r="A34" t="s">
        <v>37</v>
      </c>
      <c r="B34" s="2">
        <v>0.51100000000000001</v>
      </c>
      <c r="C34" s="2">
        <v>0.46800000000000003</v>
      </c>
      <c r="D34" s="2">
        <v>0.309</v>
      </c>
      <c r="E34" s="2">
        <v>0.44500000000000001</v>
      </c>
      <c r="F34" s="2">
        <v>0.26100000000000001</v>
      </c>
      <c r="G34" s="8">
        <v>0.497</v>
      </c>
      <c r="H34" s="7">
        <f t="shared" ref="H34:H65" si="16">B34-V$2</f>
        <v>-0.32599999999999996</v>
      </c>
      <c r="I34" s="7">
        <f t="shared" ref="I34:I65" si="17">C34-W$2</f>
        <v>-0.35599999999999993</v>
      </c>
      <c r="J34" s="7">
        <f t="shared" ref="J34:J65" si="18">D34-X$2</f>
        <v>-0.27399999999999997</v>
      </c>
      <c r="K34" s="7">
        <f t="shared" ref="K34:K65" si="19">E34-Y$2</f>
        <v>-0.34316047155478197</v>
      </c>
      <c r="L34" s="7">
        <f t="shared" ref="L34:L65" si="20">F34-Z$2</f>
        <v>-0.17494300410752001</v>
      </c>
      <c r="M34" s="10">
        <f t="shared" ref="M34:M65" si="21">G34-AA$2</f>
        <v>-0.30100000000000005</v>
      </c>
      <c r="N34" s="1">
        <f t="shared" ref="N34:N65" si="22">(B34-V$2)/V$2</f>
        <v>-0.38948626045400236</v>
      </c>
      <c r="O34" s="1">
        <f t="shared" ref="O34:O65" si="23">(C34-W$2)/W$2</f>
        <v>-0.43203883495145623</v>
      </c>
      <c r="P34" s="1">
        <f t="shared" ref="P34:P65" si="24">(D34-X$2)/X$2</f>
        <v>-0.46998284734133788</v>
      </c>
      <c r="Q34" s="1">
        <f t="shared" ref="Q34:Q65" si="25">(E34-Y$2)/Y$2</f>
        <v>-0.43539416646693657</v>
      </c>
      <c r="R34" s="1">
        <f t="shared" ref="R34:R65" si="26">(F34-Z$2)/Z$2</f>
        <v>-0.40129788173954145</v>
      </c>
      <c r="S34" s="1">
        <f t="shared" ref="S34:S65" si="27">(G34-AA$2)/AA$2</f>
        <v>-0.37719298245614041</v>
      </c>
      <c r="T34" s="3"/>
    </row>
    <row r="35" spans="1:20">
      <c r="A35" t="s">
        <v>38</v>
      </c>
      <c r="B35" s="2">
        <v>0.7</v>
      </c>
      <c r="C35" s="2">
        <v>0.68899999999999995</v>
      </c>
      <c r="D35" s="2">
        <v>0.434</v>
      </c>
      <c r="E35" s="2">
        <v>0</v>
      </c>
      <c r="F35" s="2">
        <v>0</v>
      </c>
      <c r="G35" s="8">
        <v>0</v>
      </c>
      <c r="H35" s="7">
        <f t="shared" si="16"/>
        <v>-0.13700000000000001</v>
      </c>
      <c r="I35" s="7">
        <f t="shared" si="17"/>
        <v>-0.13500000000000001</v>
      </c>
      <c r="J35" s="7">
        <f t="shared" si="18"/>
        <v>-0.14899999999999997</v>
      </c>
      <c r="K35" s="7">
        <f t="shared" si="19"/>
        <v>-0.78816047155478197</v>
      </c>
      <c r="L35" s="7">
        <f t="shared" si="20"/>
        <v>-0.43594300410752002</v>
      </c>
      <c r="M35" s="10">
        <f t="shared" si="21"/>
        <v>-0.79800000000000004</v>
      </c>
      <c r="N35" s="1">
        <f t="shared" si="22"/>
        <v>-0.16367980884109917</v>
      </c>
      <c r="O35" s="1">
        <f t="shared" si="23"/>
        <v>-0.16383495145631069</v>
      </c>
      <c r="P35" s="1">
        <f t="shared" si="24"/>
        <v>-0.25557461406518006</v>
      </c>
      <c r="Q35" s="1">
        <f t="shared" si="25"/>
        <v>-1</v>
      </c>
      <c r="R35" s="1">
        <f t="shared" si="26"/>
        <v>-1</v>
      </c>
      <c r="S35" s="1">
        <f t="shared" si="27"/>
        <v>-1</v>
      </c>
      <c r="T35" s="3"/>
    </row>
    <row r="36" spans="1:20">
      <c r="A36" t="s">
        <v>39</v>
      </c>
      <c r="B36" s="2">
        <v>0.57199999999999995</v>
      </c>
      <c r="C36" s="2">
        <v>0.51500000000000001</v>
      </c>
      <c r="D36" s="2">
        <v>0.34200000000000003</v>
      </c>
      <c r="E36" s="2">
        <v>0.48699999999999999</v>
      </c>
      <c r="F36" s="2">
        <v>0.29599999999999999</v>
      </c>
      <c r="G36" s="8">
        <v>0.55400000000000005</v>
      </c>
      <c r="H36" s="7">
        <f t="shared" si="16"/>
        <v>-0.26500000000000001</v>
      </c>
      <c r="I36" s="7">
        <f t="shared" si="17"/>
        <v>-0.30899999999999994</v>
      </c>
      <c r="J36" s="7">
        <f t="shared" si="18"/>
        <v>-0.24099999999999994</v>
      </c>
      <c r="K36" s="7">
        <f t="shared" si="19"/>
        <v>-0.30116047155478198</v>
      </c>
      <c r="L36" s="7">
        <f t="shared" si="20"/>
        <v>-0.13994300410752003</v>
      </c>
      <c r="M36" s="10">
        <f t="shared" si="21"/>
        <v>-0.24399999999999999</v>
      </c>
      <c r="N36" s="1">
        <f t="shared" si="22"/>
        <v>-0.31660692951015534</v>
      </c>
      <c r="O36" s="1">
        <f t="shared" si="23"/>
        <v>-0.37499999999999994</v>
      </c>
      <c r="P36" s="1">
        <f t="shared" si="24"/>
        <v>-0.41337907375643218</v>
      </c>
      <c r="Q36" s="1">
        <f t="shared" si="25"/>
        <v>-0.38210552599864744</v>
      </c>
      <c r="R36" s="1">
        <f t="shared" si="26"/>
        <v>-0.32101215706859881</v>
      </c>
      <c r="S36" s="1">
        <f t="shared" si="27"/>
        <v>-0.30576441102756891</v>
      </c>
      <c r="T36" s="3"/>
    </row>
    <row r="37" spans="1:20">
      <c r="A37" t="s">
        <v>40</v>
      </c>
      <c r="B37" s="2">
        <v>0.378</v>
      </c>
      <c r="C37" s="2">
        <v>0.31900000000000001</v>
      </c>
      <c r="D37" s="2">
        <v>0.13200000000000001</v>
      </c>
      <c r="E37" s="2">
        <v>0</v>
      </c>
      <c r="F37" s="2">
        <v>0</v>
      </c>
      <c r="G37" s="8">
        <v>0</v>
      </c>
      <c r="H37" s="7">
        <f t="shared" si="16"/>
        <v>-0.45899999999999996</v>
      </c>
      <c r="I37" s="7">
        <f t="shared" si="17"/>
        <v>-0.50499999999999989</v>
      </c>
      <c r="J37" s="7">
        <f t="shared" si="18"/>
        <v>-0.45099999999999996</v>
      </c>
      <c r="K37" s="7">
        <f t="shared" si="19"/>
        <v>-0.78816047155478197</v>
      </c>
      <c r="L37" s="7">
        <f t="shared" si="20"/>
        <v>-0.43594300410752002</v>
      </c>
      <c r="M37" s="10">
        <f t="shared" si="21"/>
        <v>-0.79800000000000004</v>
      </c>
      <c r="N37" s="1">
        <f t="shared" si="22"/>
        <v>-0.54838709677419351</v>
      </c>
      <c r="O37" s="1">
        <f t="shared" si="23"/>
        <v>-0.61286407766990281</v>
      </c>
      <c r="P37" s="1">
        <f t="shared" si="24"/>
        <v>-0.7735849056603773</v>
      </c>
      <c r="Q37" s="1">
        <f t="shared" si="25"/>
        <v>-1</v>
      </c>
      <c r="R37" s="1">
        <f t="shared" si="26"/>
        <v>-1</v>
      </c>
      <c r="S37" s="1">
        <f t="shared" si="27"/>
        <v>-1</v>
      </c>
      <c r="T37" s="3"/>
    </row>
    <row r="38" spans="1:20">
      <c r="A38" t="s">
        <v>41</v>
      </c>
      <c r="B38" s="2">
        <v>1.6E-2</v>
      </c>
      <c r="C38" s="2">
        <v>0.10100000000000001</v>
      </c>
      <c r="D38" s="2">
        <v>3.6999999999999998E-2</v>
      </c>
      <c r="E38" s="2">
        <v>7.4999999999999997E-2</v>
      </c>
      <c r="F38" s="2">
        <v>2.12E-2</v>
      </c>
      <c r="G38" s="8">
        <v>1.4E-2</v>
      </c>
      <c r="H38" s="7">
        <f t="shared" si="16"/>
        <v>-0.82099999999999995</v>
      </c>
      <c r="I38" s="7">
        <f t="shared" si="17"/>
        <v>-0.72299999999999998</v>
      </c>
      <c r="J38" s="7">
        <f t="shared" si="18"/>
        <v>-0.54599999999999993</v>
      </c>
      <c r="K38" s="7">
        <f t="shared" si="19"/>
        <v>-0.71316047155478202</v>
      </c>
      <c r="L38" s="7">
        <f t="shared" si="20"/>
        <v>-0.41474300410752002</v>
      </c>
      <c r="M38" s="10">
        <f t="shared" si="21"/>
        <v>-0.78400000000000003</v>
      </c>
      <c r="N38" s="1">
        <f t="shared" si="22"/>
        <v>-0.98088410991636799</v>
      </c>
      <c r="O38" s="1">
        <f t="shared" si="23"/>
        <v>-0.87742718446601942</v>
      </c>
      <c r="P38" s="1">
        <f t="shared" si="24"/>
        <v>-0.93653516295025718</v>
      </c>
      <c r="Q38" s="1">
        <f t="shared" si="25"/>
        <v>-0.90484171344948372</v>
      </c>
      <c r="R38" s="1">
        <f t="shared" si="26"/>
        <v>-0.9513697896278861</v>
      </c>
      <c r="S38" s="1">
        <f t="shared" si="27"/>
        <v>-0.98245614035087714</v>
      </c>
      <c r="T38" s="3"/>
    </row>
    <row r="39" spans="1:20">
      <c r="A39" t="s">
        <v>42</v>
      </c>
      <c r="B39" s="2">
        <v>0.73699999999999999</v>
      </c>
      <c r="C39" s="2">
        <v>0.72199999999999998</v>
      </c>
      <c r="D39" s="2">
        <v>0.46899999999999997</v>
      </c>
      <c r="E39" s="2">
        <v>0</v>
      </c>
      <c r="F39" s="2">
        <v>0</v>
      </c>
      <c r="G39" s="8">
        <v>0</v>
      </c>
      <c r="H39" s="7">
        <f t="shared" si="16"/>
        <v>-9.9999999999999978E-2</v>
      </c>
      <c r="I39" s="7">
        <f t="shared" si="17"/>
        <v>-0.10199999999999998</v>
      </c>
      <c r="J39" s="7">
        <f t="shared" si="18"/>
        <v>-0.11399999999999999</v>
      </c>
      <c r="K39" s="7">
        <f t="shared" si="19"/>
        <v>-0.78816047155478197</v>
      </c>
      <c r="L39" s="7">
        <f t="shared" si="20"/>
        <v>-0.43594300410752002</v>
      </c>
      <c r="M39" s="10">
        <f t="shared" si="21"/>
        <v>-0.79800000000000004</v>
      </c>
      <c r="N39" s="1">
        <f t="shared" si="22"/>
        <v>-0.1194743130227001</v>
      </c>
      <c r="O39" s="1">
        <f t="shared" si="23"/>
        <v>-0.12378640776699028</v>
      </c>
      <c r="P39" s="1">
        <f t="shared" si="24"/>
        <v>-0.19554030874785591</v>
      </c>
      <c r="Q39" s="1">
        <f t="shared" si="25"/>
        <v>-1</v>
      </c>
      <c r="R39" s="1">
        <f t="shared" si="26"/>
        <v>-1</v>
      </c>
      <c r="S39" s="1">
        <f t="shared" si="27"/>
        <v>-1</v>
      </c>
      <c r="T39" s="3"/>
    </row>
    <row r="40" spans="1:20">
      <c r="A40" t="s">
        <v>43</v>
      </c>
      <c r="B40" s="2">
        <v>0.52100000000000002</v>
      </c>
      <c r="C40" s="2">
        <v>0.47499999999999998</v>
      </c>
      <c r="D40" s="2">
        <v>0.314</v>
      </c>
      <c r="E40" s="2">
        <v>0.45500000000000002</v>
      </c>
      <c r="F40" s="2">
        <v>0.26900000000000002</v>
      </c>
      <c r="G40" s="8">
        <v>0.50900000000000001</v>
      </c>
      <c r="H40" s="7">
        <f t="shared" si="16"/>
        <v>-0.31599999999999995</v>
      </c>
      <c r="I40" s="7">
        <f t="shared" si="17"/>
        <v>-0.34899999999999998</v>
      </c>
      <c r="J40" s="7">
        <f t="shared" si="18"/>
        <v>-0.26899999999999996</v>
      </c>
      <c r="K40" s="7">
        <f t="shared" si="19"/>
        <v>-0.33316047155478196</v>
      </c>
      <c r="L40" s="7">
        <f t="shared" si="20"/>
        <v>-0.16694300410752</v>
      </c>
      <c r="M40" s="10">
        <f t="shared" si="21"/>
        <v>-0.28900000000000003</v>
      </c>
      <c r="N40" s="1">
        <f t="shared" si="22"/>
        <v>-0.37753882915173231</v>
      </c>
      <c r="O40" s="1">
        <f t="shared" si="23"/>
        <v>-0.42354368932038833</v>
      </c>
      <c r="P40" s="1">
        <f t="shared" si="24"/>
        <v>-0.46140651801029153</v>
      </c>
      <c r="Q40" s="1">
        <f t="shared" si="25"/>
        <v>-0.42270639492686773</v>
      </c>
      <c r="R40" s="1">
        <f t="shared" si="26"/>
        <v>-0.38294685895761166</v>
      </c>
      <c r="S40" s="1">
        <f t="shared" si="27"/>
        <v>-0.36215538847117795</v>
      </c>
      <c r="T40" s="3"/>
    </row>
    <row r="41" spans="1:20">
      <c r="A41" t="s">
        <v>44</v>
      </c>
      <c r="B41" s="2">
        <v>0.49299999999999999</v>
      </c>
      <c r="C41" s="2">
        <v>0.42599999999999999</v>
      </c>
      <c r="D41" s="2">
        <v>0.24299999999999999</v>
      </c>
      <c r="G41" s="8">
        <v>0.47499999999999998</v>
      </c>
      <c r="H41" s="7">
        <f t="shared" si="16"/>
        <v>-0.34399999999999997</v>
      </c>
      <c r="I41" s="7">
        <f t="shared" si="17"/>
        <v>-0.39799999999999996</v>
      </c>
      <c r="J41" s="7">
        <f t="shared" si="18"/>
        <v>-0.33999999999999997</v>
      </c>
      <c r="K41" s="7">
        <f t="shared" si="19"/>
        <v>-0.78816047155478197</v>
      </c>
      <c r="L41" s="7">
        <f t="shared" si="20"/>
        <v>-0.43594300410752002</v>
      </c>
      <c r="M41" s="10">
        <f t="shared" si="21"/>
        <v>-0.32300000000000006</v>
      </c>
      <c r="N41" s="1">
        <f t="shared" si="22"/>
        <v>-0.41099163679808842</v>
      </c>
      <c r="O41" s="1">
        <f t="shared" si="23"/>
        <v>-0.48300970873786409</v>
      </c>
      <c r="P41" s="1">
        <f t="shared" si="24"/>
        <v>-0.58319039451114918</v>
      </c>
      <c r="Q41" s="1">
        <f t="shared" si="25"/>
        <v>-1</v>
      </c>
      <c r="R41" s="1">
        <f t="shared" si="26"/>
        <v>-1</v>
      </c>
      <c r="S41" s="1">
        <f t="shared" si="27"/>
        <v>-0.40476190476190482</v>
      </c>
      <c r="T41" s="3"/>
    </row>
    <row r="42" spans="1:20">
      <c r="A42" t="s">
        <v>45</v>
      </c>
      <c r="B42" s="2">
        <v>0.73699999999999999</v>
      </c>
      <c r="C42" s="2">
        <v>0.72099999999999997</v>
      </c>
      <c r="D42" s="2">
        <v>0.48499999999999999</v>
      </c>
      <c r="G42" s="8">
        <v>0.71099999999999997</v>
      </c>
      <c r="H42" s="7">
        <f t="shared" si="16"/>
        <v>-9.9999999999999978E-2</v>
      </c>
      <c r="I42" s="7">
        <f t="shared" si="17"/>
        <v>-0.10299999999999998</v>
      </c>
      <c r="J42" s="7">
        <f t="shared" si="18"/>
        <v>-9.7999999999999976E-2</v>
      </c>
      <c r="K42" s="7">
        <f t="shared" si="19"/>
        <v>-0.78816047155478197</v>
      </c>
      <c r="L42" s="7">
        <f t="shared" si="20"/>
        <v>-0.43594300410752002</v>
      </c>
      <c r="M42" s="10">
        <f t="shared" si="21"/>
        <v>-8.7000000000000077E-2</v>
      </c>
      <c r="N42" s="1">
        <f t="shared" si="22"/>
        <v>-0.1194743130227001</v>
      </c>
      <c r="O42" s="1">
        <f t="shared" si="23"/>
        <v>-0.12499999999999999</v>
      </c>
      <c r="P42" s="1">
        <f t="shared" si="24"/>
        <v>-0.16809605488850768</v>
      </c>
      <c r="Q42" s="1">
        <f t="shared" si="25"/>
        <v>-1</v>
      </c>
      <c r="R42" s="1">
        <f t="shared" si="26"/>
        <v>-1</v>
      </c>
      <c r="S42" s="1">
        <f t="shared" si="27"/>
        <v>-0.10902255639097753</v>
      </c>
      <c r="T42" s="3"/>
    </row>
    <row r="43" spans="1:20">
      <c r="A43" t="s">
        <v>46</v>
      </c>
      <c r="B43" s="2">
        <v>0.56999999999999995</v>
      </c>
      <c r="C43" s="2">
        <v>0.52</v>
      </c>
      <c r="D43" s="2">
        <v>0.35199999999999998</v>
      </c>
      <c r="G43" s="8">
        <v>0.56299999999999994</v>
      </c>
      <c r="H43" s="7">
        <f t="shared" si="16"/>
        <v>-0.26700000000000002</v>
      </c>
      <c r="I43" s="7">
        <f t="shared" si="17"/>
        <v>-0.30399999999999994</v>
      </c>
      <c r="J43" s="7">
        <f t="shared" si="18"/>
        <v>-0.23099999999999998</v>
      </c>
      <c r="K43" s="7">
        <f t="shared" si="19"/>
        <v>-0.78816047155478197</v>
      </c>
      <c r="L43" s="7">
        <f t="shared" si="20"/>
        <v>-0.43594300410752002</v>
      </c>
      <c r="M43" s="10">
        <f t="shared" si="21"/>
        <v>-0.2350000000000001</v>
      </c>
      <c r="N43" s="1">
        <f t="shared" si="22"/>
        <v>-0.31899641577060933</v>
      </c>
      <c r="O43" s="1">
        <f t="shared" si="23"/>
        <v>-0.3689320388349514</v>
      </c>
      <c r="P43" s="1">
        <f t="shared" si="24"/>
        <v>-0.39622641509433965</v>
      </c>
      <c r="Q43" s="1">
        <f t="shared" si="25"/>
        <v>-1</v>
      </c>
      <c r="R43" s="1">
        <f t="shared" si="26"/>
        <v>-1</v>
      </c>
      <c r="S43" s="1">
        <f t="shared" si="27"/>
        <v>-0.29448621553884724</v>
      </c>
      <c r="T43" s="3"/>
    </row>
    <row r="44" spans="1:20">
      <c r="A44" s="4" t="s">
        <v>47</v>
      </c>
      <c r="B44" s="2">
        <v>0.81</v>
      </c>
      <c r="C44" s="2">
        <v>0.79500000000000004</v>
      </c>
      <c r="D44" s="2">
        <v>0.57199999999999995</v>
      </c>
      <c r="G44" s="8">
        <v>0.78900000000000003</v>
      </c>
      <c r="H44" s="7">
        <f t="shared" si="16"/>
        <v>-2.6999999999999913E-2</v>
      </c>
      <c r="I44" s="7">
        <f t="shared" si="17"/>
        <v>-2.8999999999999915E-2</v>
      </c>
      <c r="J44" s="7">
        <f t="shared" si="18"/>
        <v>-1.100000000000001E-2</v>
      </c>
      <c r="K44" s="7">
        <f t="shared" si="19"/>
        <v>-0.78816047155478197</v>
      </c>
      <c r="L44" s="7">
        <f t="shared" si="20"/>
        <v>-0.43594300410752002</v>
      </c>
      <c r="M44" s="10">
        <f t="shared" si="21"/>
        <v>-9.000000000000008E-3</v>
      </c>
      <c r="N44" s="1">
        <f t="shared" si="22"/>
        <v>-3.2258064516128927E-2</v>
      </c>
      <c r="O44" s="1">
        <f t="shared" si="23"/>
        <v>-3.5194174757281455E-2</v>
      </c>
      <c r="P44" s="1">
        <f t="shared" si="24"/>
        <v>-1.8867924528301903E-2</v>
      </c>
      <c r="Q44" s="1">
        <f t="shared" si="25"/>
        <v>-1</v>
      </c>
      <c r="R44" s="1">
        <f t="shared" si="26"/>
        <v>-1</v>
      </c>
      <c r="S44" s="1">
        <f t="shared" si="27"/>
        <v>-1.1278195488721814E-2</v>
      </c>
      <c r="T44" s="3"/>
    </row>
    <row r="45" spans="1:20">
      <c r="A45" t="s">
        <v>48</v>
      </c>
      <c r="B45" s="2">
        <v>0.55500000000000005</v>
      </c>
      <c r="C45" s="2">
        <v>0.50600000000000001</v>
      </c>
      <c r="D45" s="2">
        <v>0.32200000000000001</v>
      </c>
      <c r="E45" s="2">
        <v>0.46980585010320702</v>
      </c>
      <c r="F45" s="2">
        <v>0.27346800168463797</v>
      </c>
      <c r="G45" s="8">
        <v>0.53100000000000003</v>
      </c>
      <c r="H45" s="7">
        <f t="shared" si="16"/>
        <v>-0.28199999999999992</v>
      </c>
      <c r="I45" s="7">
        <f t="shared" si="17"/>
        <v>-0.31799999999999995</v>
      </c>
      <c r="J45" s="7">
        <f t="shared" si="18"/>
        <v>-0.26099999999999995</v>
      </c>
      <c r="K45" s="7">
        <f t="shared" si="19"/>
        <v>-0.31835462145157495</v>
      </c>
      <c r="L45" s="7">
        <f t="shared" si="20"/>
        <v>-0.16247500242288204</v>
      </c>
      <c r="M45" s="10">
        <f t="shared" si="21"/>
        <v>-0.26700000000000002</v>
      </c>
      <c r="N45" s="1">
        <f t="shared" si="22"/>
        <v>-0.33691756272401424</v>
      </c>
      <c r="O45" s="1">
        <f t="shared" si="23"/>
        <v>-0.38592233009708732</v>
      </c>
      <c r="P45" s="1">
        <f t="shared" si="24"/>
        <v>-0.44768439108061747</v>
      </c>
      <c r="Q45" s="1">
        <f t="shared" si="25"/>
        <v>-0.40392107057026821</v>
      </c>
      <c r="R45" s="1">
        <f t="shared" si="26"/>
        <v>-0.37269780886955023</v>
      </c>
      <c r="S45" s="1">
        <f t="shared" si="27"/>
        <v>-0.33458646616541354</v>
      </c>
      <c r="T45" s="3"/>
    </row>
    <row r="46" spans="1:20">
      <c r="A46" t="s">
        <v>49</v>
      </c>
      <c r="B46" s="2">
        <v>0.76900000000000002</v>
      </c>
      <c r="C46" s="2">
        <v>0.752</v>
      </c>
      <c r="D46" s="2">
        <v>0.52800000000000002</v>
      </c>
      <c r="G46" s="8">
        <v>0.74199999999999999</v>
      </c>
      <c r="H46" s="7">
        <f t="shared" si="16"/>
        <v>-6.7999999999999949E-2</v>
      </c>
      <c r="I46" s="7">
        <f t="shared" si="17"/>
        <v>-7.1999999999999953E-2</v>
      </c>
      <c r="J46" s="7">
        <f t="shared" si="18"/>
        <v>-5.4999999999999938E-2</v>
      </c>
      <c r="K46" s="7">
        <f t="shared" si="19"/>
        <v>-0.78816047155478197</v>
      </c>
      <c r="L46" s="7">
        <f t="shared" si="20"/>
        <v>-0.43594300410752002</v>
      </c>
      <c r="M46" s="10">
        <f t="shared" si="21"/>
        <v>-5.600000000000005E-2</v>
      </c>
      <c r="N46" s="1">
        <f t="shared" si="22"/>
        <v>-8.124253285543602E-2</v>
      </c>
      <c r="O46" s="1">
        <f t="shared" si="23"/>
        <v>-8.7378640776698976E-2</v>
      </c>
      <c r="P46" s="1">
        <f t="shared" si="24"/>
        <v>-9.433962264150933E-2</v>
      </c>
      <c r="Q46" s="1">
        <f t="shared" si="25"/>
        <v>-1</v>
      </c>
      <c r="R46" s="1">
        <f t="shared" si="26"/>
        <v>-1</v>
      </c>
      <c r="S46" s="1">
        <f t="shared" si="27"/>
        <v>-7.0175438596491294E-2</v>
      </c>
      <c r="T46" s="3"/>
    </row>
    <row r="47" spans="1:20">
      <c r="A47" t="s">
        <v>50</v>
      </c>
      <c r="B47" s="2">
        <v>0.55200000000000005</v>
      </c>
      <c r="C47" s="2">
        <v>0.5</v>
      </c>
      <c r="D47" s="2">
        <v>0.33300000000000002</v>
      </c>
      <c r="G47" s="8">
        <v>0.54900000000000004</v>
      </c>
      <c r="H47" s="7">
        <f t="shared" si="16"/>
        <v>-0.28499999999999992</v>
      </c>
      <c r="I47" s="7">
        <f t="shared" si="17"/>
        <v>-0.32399999999999995</v>
      </c>
      <c r="J47" s="7">
        <f t="shared" si="18"/>
        <v>-0.24999999999999994</v>
      </c>
      <c r="K47" s="7">
        <f t="shared" si="19"/>
        <v>-0.78816047155478197</v>
      </c>
      <c r="L47" s="7">
        <f t="shared" si="20"/>
        <v>-0.43594300410752002</v>
      </c>
      <c r="M47" s="10">
        <f t="shared" si="21"/>
        <v>-0.249</v>
      </c>
      <c r="N47" s="1">
        <f t="shared" si="22"/>
        <v>-0.34050179211469528</v>
      </c>
      <c r="O47" s="1">
        <f t="shared" si="23"/>
        <v>-0.39320388349514562</v>
      </c>
      <c r="P47" s="1">
        <f t="shared" si="24"/>
        <v>-0.42881646655231553</v>
      </c>
      <c r="Q47" s="1">
        <f t="shared" si="25"/>
        <v>-1</v>
      </c>
      <c r="R47" s="1">
        <f t="shared" si="26"/>
        <v>-1</v>
      </c>
      <c r="S47" s="1">
        <f t="shared" si="27"/>
        <v>-0.31203007518796988</v>
      </c>
      <c r="T47" s="3"/>
    </row>
    <row r="48" spans="1:20">
      <c r="A48" s="4" t="s">
        <v>51</v>
      </c>
      <c r="B48" s="2">
        <v>0.81</v>
      </c>
      <c r="C48" s="2">
        <v>0.79900000000000004</v>
      </c>
      <c r="D48" s="2">
        <v>0.57199999999999995</v>
      </c>
      <c r="G48" s="8">
        <v>0.78900000000000003</v>
      </c>
      <c r="H48" s="7">
        <f t="shared" si="16"/>
        <v>-2.6999999999999913E-2</v>
      </c>
      <c r="I48" s="7">
        <f t="shared" si="17"/>
        <v>-2.4999999999999911E-2</v>
      </c>
      <c r="J48" s="7">
        <f t="shared" si="18"/>
        <v>-1.100000000000001E-2</v>
      </c>
      <c r="K48" s="7">
        <f t="shared" si="19"/>
        <v>-0.78816047155478197</v>
      </c>
      <c r="L48" s="7">
        <f t="shared" si="20"/>
        <v>-0.43594300410752002</v>
      </c>
      <c r="M48" s="10">
        <f t="shared" si="21"/>
        <v>-9.000000000000008E-3</v>
      </c>
      <c r="N48" s="1">
        <f t="shared" si="22"/>
        <v>-3.2258064516128927E-2</v>
      </c>
      <c r="O48" s="1">
        <f t="shared" si="23"/>
        <v>-3.0339805825242611E-2</v>
      </c>
      <c r="P48" s="1">
        <f t="shared" si="24"/>
        <v>-1.8867924528301903E-2</v>
      </c>
      <c r="Q48" s="1">
        <f t="shared" si="25"/>
        <v>-1</v>
      </c>
      <c r="R48" s="1">
        <f t="shared" si="26"/>
        <v>-1</v>
      </c>
      <c r="S48" s="1">
        <f t="shared" si="27"/>
        <v>-1.1278195488721814E-2</v>
      </c>
      <c r="T48" s="3"/>
    </row>
    <row r="49" spans="1:20">
      <c r="A49" t="s">
        <v>52</v>
      </c>
      <c r="B49" s="2">
        <v>0.55800000000000005</v>
      </c>
      <c r="C49" s="2">
        <v>0.50900000000000001</v>
      </c>
      <c r="D49" s="2">
        <v>0.32900000000000001</v>
      </c>
      <c r="G49" s="8">
        <v>0.53100000000000003</v>
      </c>
      <c r="H49" s="7">
        <f t="shared" si="16"/>
        <v>-0.27899999999999991</v>
      </c>
      <c r="I49" s="7">
        <f t="shared" si="17"/>
        <v>-0.31499999999999995</v>
      </c>
      <c r="J49" s="7">
        <f t="shared" si="18"/>
        <v>-0.25399999999999995</v>
      </c>
      <c r="K49" s="7">
        <f t="shared" si="19"/>
        <v>-0.78816047155478197</v>
      </c>
      <c r="L49" s="7">
        <f t="shared" si="20"/>
        <v>-0.43594300410752002</v>
      </c>
      <c r="M49" s="10">
        <f t="shared" si="21"/>
        <v>-0.26700000000000002</v>
      </c>
      <c r="N49" s="1">
        <f t="shared" si="22"/>
        <v>-0.33333333333333326</v>
      </c>
      <c r="O49" s="1">
        <f t="shared" si="23"/>
        <v>-0.38228155339805819</v>
      </c>
      <c r="P49" s="1">
        <f t="shared" si="24"/>
        <v>-0.43567753001715259</v>
      </c>
      <c r="Q49" s="1">
        <f t="shared" si="25"/>
        <v>-1</v>
      </c>
      <c r="R49" s="1">
        <f t="shared" si="26"/>
        <v>-1</v>
      </c>
      <c r="S49" s="1">
        <f t="shared" si="27"/>
        <v>-0.33458646616541354</v>
      </c>
      <c r="T49" s="3"/>
    </row>
    <row r="50" spans="1:20">
      <c r="A50" t="s">
        <v>53</v>
      </c>
      <c r="B50" s="2">
        <v>0.76</v>
      </c>
      <c r="C50" s="2">
        <v>0.74199999999999999</v>
      </c>
      <c r="D50" s="2">
        <v>0.51500000000000001</v>
      </c>
      <c r="G50" s="8">
        <v>0.73299999999999998</v>
      </c>
      <c r="H50" s="7">
        <f t="shared" si="16"/>
        <v>-7.6999999999999957E-2</v>
      </c>
      <c r="I50" s="7">
        <f t="shared" si="17"/>
        <v>-8.1999999999999962E-2</v>
      </c>
      <c r="J50" s="7">
        <f t="shared" si="18"/>
        <v>-6.7999999999999949E-2</v>
      </c>
      <c r="K50" s="7">
        <f t="shared" si="19"/>
        <v>-0.78816047155478197</v>
      </c>
      <c r="L50" s="7">
        <f t="shared" si="20"/>
        <v>-0.43594300410752002</v>
      </c>
      <c r="M50" s="10">
        <f t="shared" si="21"/>
        <v>-6.5000000000000058E-2</v>
      </c>
      <c r="N50" s="1">
        <f t="shared" si="22"/>
        <v>-9.1995221027479049E-2</v>
      </c>
      <c r="O50" s="1">
        <f t="shared" si="23"/>
        <v>-9.9514563106796072E-2</v>
      </c>
      <c r="P50" s="1">
        <f t="shared" si="24"/>
        <v>-0.11663807890222977</v>
      </c>
      <c r="Q50" s="1">
        <f t="shared" si="25"/>
        <v>-1</v>
      </c>
      <c r="R50" s="1">
        <f t="shared" si="26"/>
        <v>-1</v>
      </c>
      <c r="S50" s="1">
        <f t="shared" si="27"/>
        <v>-8.1453634085213097E-2</v>
      </c>
      <c r="T50" s="3"/>
    </row>
    <row r="51" spans="1:20">
      <c r="A51" t="s">
        <v>54</v>
      </c>
      <c r="B51" s="2">
        <v>0.55900000000000005</v>
      </c>
      <c r="C51" s="2">
        <v>0.51100000000000001</v>
      </c>
      <c r="D51" s="2">
        <v>0.33900000000000002</v>
      </c>
      <c r="G51" s="8">
        <v>0.55300000000000005</v>
      </c>
      <c r="H51" s="7">
        <f t="shared" si="16"/>
        <v>-0.27799999999999991</v>
      </c>
      <c r="I51" s="7">
        <f t="shared" si="17"/>
        <v>-0.31299999999999994</v>
      </c>
      <c r="J51" s="7">
        <f t="shared" si="18"/>
        <v>-0.24399999999999994</v>
      </c>
      <c r="K51" s="7">
        <f t="shared" si="19"/>
        <v>-0.78816047155478197</v>
      </c>
      <c r="L51" s="7">
        <f t="shared" si="20"/>
        <v>-0.43594300410752002</v>
      </c>
      <c r="M51" s="10">
        <f t="shared" si="21"/>
        <v>-0.245</v>
      </c>
      <c r="N51" s="1">
        <f t="shared" si="22"/>
        <v>-0.33213859020310627</v>
      </c>
      <c r="O51" s="1">
        <f t="shared" si="23"/>
        <v>-0.37985436893203878</v>
      </c>
      <c r="P51" s="1">
        <f t="shared" si="24"/>
        <v>-0.41852487135505995</v>
      </c>
      <c r="Q51" s="1">
        <f t="shared" si="25"/>
        <v>-1</v>
      </c>
      <c r="R51" s="1">
        <f t="shared" si="26"/>
        <v>-1</v>
      </c>
      <c r="S51" s="1">
        <f t="shared" si="27"/>
        <v>-0.30701754385964908</v>
      </c>
      <c r="T51" s="3"/>
    </row>
    <row r="52" spans="1:20">
      <c r="A52" s="4" t="s">
        <v>55</v>
      </c>
      <c r="B52" s="2">
        <v>0.81</v>
      </c>
      <c r="C52" s="2">
        <v>0.79500000000000004</v>
      </c>
      <c r="D52" s="2">
        <v>0.57199999999999995</v>
      </c>
      <c r="G52" s="8">
        <v>0.79100000000000004</v>
      </c>
      <c r="H52" s="7">
        <f t="shared" si="16"/>
        <v>-2.6999999999999913E-2</v>
      </c>
      <c r="I52" s="7">
        <f t="shared" si="17"/>
        <v>-2.8999999999999915E-2</v>
      </c>
      <c r="J52" s="7">
        <f t="shared" si="18"/>
        <v>-1.100000000000001E-2</v>
      </c>
      <c r="K52" s="7">
        <f t="shared" si="19"/>
        <v>-0.78816047155478197</v>
      </c>
      <c r="L52" s="7">
        <f t="shared" si="20"/>
        <v>-0.43594300410752002</v>
      </c>
      <c r="M52" s="10">
        <f t="shared" si="21"/>
        <v>-7.0000000000000062E-3</v>
      </c>
      <c r="N52" s="1">
        <f t="shared" si="22"/>
        <v>-3.2258064516128927E-2</v>
      </c>
      <c r="O52" s="1">
        <f t="shared" si="23"/>
        <v>-3.5194174757281455E-2</v>
      </c>
      <c r="P52" s="1">
        <f t="shared" si="24"/>
        <v>-1.8867924528301903E-2</v>
      </c>
      <c r="Q52" s="1">
        <f t="shared" si="25"/>
        <v>-1</v>
      </c>
      <c r="R52" s="1">
        <f t="shared" si="26"/>
        <v>-1</v>
      </c>
      <c r="S52" s="1">
        <f t="shared" si="27"/>
        <v>-8.7719298245614117E-3</v>
      </c>
      <c r="T52" s="3"/>
    </row>
    <row r="53" spans="1:20">
      <c r="A53" t="s">
        <v>56</v>
      </c>
      <c r="B53" s="2">
        <v>0.56499999999999995</v>
      </c>
      <c r="C53" s="2">
        <v>0.48899999999999999</v>
      </c>
      <c r="D53" s="2">
        <v>0.318</v>
      </c>
      <c r="E53" s="2">
        <v>0.45764182026479699</v>
      </c>
      <c r="F53" s="2">
        <v>0.27268994928677698</v>
      </c>
      <c r="G53" s="8">
        <v>0.54</v>
      </c>
      <c r="H53" s="7">
        <f t="shared" si="16"/>
        <v>-0.27200000000000002</v>
      </c>
      <c r="I53" s="7">
        <f t="shared" si="17"/>
        <v>-0.33499999999999996</v>
      </c>
      <c r="J53" s="7">
        <f t="shared" si="18"/>
        <v>-0.26499999999999996</v>
      </c>
      <c r="K53" s="7">
        <f t="shared" si="19"/>
        <v>-0.33051865128998498</v>
      </c>
      <c r="L53" s="7">
        <f t="shared" si="20"/>
        <v>-0.16325305482074304</v>
      </c>
      <c r="M53" s="10">
        <f t="shared" si="21"/>
        <v>-0.25800000000000001</v>
      </c>
      <c r="N53" s="1">
        <f t="shared" si="22"/>
        <v>-0.32497013142174436</v>
      </c>
      <c r="O53" s="1">
        <f t="shared" si="23"/>
        <v>-0.40655339805825241</v>
      </c>
      <c r="P53" s="1">
        <f t="shared" si="24"/>
        <v>-0.45454545454545447</v>
      </c>
      <c r="Q53" s="1">
        <f t="shared" si="25"/>
        <v>-0.4193545137299009</v>
      </c>
      <c r="R53" s="1">
        <f t="shared" si="26"/>
        <v>-0.37448256602938551</v>
      </c>
      <c r="S53" s="1">
        <f t="shared" si="27"/>
        <v>-0.32330827067669171</v>
      </c>
      <c r="T53" s="3"/>
    </row>
    <row r="54" spans="1:20">
      <c r="A54" t="s">
        <v>57</v>
      </c>
      <c r="B54" s="2">
        <v>0.77500000000000002</v>
      </c>
      <c r="C54" s="2">
        <v>0.75800000000000001</v>
      </c>
      <c r="D54" s="2">
        <v>0.52900000000000003</v>
      </c>
      <c r="E54" s="2">
        <v>0.71748464071670404</v>
      </c>
      <c r="F54" s="2">
        <v>0.45734648356705998</v>
      </c>
      <c r="G54" s="8">
        <v>0.74199999999999999</v>
      </c>
      <c r="H54" s="7">
        <f t="shared" si="16"/>
        <v>-6.1999999999999944E-2</v>
      </c>
      <c r="I54" s="7">
        <f t="shared" si="17"/>
        <v>-6.5999999999999948E-2</v>
      </c>
      <c r="J54" s="7">
        <f t="shared" si="18"/>
        <v>-5.3999999999999937E-2</v>
      </c>
      <c r="K54" s="7">
        <f t="shared" si="19"/>
        <v>-7.0675830838077935E-2</v>
      </c>
      <c r="L54" s="7">
        <f t="shared" si="20"/>
        <v>2.1403479459539965E-2</v>
      </c>
      <c r="M54" s="10">
        <f t="shared" si="21"/>
        <v>-5.600000000000005E-2</v>
      </c>
      <c r="N54" s="1">
        <f t="shared" si="22"/>
        <v>-7.4074074074074014E-2</v>
      </c>
      <c r="O54" s="1">
        <f t="shared" si="23"/>
        <v>-8.0097087378640713E-2</v>
      </c>
      <c r="P54" s="1">
        <f t="shared" si="24"/>
        <v>-9.2624356775300065E-2</v>
      </c>
      <c r="Q54" s="1">
        <f t="shared" si="25"/>
        <v>-8.96718795078085E-2</v>
      </c>
      <c r="R54" s="1">
        <f t="shared" si="26"/>
        <v>4.9096967396822955E-2</v>
      </c>
      <c r="S54" s="1">
        <f t="shared" si="27"/>
        <v>-7.0175438596491294E-2</v>
      </c>
      <c r="T54" s="3"/>
    </row>
    <row r="55" spans="1:20">
      <c r="A55" t="s">
        <v>58</v>
      </c>
      <c r="B55" s="2">
        <v>0.54500000000000004</v>
      </c>
      <c r="C55" s="2">
        <v>0.497</v>
      </c>
      <c r="D55" s="2">
        <v>0.32900000000000001</v>
      </c>
      <c r="E55" s="2">
        <v>0.47481729674536</v>
      </c>
      <c r="F55" s="2">
        <v>0.28356003792372803</v>
      </c>
      <c r="G55" s="8">
        <v>0.53300000000000003</v>
      </c>
      <c r="H55" s="7">
        <f t="shared" si="16"/>
        <v>-0.29199999999999993</v>
      </c>
      <c r="I55" s="7">
        <f t="shared" si="17"/>
        <v>-0.32699999999999996</v>
      </c>
      <c r="J55" s="7">
        <f t="shared" si="18"/>
        <v>-0.25399999999999995</v>
      </c>
      <c r="K55" s="7">
        <f t="shared" si="19"/>
        <v>-0.31334317480942198</v>
      </c>
      <c r="L55" s="7">
        <f t="shared" si="20"/>
        <v>-0.15238296618379199</v>
      </c>
      <c r="M55" s="10">
        <f t="shared" si="21"/>
        <v>-0.26500000000000001</v>
      </c>
      <c r="N55" s="1">
        <f t="shared" si="22"/>
        <v>-0.34886499402628429</v>
      </c>
      <c r="O55" s="1">
        <f t="shared" si="23"/>
        <v>-0.39684466019417475</v>
      </c>
      <c r="P55" s="1">
        <f t="shared" si="24"/>
        <v>-0.43567753001715259</v>
      </c>
      <c r="Q55" s="1">
        <f t="shared" si="25"/>
        <v>-0.39756266156218001</v>
      </c>
      <c r="R55" s="1">
        <f t="shared" si="26"/>
        <v>-0.34954791050209993</v>
      </c>
      <c r="S55" s="1">
        <f t="shared" si="27"/>
        <v>-0.33208020050125314</v>
      </c>
      <c r="T55" s="3"/>
    </row>
    <row r="56" spans="1:20">
      <c r="A56" s="4" t="s">
        <v>59</v>
      </c>
      <c r="B56" s="2">
        <v>0.81</v>
      </c>
      <c r="C56" s="2">
        <v>0.79700000000000004</v>
      </c>
      <c r="D56" s="2">
        <v>0.56000000000000005</v>
      </c>
      <c r="E56" s="2">
        <v>0.76848270725795198</v>
      </c>
      <c r="F56" s="2">
        <v>0.48025052913229799</v>
      </c>
      <c r="G56" s="8">
        <v>0.78700000000000003</v>
      </c>
      <c r="H56" s="7">
        <f t="shared" si="16"/>
        <v>-2.6999999999999913E-2</v>
      </c>
      <c r="I56" s="7">
        <f t="shared" si="17"/>
        <v>-2.6999999999999913E-2</v>
      </c>
      <c r="J56" s="7">
        <f t="shared" si="18"/>
        <v>-2.2999999999999909E-2</v>
      </c>
      <c r="K56" s="7">
        <f t="shared" si="19"/>
        <v>-1.9677764296829992E-2</v>
      </c>
      <c r="L56" s="7">
        <f t="shared" si="20"/>
        <v>4.4307525024777972E-2</v>
      </c>
      <c r="M56" s="10">
        <f t="shared" si="21"/>
        <v>-1.100000000000001E-2</v>
      </c>
      <c r="N56" s="1">
        <f t="shared" si="22"/>
        <v>-3.2258064516128927E-2</v>
      </c>
      <c r="O56" s="1">
        <f t="shared" si="23"/>
        <v>-3.2766990291262031E-2</v>
      </c>
      <c r="P56" s="1">
        <f t="shared" si="24"/>
        <v>-3.9451114922812884E-2</v>
      </c>
      <c r="Q56" s="1">
        <f t="shared" si="25"/>
        <v>-2.496669778175023E-2</v>
      </c>
      <c r="R56" s="1">
        <f t="shared" si="26"/>
        <v>0.10163605014257796</v>
      </c>
      <c r="S56" s="1">
        <f t="shared" si="27"/>
        <v>-1.3784461152882217E-2</v>
      </c>
      <c r="T56" s="3"/>
    </row>
    <row r="57" spans="1:20">
      <c r="A57" t="s">
        <v>60</v>
      </c>
      <c r="B57" s="2">
        <v>0.55900000000000005</v>
      </c>
      <c r="C57" s="2">
        <v>0.502</v>
      </c>
      <c r="D57" s="2">
        <v>0.32100000000000001</v>
      </c>
      <c r="E57" s="2">
        <v>0.46720894379306999</v>
      </c>
      <c r="F57" s="2">
        <v>0.27640731510046201</v>
      </c>
      <c r="G57" s="8">
        <v>0.54200000000000004</v>
      </c>
      <c r="H57" s="7">
        <f t="shared" si="16"/>
        <v>-0.27799999999999991</v>
      </c>
      <c r="I57" s="7">
        <f t="shared" si="17"/>
        <v>-0.32199999999999995</v>
      </c>
      <c r="J57" s="7">
        <f t="shared" si="18"/>
        <v>-0.26199999999999996</v>
      </c>
      <c r="K57" s="7">
        <f t="shared" si="19"/>
        <v>-0.32095152776171199</v>
      </c>
      <c r="L57" s="7">
        <f t="shared" si="20"/>
        <v>-0.159535689007058</v>
      </c>
      <c r="M57" s="10">
        <f t="shared" si="21"/>
        <v>-0.25600000000000001</v>
      </c>
      <c r="N57" s="1">
        <f t="shared" si="22"/>
        <v>-0.33213859020310627</v>
      </c>
      <c r="O57" s="1">
        <f t="shared" si="23"/>
        <v>-0.39077669902912615</v>
      </c>
      <c r="P57" s="1">
        <f t="shared" si="24"/>
        <v>-0.44939965694682671</v>
      </c>
      <c r="Q57" s="1">
        <f t="shared" si="25"/>
        <v>-0.4072159659676664</v>
      </c>
      <c r="R57" s="1">
        <f t="shared" si="26"/>
        <v>-0.36595538293742286</v>
      </c>
      <c r="S57" s="1">
        <f t="shared" si="27"/>
        <v>-0.32080200501253131</v>
      </c>
      <c r="T57" s="3"/>
    </row>
    <row r="58" spans="1:20">
      <c r="A58" t="s">
        <v>61</v>
      </c>
      <c r="B58" s="2">
        <v>0.77</v>
      </c>
      <c r="C58" s="2">
        <v>0.75900000000000001</v>
      </c>
      <c r="D58" s="2">
        <v>0.52100000000000002</v>
      </c>
      <c r="E58" s="2">
        <v>0.72687609854120006</v>
      </c>
      <c r="F58" s="2">
        <v>0.45424820107410202</v>
      </c>
      <c r="G58" s="8">
        <v>0.751</v>
      </c>
      <c r="H58" s="7">
        <f t="shared" si="16"/>
        <v>-6.6999999999999948E-2</v>
      </c>
      <c r="I58" s="7">
        <f t="shared" si="17"/>
        <v>-6.4999999999999947E-2</v>
      </c>
      <c r="J58" s="7">
        <f t="shared" si="18"/>
        <v>-6.1999999999999944E-2</v>
      </c>
      <c r="K58" s="7">
        <f t="shared" si="19"/>
        <v>-6.1284373013581916E-2</v>
      </c>
      <c r="L58" s="7">
        <f t="shared" si="20"/>
        <v>1.8305196966582005E-2</v>
      </c>
      <c r="M58" s="10">
        <f t="shared" si="21"/>
        <v>-4.7000000000000042E-2</v>
      </c>
      <c r="N58" s="1">
        <f t="shared" si="22"/>
        <v>-8.0047789725209026E-2</v>
      </c>
      <c r="O58" s="1">
        <f t="shared" si="23"/>
        <v>-7.8883495145631005E-2</v>
      </c>
      <c r="P58" s="1">
        <f t="shared" si="24"/>
        <v>-0.10634648370497418</v>
      </c>
      <c r="Q58" s="1">
        <f t="shared" si="25"/>
        <v>-7.7756212377268749E-2</v>
      </c>
      <c r="R58" s="1">
        <f t="shared" si="26"/>
        <v>4.1989885820182246E-2</v>
      </c>
      <c r="S58" s="1">
        <f t="shared" si="27"/>
        <v>-5.8897243107769476E-2</v>
      </c>
      <c r="T58" s="3"/>
    </row>
    <row r="59" spans="1:20">
      <c r="A59" t="s">
        <v>62</v>
      </c>
      <c r="B59" s="2">
        <v>0.51</v>
      </c>
      <c r="C59" s="2">
        <v>0.46300000000000002</v>
      </c>
      <c r="D59" s="2">
        <v>0.30599999999999999</v>
      </c>
      <c r="E59" s="2">
        <v>0.43837466614142601</v>
      </c>
      <c r="F59" s="2">
        <v>0.25771044031571899</v>
      </c>
      <c r="G59" s="8">
        <v>0.496</v>
      </c>
      <c r="H59" s="7">
        <f t="shared" si="16"/>
        <v>-0.32699999999999996</v>
      </c>
      <c r="I59" s="7">
        <f t="shared" si="17"/>
        <v>-0.36099999999999993</v>
      </c>
      <c r="J59" s="7">
        <f t="shared" si="18"/>
        <v>-0.27699999999999997</v>
      </c>
      <c r="K59" s="7">
        <f t="shared" si="19"/>
        <v>-0.34978580541335597</v>
      </c>
      <c r="L59" s="7">
        <f t="shared" si="20"/>
        <v>-0.17823256379180102</v>
      </c>
      <c r="M59" s="10">
        <f t="shared" si="21"/>
        <v>-0.30200000000000005</v>
      </c>
      <c r="N59" s="1">
        <f t="shared" si="22"/>
        <v>-0.39068100358422936</v>
      </c>
      <c r="O59" s="1">
        <f t="shared" si="23"/>
        <v>-0.43810679611650477</v>
      </c>
      <c r="P59" s="1">
        <f t="shared" si="24"/>
        <v>-0.47512864493996565</v>
      </c>
      <c r="Q59" s="1">
        <f t="shared" si="25"/>
        <v>-0.44380023870436353</v>
      </c>
      <c r="R59" s="1">
        <f t="shared" si="26"/>
        <v>-0.40884372982813627</v>
      </c>
      <c r="S59" s="1">
        <f t="shared" si="27"/>
        <v>-0.37844611528822059</v>
      </c>
      <c r="T59" s="3"/>
    </row>
    <row r="60" spans="1:20">
      <c r="A60" s="5" t="s">
        <v>63</v>
      </c>
      <c r="B60" s="2">
        <v>0.80400000000000005</v>
      </c>
      <c r="C60" s="2">
        <v>0.79100000000000004</v>
      </c>
      <c r="D60" s="2">
        <v>0.55200000000000005</v>
      </c>
      <c r="E60" s="2">
        <v>0.76514295356953399</v>
      </c>
      <c r="F60" s="2">
        <v>0.47042134936108199</v>
      </c>
      <c r="G60" s="8">
        <v>0.78100000000000003</v>
      </c>
      <c r="H60" s="7">
        <f t="shared" si="16"/>
        <v>-3.2999999999999918E-2</v>
      </c>
      <c r="I60" s="7">
        <f t="shared" si="17"/>
        <v>-3.2999999999999918E-2</v>
      </c>
      <c r="J60" s="7">
        <f t="shared" si="18"/>
        <v>-3.0999999999999917E-2</v>
      </c>
      <c r="K60" s="7">
        <f t="shared" si="19"/>
        <v>-2.3017517985247982E-2</v>
      </c>
      <c r="L60" s="7">
        <f t="shared" si="20"/>
        <v>3.4478345253561971E-2</v>
      </c>
      <c r="M60" s="10">
        <f t="shared" si="21"/>
        <v>-1.7000000000000015E-2</v>
      </c>
      <c r="N60" s="1">
        <f t="shared" si="22"/>
        <v>-3.9426523297490947E-2</v>
      </c>
      <c r="O60" s="1">
        <f t="shared" si="23"/>
        <v>-4.0048543689320294E-2</v>
      </c>
      <c r="P60" s="1">
        <f t="shared" si="24"/>
        <v>-5.3173241852486994E-2</v>
      </c>
      <c r="Q60" s="1">
        <f t="shared" si="25"/>
        <v>-2.9204100961625203E-2</v>
      </c>
      <c r="R60" s="1">
        <f t="shared" si="26"/>
        <v>7.9089112403919457E-2</v>
      </c>
      <c r="S60" s="1">
        <f t="shared" si="27"/>
        <v>-2.1303258145363425E-2</v>
      </c>
      <c r="T60" s="3"/>
    </row>
    <row r="61" spans="1:20">
      <c r="A61" t="s">
        <v>64</v>
      </c>
      <c r="B61" s="2">
        <v>0.56299999999999994</v>
      </c>
      <c r="C61" s="2">
        <v>0.502</v>
      </c>
      <c r="D61" s="2">
        <v>0.32300000000000001</v>
      </c>
      <c r="E61" s="2">
        <v>0.46976137779338101</v>
      </c>
      <c r="F61" s="2">
        <v>0.27661869953808599</v>
      </c>
      <c r="G61" s="8">
        <v>0.54700000000000004</v>
      </c>
      <c r="H61" s="7">
        <f t="shared" si="16"/>
        <v>-0.27400000000000002</v>
      </c>
      <c r="I61" s="7">
        <f t="shared" si="17"/>
        <v>-0.32199999999999995</v>
      </c>
      <c r="J61" s="7">
        <f t="shared" si="18"/>
        <v>-0.25999999999999995</v>
      </c>
      <c r="K61" s="7">
        <f t="shared" si="19"/>
        <v>-0.31839909376140096</v>
      </c>
      <c r="L61" s="7">
        <f t="shared" si="20"/>
        <v>-0.15932430456943403</v>
      </c>
      <c r="M61" s="10">
        <f t="shared" si="21"/>
        <v>-0.251</v>
      </c>
      <c r="N61" s="1">
        <f t="shared" si="22"/>
        <v>-0.32735961768219835</v>
      </c>
      <c r="O61" s="1">
        <f t="shared" si="23"/>
        <v>-0.39077669902912615</v>
      </c>
      <c r="P61" s="1">
        <f t="shared" si="24"/>
        <v>-0.44596912521440818</v>
      </c>
      <c r="Q61" s="1">
        <f t="shared" si="25"/>
        <v>-0.40397749602096134</v>
      </c>
      <c r="R61" s="1">
        <f t="shared" si="26"/>
        <v>-0.3654704928586</v>
      </c>
      <c r="S61" s="1">
        <f t="shared" si="27"/>
        <v>-0.31453634085213034</v>
      </c>
      <c r="T61" s="3"/>
    </row>
    <row r="62" spans="1:20">
      <c r="A62" t="s">
        <v>65</v>
      </c>
      <c r="B62" s="2">
        <v>0.77200000000000002</v>
      </c>
      <c r="C62" s="2">
        <v>0.75600000000000001</v>
      </c>
      <c r="D62" s="2">
        <v>0.51900000000000002</v>
      </c>
      <c r="E62" s="2">
        <v>0.72260078869267197</v>
      </c>
      <c r="F62" s="2">
        <v>0.45185771094861898</v>
      </c>
      <c r="G62" s="8">
        <v>0.751</v>
      </c>
      <c r="H62" s="7">
        <f t="shared" si="16"/>
        <v>-6.4999999999999947E-2</v>
      </c>
      <c r="I62" s="7">
        <f t="shared" si="17"/>
        <v>-6.7999999999999949E-2</v>
      </c>
      <c r="J62" s="7">
        <f t="shared" si="18"/>
        <v>-6.3999999999999946E-2</v>
      </c>
      <c r="K62" s="7">
        <f t="shared" si="19"/>
        <v>-6.5559682862110003E-2</v>
      </c>
      <c r="L62" s="7">
        <f t="shared" si="20"/>
        <v>1.5914706841098969E-2</v>
      </c>
      <c r="M62" s="10">
        <f t="shared" si="21"/>
        <v>-4.7000000000000042E-2</v>
      </c>
      <c r="N62" s="1">
        <f t="shared" si="22"/>
        <v>-7.765830346475501E-2</v>
      </c>
      <c r="O62" s="1">
        <f t="shared" si="23"/>
        <v>-8.2524271844660144E-2</v>
      </c>
      <c r="P62" s="1">
        <f t="shared" si="24"/>
        <v>-0.10977701543739271</v>
      </c>
      <c r="Q62" s="1">
        <f t="shared" si="25"/>
        <v>-8.3180627839381821E-2</v>
      </c>
      <c r="R62" s="1">
        <f t="shared" si="26"/>
        <v>3.650639347609258E-2</v>
      </c>
      <c r="S62" s="1">
        <f t="shared" si="27"/>
        <v>-5.8897243107769476E-2</v>
      </c>
      <c r="T62" s="3"/>
    </row>
    <row r="63" spans="1:20">
      <c r="A63" t="s">
        <v>66</v>
      </c>
      <c r="B63" s="2">
        <v>0.51800000000000002</v>
      </c>
      <c r="C63" s="2">
        <v>0.47099999999999997</v>
      </c>
      <c r="D63" s="2">
        <v>0.311</v>
      </c>
      <c r="E63" s="2">
        <v>0.44685446395785799</v>
      </c>
      <c r="F63" s="2">
        <v>0.26177426201938497</v>
      </c>
      <c r="G63" s="8">
        <v>0.505</v>
      </c>
      <c r="H63" s="7">
        <f t="shared" si="16"/>
        <v>-0.31899999999999995</v>
      </c>
      <c r="I63" s="7">
        <f t="shared" si="17"/>
        <v>-0.35299999999999998</v>
      </c>
      <c r="J63" s="7">
        <f t="shared" si="18"/>
        <v>-0.27199999999999996</v>
      </c>
      <c r="K63" s="7">
        <f t="shared" si="19"/>
        <v>-0.34130600759692398</v>
      </c>
      <c r="L63" s="7">
        <f t="shared" si="20"/>
        <v>-0.17416874208813504</v>
      </c>
      <c r="M63" s="10">
        <f t="shared" si="21"/>
        <v>-0.29300000000000004</v>
      </c>
      <c r="N63" s="1">
        <f t="shared" si="22"/>
        <v>-0.38112305854241335</v>
      </c>
      <c r="O63" s="1">
        <f t="shared" si="23"/>
        <v>-0.42839805825242716</v>
      </c>
      <c r="P63" s="1">
        <f t="shared" si="24"/>
        <v>-0.46655231560891935</v>
      </c>
      <c r="Q63" s="1">
        <f t="shared" si="25"/>
        <v>-0.43304126496427714</v>
      </c>
      <c r="R63" s="1">
        <f t="shared" si="26"/>
        <v>-0.39952181924492691</v>
      </c>
      <c r="S63" s="1">
        <f t="shared" si="27"/>
        <v>-0.36716791979949875</v>
      </c>
      <c r="T63" s="3"/>
    </row>
    <row r="64" spans="1:20">
      <c r="A64" s="5" t="s">
        <v>67</v>
      </c>
      <c r="B64" s="2">
        <v>0.80300000000000005</v>
      </c>
      <c r="C64" s="2">
        <v>0.79300000000000004</v>
      </c>
      <c r="D64" s="2">
        <v>0.55400000000000005</v>
      </c>
      <c r="E64" s="2">
        <v>0.76617075065795104</v>
      </c>
      <c r="F64" s="2">
        <v>0.473076501969657</v>
      </c>
      <c r="G64" s="8">
        <v>0.78300000000000003</v>
      </c>
      <c r="H64" s="7">
        <f t="shared" si="16"/>
        <v>-3.3999999999999919E-2</v>
      </c>
      <c r="I64" s="7">
        <f t="shared" si="17"/>
        <v>-3.0999999999999917E-2</v>
      </c>
      <c r="J64" s="7">
        <f t="shared" si="18"/>
        <v>-2.8999999999999915E-2</v>
      </c>
      <c r="K64" s="7">
        <f t="shared" si="19"/>
        <v>-2.1989720896830933E-2</v>
      </c>
      <c r="L64" s="7">
        <f t="shared" si="20"/>
        <v>3.7133497862136988E-2</v>
      </c>
      <c r="M64" s="10">
        <f t="shared" si="21"/>
        <v>-1.5000000000000013E-2</v>
      </c>
      <c r="N64" s="1">
        <f t="shared" si="22"/>
        <v>-4.0621266427717947E-2</v>
      </c>
      <c r="O64" s="1">
        <f t="shared" si="23"/>
        <v>-3.7621359223300871E-2</v>
      </c>
      <c r="P64" s="1">
        <f t="shared" si="24"/>
        <v>-4.9742710120068465E-2</v>
      </c>
      <c r="Q64" s="1">
        <f t="shared" si="25"/>
        <v>-2.7900055496886858E-2</v>
      </c>
      <c r="R64" s="1">
        <f t="shared" si="26"/>
        <v>8.5179708155102007E-2</v>
      </c>
      <c r="S64" s="1">
        <f t="shared" si="27"/>
        <v>-1.8796992481203024E-2</v>
      </c>
      <c r="T64" s="3"/>
    </row>
    <row r="65" spans="1:20">
      <c r="A65" t="s">
        <v>68</v>
      </c>
      <c r="B65" s="2">
        <v>0.54600000000000004</v>
      </c>
      <c r="C65" s="2">
        <v>0.47799999999999998</v>
      </c>
      <c r="D65" s="2">
        <v>0.30599999999999999</v>
      </c>
      <c r="E65" s="2">
        <v>0.44812636868435801</v>
      </c>
      <c r="F65" s="2">
        <v>0.26402144599219302</v>
      </c>
      <c r="G65" s="8">
        <v>0.52700000000000002</v>
      </c>
      <c r="H65" s="7">
        <f t="shared" si="16"/>
        <v>-0.29099999999999993</v>
      </c>
      <c r="I65" s="7">
        <f t="shared" si="17"/>
        <v>-0.34599999999999997</v>
      </c>
      <c r="J65" s="7">
        <f t="shared" si="18"/>
        <v>-0.27699999999999997</v>
      </c>
      <c r="K65" s="7">
        <f t="shared" si="19"/>
        <v>-0.34003410287042396</v>
      </c>
      <c r="L65" s="7">
        <f t="shared" si="20"/>
        <v>-0.171921558115327</v>
      </c>
      <c r="M65" s="10">
        <f t="shared" si="21"/>
        <v>-0.27100000000000002</v>
      </c>
      <c r="N65" s="1">
        <f t="shared" si="22"/>
        <v>-0.3476702508960573</v>
      </c>
      <c r="O65" s="1">
        <f t="shared" si="23"/>
        <v>-0.4199029126213592</v>
      </c>
      <c r="P65" s="1">
        <f t="shared" si="24"/>
        <v>-0.47512864493996565</v>
      </c>
      <c r="Q65" s="1">
        <f t="shared" si="25"/>
        <v>-0.43142750130522056</v>
      </c>
      <c r="R65" s="1">
        <f t="shared" si="26"/>
        <v>-0.39436705370990344</v>
      </c>
      <c r="S65" s="1">
        <f t="shared" si="27"/>
        <v>-0.33959899749373434</v>
      </c>
      <c r="T65" s="3"/>
    </row>
    <row r="66" spans="1:20">
      <c r="A66" t="s">
        <v>69</v>
      </c>
      <c r="B66" s="2">
        <v>0.747</v>
      </c>
      <c r="C66" s="2">
        <v>0.73</v>
      </c>
      <c r="D66" s="2">
        <v>0.49299999999999999</v>
      </c>
      <c r="E66" s="2">
        <v>0.69429713111790203</v>
      </c>
      <c r="F66" s="2">
        <v>0.42910807706301501</v>
      </c>
      <c r="G66" s="8">
        <v>0.72699999999999998</v>
      </c>
      <c r="H66" s="7">
        <f t="shared" ref="H66:H97" si="28">B66-V$2</f>
        <v>-8.9999999999999969E-2</v>
      </c>
      <c r="I66" s="7">
        <f t="shared" ref="I66:I97" si="29">C66-W$2</f>
        <v>-9.3999999999999972E-2</v>
      </c>
      <c r="J66" s="7">
        <f t="shared" ref="J66:J97" si="30">D66-X$2</f>
        <v>-8.9999999999999969E-2</v>
      </c>
      <c r="K66" s="7">
        <f t="shared" ref="K66:K97" si="31">E66-Y$2</f>
        <v>-9.3863340436879938E-2</v>
      </c>
      <c r="L66" s="7">
        <f t="shared" ref="L66:L97" si="32">F66-Z$2</f>
        <v>-6.8349270445050014E-3</v>
      </c>
      <c r="M66" s="10">
        <f t="shared" ref="M66:M97" si="33">G66-AA$2</f>
        <v>-7.1000000000000063E-2</v>
      </c>
      <c r="N66" s="1">
        <f t="shared" ref="N66:N97" si="34">(B66-V$2)/V$2</f>
        <v>-0.10752688172043008</v>
      </c>
      <c r="O66" s="1">
        <f t="shared" ref="O66:O97" si="35">(C66-W$2)/W$2</f>
        <v>-0.1140776699029126</v>
      </c>
      <c r="P66" s="1">
        <f t="shared" ref="P66:P97" si="36">(D66-X$2)/X$2</f>
        <v>-0.15437392795883356</v>
      </c>
      <c r="Q66" s="1">
        <f t="shared" ref="Q66:Q97" si="37">(E66-Y$2)/Y$2</f>
        <v>-0.1190916619450838</v>
      </c>
      <c r="R66" s="1">
        <f t="shared" ref="R66:R97" si="38">(F66-Z$2)/Z$2</f>
        <v>-1.5678487738317391E-2</v>
      </c>
      <c r="S66" s="1">
        <f t="shared" ref="S66:S97" si="39">(G66-AA$2)/AA$2</f>
        <v>-8.8972431077694314E-2</v>
      </c>
      <c r="T66" s="3"/>
    </row>
    <row r="67" spans="1:20">
      <c r="A67" t="s">
        <v>70</v>
      </c>
      <c r="B67" s="2">
        <v>0.496</v>
      </c>
      <c r="C67" s="2">
        <v>0.443</v>
      </c>
      <c r="D67" s="2">
        <v>0.28999999999999998</v>
      </c>
      <c r="E67" s="2">
        <v>0.41688108026196902</v>
      </c>
      <c r="F67" s="2">
        <v>0.241230630014523</v>
      </c>
      <c r="G67" s="8">
        <v>0.48</v>
      </c>
      <c r="H67" s="7">
        <f t="shared" si="28"/>
        <v>-0.34099999999999997</v>
      </c>
      <c r="I67" s="7">
        <f t="shared" si="29"/>
        <v>-0.38099999999999995</v>
      </c>
      <c r="J67" s="7">
        <f t="shared" si="30"/>
        <v>-0.29299999999999998</v>
      </c>
      <c r="K67" s="7">
        <f t="shared" si="31"/>
        <v>-0.37127939129281295</v>
      </c>
      <c r="L67" s="7">
        <f t="shared" si="32"/>
        <v>-0.19471237409299702</v>
      </c>
      <c r="M67" s="10">
        <f t="shared" si="33"/>
        <v>-0.31800000000000006</v>
      </c>
      <c r="N67" s="1">
        <f t="shared" si="34"/>
        <v>-0.40740740740740738</v>
      </c>
      <c r="O67" s="1">
        <f t="shared" si="35"/>
        <v>-0.46237864077669899</v>
      </c>
      <c r="P67" s="1">
        <f t="shared" si="36"/>
        <v>-0.50257289879931388</v>
      </c>
      <c r="Q67" s="1">
        <f t="shared" si="37"/>
        <v>-0.47107080942590351</v>
      </c>
      <c r="R67" s="1">
        <f t="shared" si="38"/>
        <v>-0.44664640161302738</v>
      </c>
      <c r="S67" s="1">
        <f t="shared" si="39"/>
        <v>-0.39849624060150379</v>
      </c>
      <c r="T67" s="3"/>
    </row>
    <row r="68" spans="1:20">
      <c r="A68" s="5" t="s">
        <v>71</v>
      </c>
      <c r="B68" s="2">
        <v>0.79800000000000004</v>
      </c>
      <c r="C68" s="2">
        <v>0.78600000000000003</v>
      </c>
      <c r="D68" s="2">
        <v>0.54300000000000004</v>
      </c>
      <c r="E68" s="2">
        <v>0.75655107354623197</v>
      </c>
      <c r="F68" s="2">
        <v>0.46184439276394901</v>
      </c>
      <c r="G68" s="8">
        <v>0.77500000000000002</v>
      </c>
      <c r="H68" s="7">
        <f t="shared" si="28"/>
        <v>-3.8999999999999924E-2</v>
      </c>
      <c r="I68" s="7">
        <f t="shared" si="29"/>
        <v>-3.7999999999999923E-2</v>
      </c>
      <c r="J68" s="7">
        <f t="shared" si="30"/>
        <v>-3.9999999999999925E-2</v>
      </c>
      <c r="K68" s="7">
        <f t="shared" si="31"/>
        <v>-3.1609398008550005E-2</v>
      </c>
      <c r="L68" s="7">
        <f t="shared" si="32"/>
        <v>2.5901388656428992E-2</v>
      </c>
      <c r="M68" s="10">
        <f t="shared" si="33"/>
        <v>-2.300000000000002E-2</v>
      </c>
      <c r="N68" s="1">
        <f t="shared" si="34"/>
        <v>-4.6594982078852959E-2</v>
      </c>
      <c r="O68" s="1">
        <f t="shared" si="35"/>
        <v>-4.6116504854368842E-2</v>
      </c>
      <c r="P68" s="1">
        <f t="shared" si="36"/>
        <v>-6.8610634648370375E-2</v>
      </c>
      <c r="Q68" s="1">
        <f t="shared" si="37"/>
        <v>-4.0105282045158945E-2</v>
      </c>
      <c r="R68" s="1">
        <f t="shared" si="38"/>
        <v>5.9414621664718198E-2</v>
      </c>
      <c r="S68" s="1">
        <f t="shared" si="39"/>
        <v>-2.8822055137844634E-2</v>
      </c>
      <c r="T68" s="3"/>
    </row>
    <row r="69" spans="1:20">
      <c r="A69" t="s">
        <v>72</v>
      </c>
      <c r="B69" s="2">
        <v>0.56699999999999995</v>
      </c>
      <c r="C69" s="2">
        <v>0.50600000000000001</v>
      </c>
      <c r="D69" s="2">
        <v>0.33500000000000002</v>
      </c>
      <c r="E69" s="2">
        <v>0.48570906200568098</v>
      </c>
      <c r="F69" s="2">
        <v>0.296783957059229</v>
      </c>
      <c r="G69" s="8">
        <v>0.55400000000000005</v>
      </c>
      <c r="H69" s="7">
        <f t="shared" si="28"/>
        <v>-0.27</v>
      </c>
      <c r="I69" s="7">
        <f t="shared" si="29"/>
        <v>-0.31799999999999995</v>
      </c>
      <c r="J69" s="7">
        <f t="shared" si="30"/>
        <v>-0.24799999999999994</v>
      </c>
      <c r="K69" s="7">
        <f t="shared" si="31"/>
        <v>-0.30245140954910099</v>
      </c>
      <c r="L69" s="7">
        <f t="shared" si="32"/>
        <v>-0.13915904704829102</v>
      </c>
      <c r="M69" s="10">
        <f t="shared" si="33"/>
        <v>-0.24399999999999999</v>
      </c>
      <c r="N69" s="1">
        <f t="shared" si="34"/>
        <v>-0.32258064516129037</v>
      </c>
      <c r="O69" s="1">
        <f t="shared" si="35"/>
        <v>-0.38592233009708732</v>
      </c>
      <c r="P69" s="1">
        <f t="shared" si="36"/>
        <v>-0.425385934819897</v>
      </c>
      <c r="Q69" s="1">
        <f t="shared" si="37"/>
        <v>-0.38374343863307886</v>
      </c>
      <c r="R69" s="1">
        <f t="shared" si="38"/>
        <v>-0.31921385533685304</v>
      </c>
      <c r="S69" s="1">
        <f t="shared" si="39"/>
        <v>-0.30576441102756891</v>
      </c>
      <c r="T69" s="3"/>
    </row>
    <row r="70" spans="1:20">
      <c r="A70" t="s">
        <v>73</v>
      </c>
      <c r="B70" s="2">
        <v>0.78800000000000003</v>
      </c>
      <c r="C70" s="2">
        <v>0.77600000000000002</v>
      </c>
      <c r="D70" s="2">
        <v>0.55000000000000004</v>
      </c>
      <c r="E70" s="2">
        <v>0.74148774565766096</v>
      </c>
      <c r="F70" s="2">
        <v>0.47680858160332701</v>
      </c>
      <c r="G70" s="8">
        <v>0.76200000000000001</v>
      </c>
      <c r="H70" s="7">
        <f t="shared" si="28"/>
        <v>-4.8999999999999932E-2</v>
      </c>
      <c r="I70" s="7">
        <f t="shared" si="29"/>
        <v>-4.7999999999999932E-2</v>
      </c>
      <c r="J70" s="7">
        <f t="shared" si="30"/>
        <v>-3.2999999999999918E-2</v>
      </c>
      <c r="K70" s="7">
        <f t="shared" si="31"/>
        <v>-4.6672725897121015E-2</v>
      </c>
      <c r="L70" s="7">
        <f t="shared" si="32"/>
        <v>4.0865577495806993E-2</v>
      </c>
      <c r="M70" s="10">
        <f t="shared" si="33"/>
        <v>-3.6000000000000032E-2</v>
      </c>
      <c r="N70" s="1">
        <f t="shared" si="34"/>
        <v>-5.8542413381122982E-2</v>
      </c>
      <c r="O70" s="1">
        <f t="shared" si="35"/>
        <v>-5.8252427184465938E-2</v>
      </c>
      <c r="P70" s="1">
        <f t="shared" si="36"/>
        <v>-5.6603773584905523E-2</v>
      </c>
      <c r="Q70" s="1">
        <f t="shared" si="37"/>
        <v>-5.9217288333492595E-2</v>
      </c>
      <c r="R70" s="1">
        <f t="shared" si="38"/>
        <v>9.3740642952783795E-2</v>
      </c>
      <c r="S70" s="1">
        <f t="shared" si="39"/>
        <v>-4.5112781954887257E-2</v>
      </c>
      <c r="T70" s="3"/>
    </row>
    <row r="71" spans="1:20">
      <c r="A71" t="s">
        <v>74</v>
      </c>
      <c r="B71" s="2">
        <v>0.52500000000000002</v>
      </c>
      <c r="C71" s="2">
        <v>0.48199999999999998</v>
      </c>
      <c r="D71" s="2">
        <v>0.31900000000000001</v>
      </c>
      <c r="E71" s="2">
        <v>0.45741742104883198</v>
      </c>
      <c r="F71" s="2">
        <v>0.27325537357125201</v>
      </c>
      <c r="G71" s="8">
        <v>0.51200000000000001</v>
      </c>
      <c r="H71" s="7">
        <f t="shared" si="28"/>
        <v>-0.31199999999999994</v>
      </c>
      <c r="I71" s="7">
        <f t="shared" si="29"/>
        <v>-0.34199999999999997</v>
      </c>
      <c r="J71" s="7">
        <f t="shared" si="30"/>
        <v>-0.26399999999999996</v>
      </c>
      <c r="K71" s="7">
        <f t="shared" si="31"/>
        <v>-0.33074305050594999</v>
      </c>
      <c r="L71" s="7">
        <f t="shared" si="32"/>
        <v>-0.162687630536268</v>
      </c>
      <c r="M71" s="10">
        <f t="shared" si="33"/>
        <v>-0.28600000000000003</v>
      </c>
      <c r="N71" s="1">
        <f t="shared" si="34"/>
        <v>-0.37275985663082434</v>
      </c>
      <c r="O71" s="1">
        <f t="shared" si="35"/>
        <v>-0.41504854368932037</v>
      </c>
      <c r="P71" s="1">
        <f t="shared" si="36"/>
        <v>-0.45283018867924524</v>
      </c>
      <c r="Q71" s="1">
        <f t="shared" si="37"/>
        <v>-0.41963922632849437</v>
      </c>
      <c r="R71" s="1">
        <f t="shared" si="38"/>
        <v>-0.37318555178865326</v>
      </c>
      <c r="S71" s="1">
        <f t="shared" si="39"/>
        <v>-0.35839598997493738</v>
      </c>
      <c r="T71" s="3"/>
    </row>
    <row r="72" spans="1:20">
      <c r="A72" s="5" t="s">
        <v>75</v>
      </c>
      <c r="B72" s="2">
        <v>0.81200000000000006</v>
      </c>
      <c r="C72" s="2">
        <v>0.79700000000000004</v>
      </c>
      <c r="D72" s="2">
        <v>0.56200000000000006</v>
      </c>
      <c r="E72" s="2">
        <v>0.76941738078039101</v>
      </c>
      <c r="F72" s="2">
        <v>0.48286467843200498</v>
      </c>
      <c r="G72" s="8">
        <v>0.79</v>
      </c>
      <c r="H72" s="7">
        <f t="shared" si="28"/>
        <v>-2.4999999999999911E-2</v>
      </c>
      <c r="I72" s="7">
        <f t="shared" si="29"/>
        <v>-2.6999999999999913E-2</v>
      </c>
      <c r="J72" s="7">
        <f t="shared" si="30"/>
        <v>-2.0999999999999908E-2</v>
      </c>
      <c r="K72" s="7">
        <f t="shared" si="31"/>
        <v>-1.8743090774390958E-2</v>
      </c>
      <c r="L72" s="7">
        <f t="shared" si="32"/>
        <v>4.6921674324484963E-2</v>
      </c>
      <c r="M72" s="10">
        <f t="shared" si="33"/>
        <v>-8.0000000000000071E-3</v>
      </c>
      <c r="N72" s="1">
        <f t="shared" si="34"/>
        <v>-2.9868578255674925E-2</v>
      </c>
      <c r="O72" s="1">
        <f t="shared" si="35"/>
        <v>-3.2766990291262031E-2</v>
      </c>
      <c r="P72" s="1">
        <f t="shared" si="36"/>
        <v>-3.6020583190394355E-2</v>
      </c>
      <c r="Q72" s="1">
        <f t="shared" si="37"/>
        <v>-2.3780805370024444E-2</v>
      </c>
      <c r="R72" s="1">
        <f t="shared" si="38"/>
        <v>0.10763258931186405</v>
      </c>
      <c r="S72" s="1">
        <f t="shared" si="39"/>
        <v>-1.0025062656641612E-2</v>
      </c>
      <c r="T72" s="3"/>
    </row>
    <row r="73" spans="1:20">
      <c r="A73" t="s">
        <v>77</v>
      </c>
      <c r="B73" s="2">
        <v>0.10299999999999999</v>
      </c>
      <c r="C73" s="2">
        <v>2.8000000000000001E-2</v>
      </c>
      <c r="D73" s="2">
        <v>6.0000000000000001E-3</v>
      </c>
      <c r="E73">
        <v>0</v>
      </c>
      <c r="F73">
        <v>0</v>
      </c>
      <c r="G73" s="8">
        <v>0</v>
      </c>
      <c r="H73" s="7">
        <f t="shared" si="28"/>
        <v>-0.73399999999999999</v>
      </c>
      <c r="I73" s="7">
        <f t="shared" si="29"/>
        <v>-0.79599999999999993</v>
      </c>
      <c r="J73" s="7">
        <f t="shared" si="30"/>
        <v>-0.57699999999999996</v>
      </c>
      <c r="K73" s="7">
        <f t="shared" si="31"/>
        <v>-0.78816047155478197</v>
      </c>
      <c r="L73" s="7">
        <f t="shared" si="32"/>
        <v>-0.43594300410752002</v>
      </c>
      <c r="M73" s="10">
        <f t="shared" si="33"/>
        <v>-0.79800000000000004</v>
      </c>
      <c r="N73" s="1">
        <f t="shared" si="34"/>
        <v>-0.8769414575866189</v>
      </c>
      <c r="O73" s="1">
        <f t="shared" si="35"/>
        <v>-0.96601941747572817</v>
      </c>
      <c r="P73" s="1">
        <f t="shared" si="36"/>
        <v>-0.98970840480274447</v>
      </c>
      <c r="Q73" s="1">
        <f t="shared" si="37"/>
        <v>-1</v>
      </c>
      <c r="R73" s="1">
        <f t="shared" si="38"/>
        <v>-1</v>
      </c>
      <c r="S73" s="1">
        <f t="shared" si="39"/>
        <v>-1</v>
      </c>
      <c r="T73" s="3"/>
    </row>
    <row r="74" spans="1:20">
      <c r="A74" t="s">
        <v>76</v>
      </c>
      <c r="B74" s="2">
        <v>0</v>
      </c>
      <c r="C74" s="2">
        <v>0</v>
      </c>
      <c r="D74" s="2">
        <v>0</v>
      </c>
      <c r="E74">
        <v>0</v>
      </c>
      <c r="F74">
        <v>0</v>
      </c>
      <c r="G74" s="8">
        <v>0</v>
      </c>
      <c r="H74" s="7">
        <f t="shared" si="28"/>
        <v>-0.83699999999999997</v>
      </c>
      <c r="I74" s="7">
        <f t="shared" si="29"/>
        <v>-0.82399999999999995</v>
      </c>
      <c r="J74" s="7">
        <f t="shared" si="30"/>
        <v>-0.58299999999999996</v>
      </c>
      <c r="K74" s="7">
        <f t="shared" si="31"/>
        <v>-0.78816047155478197</v>
      </c>
      <c r="L74" s="7">
        <f t="shared" si="32"/>
        <v>-0.43594300410752002</v>
      </c>
      <c r="M74" s="10">
        <f t="shared" si="33"/>
        <v>-0.79800000000000004</v>
      </c>
      <c r="N74" s="1">
        <f t="shared" si="34"/>
        <v>-1</v>
      </c>
      <c r="O74" s="1">
        <f t="shared" si="35"/>
        <v>-1</v>
      </c>
      <c r="P74" s="1">
        <f t="shared" si="36"/>
        <v>-1</v>
      </c>
      <c r="Q74" s="1">
        <f t="shared" si="37"/>
        <v>-1</v>
      </c>
      <c r="R74" s="1">
        <f t="shared" si="38"/>
        <v>-1</v>
      </c>
      <c r="S74" s="1">
        <f t="shared" si="39"/>
        <v>-1</v>
      </c>
      <c r="T74" s="3"/>
    </row>
    <row r="75" spans="1:20">
      <c r="A75" t="s">
        <v>78</v>
      </c>
      <c r="B75" s="2">
        <v>0.79200000000000004</v>
      </c>
      <c r="C75" s="2">
        <v>0.77900000000000003</v>
      </c>
      <c r="D75" s="2">
        <v>0.55800000000000005</v>
      </c>
      <c r="E75">
        <v>0.749</v>
      </c>
      <c r="F75">
        <v>0.49199999999999999</v>
      </c>
      <c r="G75" s="8">
        <v>0.76400000000000001</v>
      </c>
      <c r="H75" s="7">
        <f t="shared" si="28"/>
        <v>-4.4999999999999929E-2</v>
      </c>
      <c r="I75" s="7">
        <f t="shared" si="29"/>
        <v>-4.4999999999999929E-2</v>
      </c>
      <c r="J75" s="7">
        <f t="shared" si="30"/>
        <v>-2.4999999999999911E-2</v>
      </c>
      <c r="K75" s="7">
        <f t="shared" si="31"/>
        <v>-3.9160471554781973E-2</v>
      </c>
      <c r="L75" s="7">
        <f t="shared" si="32"/>
        <v>5.6056995892479977E-2</v>
      </c>
      <c r="M75" s="10">
        <f t="shared" si="33"/>
        <v>-3.400000000000003E-2</v>
      </c>
      <c r="N75" s="1">
        <f t="shared" si="34"/>
        <v>-5.3763440860214971E-2</v>
      </c>
      <c r="O75" s="1">
        <f t="shared" si="35"/>
        <v>-5.4611650485436813E-2</v>
      </c>
      <c r="P75" s="1">
        <f t="shared" si="36"/>
        <v>-4.2881646655231413E-2</v>
      </c>
      <c r="Q75" s="1">
        <f t="shared" si="37"/>
        <v>-4.9685911648843811E-2</v>
      </c>
      <c r="R75" s="1">
        <f t="shared" si="38"/>
        <v>0.1285879010886804</v>
      </c>
      <c r="S75" s="1">
        <f t="shared" si="39"/>
        <v>-4.2606516290726849E-2</v>
      </c>
      <c r="T75" s="3"/>
    </row>
    <row r="76" spans="1:20">
      <c r="A76" t="s">
        <v>79</v>
      </c>
      <c r="B76" s="2">
        <v>0.65700000000000003</v>
      </c>
      <c r="C76" s="2">
        <v>0.61899999999999999</v>
      </c>
      <c r="D76" s="2">
        <v>0.36699999999999999</v>
      </c>
      <c r="E76">
        <v>0.56499999999999995</v>
      </c>
      <c r="F76">
        <v>0.316</v>
      </c>
      <c r="G76" s="8">
        <v>0.628</v>
      </c>
      <c r="H76" s="7">
        <f t="shared" si="28"/>
        <v>-0.17999999999999994</v>
      </c>
      <c r="I76" s="7">
        <f t="shared" si="29"/>
        <v>-0.20499999999999996</v>
      </c>
      <c r="J76" s="7">
        <f t="shared" si="30"/>
        <v>-0.21599999999999997</v>
      </c>
      <c r="K76" s="7">
        <f t="shared" si="31"/>
        <v>-0.22316047155478203</v>
      </c>
      <c r="L76" s="7">
        <f t="shared" si="32"/>
        <v>-0.11994300410752001</v>
      </c>
      <c r="M76" s="10">
        <f t="shared" si="33"/>
        <v>-0.17000000000000004</v>
      </c>
      <c r="N76" s="1">
        <f t="shared" si="34"/>
        <v>-0.21505376344086016</v>
      </c>
      <c r="O76" s="1">
        <f t="shared" si="35"/>
        <v>-0.24878640776699026</v>
      </c>
      <c r="P76" s="1">
        <f t="shared" si="36"/>
        <v>-0.37049742710120065</v>
      </c>
      <c r="Q76" s="1">
        <f t="shared" si="37"/>
        <v>-0.28314090798611058</v>
      </c>
      <c r="R76" s="1">
        <f t="shared" si="38"/>
        <v>-0.27513460011377439</v>
      </c>
      <c r="S76" s="1">
        <f t="shared" si="39"/>
        <v>-0.21303258145363413</v>
      </c>
      <c r="T76" s="3"/>
    </row>
    <row r="77" spans="1:20">
      <c r="A77" t="s">
        <v>81</v>
      </c>
      <c r="B77" s="2">
        <v>0.10299999999999999</v>
      </c>
      <c r="C77" s="2">
        <v>2.8000000000000001E-2</v>
      </c>
      <c r="D77" s="2">
        <v>6.0000000000000001E-3</v>
      </c>
      <c r="E77" s="2">
        <v>0</v>
      </c>
      <c r="F77" s="2">
        <v>0</v>
      </c>
      <c r="G77" s="8">
        <v>0</v>
      </c>
      <c r="H77" s="7">
        <f t="shared" si="28"/>
        <v>-0.73399999999999999</v>
      </c>
      <c r="I77" s="7">
        <f t="shared" si="29"/>
        <v>-0.79599999999999993</v>
      </c>
      <c r="J77" s="7">
        <f t="shared" si="30"/>
        <v>-0.57699999999999996</v>
      </c>
      <c r="K77" s="7">
        <f t="shared" si="31"/>
        <v>-0.78816047155478197</v>
      </c>
      <c r="L77" s="7">
        <f t="shared" si="32"/>
        <v>-0.43594300410752002</v>
      </c>
      <c r="M77" s="10">
        <f t="shared" si="33"/>
        <v>-0.79800000000000004</v>
      </c>
      <c r="N77" s="1">
        <f t="shared" si="34"/>
        <v>-0.8769414575866189</v>
      </c>
      <c r="O77" s="1">
        <f t="shared" si="35"/>
        <v>-0.96601941747572817</v>
      </c>
      <c r="P77" s="1">
        <f t="shared" si="36"/>
        <v>-0.98970840480274447</v>
      </c>
      <c r="Q77" s="1">
        <f t="shared" si="37"/>
        <v>-1</v>
      </c>
      <c r="R77" s="1">
        <f t="shared" si="38"/>
        <v>-1</v>
      </c>
      <c r="S77" s="1">
        <f t="shared" si="39"/>
        <v>-1</v>
      </c>
      <c r="T77" s="3"/>
    </row>
    <row r="78" spans="1:20">
      <c r="A78" t="s">
        <v>80</v>
      </c>
      <c r="B78" s="2">
        <v>0</v>
      </c>
      <c r="C78" s="2">
        <v>0</v>
      </c>
      <c r="D78" s="2">
        <v>0</v>
      </c>
      <c r="E78" s="2">
        <v>0</v>
      </c>
      <c r="F78" s="2">
        <v>0</v>
      </c>
      <c r="G78" s="8">
        <v>0</v>
      </c>
      <c r="H78" s="7">
        <f t="shared" si="28"/>
        <v>-0.83699999999999997</v>
      </c>
      <c r="I78" s="7">
        <f t="shared" si="29"/>
        <v>-0.82399999999999995</v>
      </c>
      <c r="J78" s="7">
        <f t="shared" si="30"/>
        <v>-0.58299999999999996</v>
      </c>
      <c r="K78" s="7">
        <f t="shared" si="31"/>
        <v>-0.78816047155478197</v>
      </c>
      <c r="L78" s="7">
        <f t="shared" si="32"/>
        <v>-0.43594300410752002</v>
      </c>
      <c r="M78" s="10">
        <f t="shared" si="33"/>
        <v>-0.79800000000000004</v>
      </c>
      <c r="N78" s="1">
        <f t="shared" si="34"/>
        <v>-1</v>
      </c>
      <c r="O78" s="1">
        <f t="shared" si="35"/>
        <v>-1</v>
      </c>
      <c r="P78" s="1">
        <f t="shared" si="36"/>
        <v>-1</v>
      </c>
      <c r="Q78" s="1">
        <f t="shared" si="37"/>
        <v>-1</v>
      </c>
      <c r="R78" s="1">
        <f t="shared" si="38"/>
        <v>-1</v>
      </c>
      <c r="S78" s="1">
        <f t="shared" si="39"/>
        <v>-1</v>
      </c>
      <c r="T78" s="3"/>
    </row>
    <row r="79" spans="1:20">
      <c r="A79" t="s">
        <v>82</v>
      </c>
      <c r="B79" s="2">
        <v>0.78600000000000003</v>
      </c>
      <c r="C79" s="2">
        <v>0.77800000000000002</v>
      </c>
      <c r="D79" s="2">
        <v>0.55200000000000005</v>
      </c>
      <c r="E79" s="2">
        <v>0.746</v>
      </c>
      <c r="F79" s="2">
        <v>0.48299999999999998</v>
      </c>
      <c r="G79" s="8">
        <v>0.75900000000000001</v>
      </c>
      <c r="H79" s="7">
        <f t="shared" si="28"/>
        <v>-5.0999999999999934E-2</v>
      </c>
      <c r="I79" s="7">
        <f t="shared" si="29"/>
        <v>-4.599999999999993E-2</v>
      </c>
      <c r="J79" s="7">
        <f t="shared" si="30"/>
        <v>-3.0999999999999917E-2</v>
      </c>
      <c r="K79" s="7">
        <f t="shared" si="31"/>
        <v>-4.2160471554781975E-2</v>
      </c>
      <c r="L79" s="7">
        <f t="shared" si="32"/>
        <v>4.7056995892479969E-2</v>
      </c>
      <c r="M79" s="10">
        <f t="shared" si="33"/>
        <v>-3.9000000000000035E-2</v>
      </c>
      <c r="N79" s="1">
        <f t="shared" si="34"/>
        <v>-6.0931899641576984E-2</v>
      </c>
      <c r="O79" s="1">
        <f t="shared" si="35"/>
        <v>-5.5825242718446522E-2</v>
      </c>
      <c r="P79" s="1">
        <f t="shared" si="36"/>
        <v>-5.3173241852486994E-2</v>
      </c>
      <c r="Q79" s="1">
        <f t="shared" si="37"/>
        <v>-5.3492243110864465E-2</v>
      </c>
      <c r="R79" s="1">
        <f t="shared" si="38"/>
        <v>0.1079430004590094</v>
      </c>
      <c r="S79" s="1">
        <f t="shared" si="39"/>
        <v>-4.8872180451127858E-2</v>
      </c>
      <c r="T79" s="3"/>
    </row>
    <row r="80" spans="1:20">
      <c r="A80" t="s">
        <v>83</v>
      </c>
      <c r="B80" s="2">
        <v>0.66600000000000004</v>
      </c>
      <c r="C80" s="2">
        <v>0.63100000000000001</v>
      </c>
      <c r="D80" s="2">
        <v>0.38100000000000001</v>
      </c>
      <c r="E80" s="2">
        <v>0.59</v>
      </c>
      <c r="F80" s="2">
        <v>0.33500000000000002</v>
      </c>
      <c r="G80" s="8">
        <v>0.63800000000000001</v>
      </c>
      <c r="H80" s="7">
        <f t="shared" si="28"/>
        <v>-0.17099999999999993</v>
      </c>
      <c r="I80" s="7">
        <f t="shared" si="29"/>
        <v>-0.19299999999999995</v>
      </c>
      <c r="J80" s="7">
        <f t="shared" si="30"/>
        <v>-0.20199999999999996</v>
      </c>
      <c r="K80" s="7">
        <f t="shared" si="31"/>
        <v>-0.198160471554782</v>
      </c>
      <c r="L80" s="7">
        <f t="shared" si="32"/>
        <v>-0.10094300410752</v>
      </c>
      <c r="M80" s="10">
        <f t="shared" si="33"/>
        <v>-0.16000000000000003</v>
      </c>
      <c r="N80" s="1">
        <f t="shared" si="34"/>
        <v>-0.20430107526881713</v>
      </c>
      <c r="O80" s="1">
        <f t="shared" si="35"/>
        <v>-0.23422330097087374</v>
      </c>
      <c r="P80" s="1">
        <f t="shared" si="36"/>
        <v>-0.34648370497427095</v>
      </c>
      <c r="Q80" s="1">
        <f t="shared" si="37"/>
        <v>-0.25142147913593843</v>
      </c>
      <c r="R80" s="1">
        <f t="shared" si="38"/>
        <v>-0.23155092100669114</v>
      </c>
      <c r="S80" s="1">
        <f t="shared" si="39"/>
        <v>-0.2005012531328321</v>
      </c>
      <c r="T80" s="3"/>
    </row>
    <row r="81" spans="1:20">
      <c r="A81" t="s">
        <v>85</v>
      </c>
      <c r="B81" s="2">
        <v>5.0000000000000001E-3</v>
      </c>
      <c r="C81" s="2">
        <v>2E-3</v>
      </c>
      <c r="D81" s="2">
        <v>1E-3</v>
      </c>
      <c r="E81">
        <v>0</v>
      </c>
      <c r="F81">
        <v>0</v>
      </c>
      <c r="G81" s="8">
        <v>0</v>
      </c>
      <c r="H81" s="7">
        <f t="shared" si="28"/>
        <v>-0.83199999999999996</v>
      </c>
      <c r="I81" s="7">
        <f t="shared" si="29"/>
        <v>-0.82199999999999995</v>
      </c>
      <c r="J81" s="7">
        <f t="shared" si="30"/>
        <v>-0.58199999999999996</v>
      </c>
      <c r="K81" s="7">
        <f t="shared" si="31"/>
        <v>-0.78816047155478197</v>
      </c>
      <c r="L81" s="7">
        <f t="shared" si="32"/>
        <v>-0.43594300410752002</v>
      </c>
      <c r="M81" s="10">
        <f t="shared" si="33"/>
        <v>-0.79800000000000004</v>
      </c>
      <c r="N81" s="1">
        <f t="shared" si="34"/>
        <v>-0.99402628434886497</v>
      </c>
      <c r="O81" s="1">
        <f t="shared" si="35"/>
        <v>-0.99757281553398058</v>
      </c>
      <c r="P81" s="1">
        <f t="shared" si="36"/>
        <v>-0.99828473413379071</v>
      </c>
      <c r="Q81" s="1">
        <f t="shared" si="37"/>
        <v>-1</v>
      </c>
      <c r="R81" s="1">
        <f t="shared" si="38"/>
        <v>-1</v>
      </c>
      <c r="S81" s="1">
        <f t="shared" si="39"/>
        <v>-1</v>
      </c>
      <c r="T81" s="3"/>
    </row>
    <row r="82" spans="1:20">
      <c r="A82" t="s">
        <v>84</v>
      </c>
      <c r="B82" s="2">
        <v>3.0000000000000001E-3</v>
      </c>
      <c r="C82" s="2">
        <v>1E-3</v>
      </c>
      <c r="D82" s="2">
        <v>0</v>
      </c>
      <c r="E82">
        <v>0</v>
      </c>
      <c r="F82">
        <v>0</v>
      </c>
      <c r="G82" s="8">
        <v>0</v>
      </c>
      <c r="H82" s="7">
        <f t="shared" si="28"/>
        <v>-0.83399999999999996</v>
      </c>
      <c r="I82" s="7">
        <f t="shared" si="29"/>
        <v>-0.82299999999999995</v>
      </c>
      <c r="J82" s="7">
        <f t="shared" si="30"/>
        <v>-0.58299999999999996</v>
      </c>
      <c r="K82" s="7">
        <f t="shared" si="31"/>
        <v>-0.78816047155478197</v>
      </c>
      <c r="L82" s="7">
        <f t="shared" si="32"/>
        <v>-0.43594300410752002</v>
      </c>
      <c r="M82" s="10">
        <f t="shared" si="33"/>
        <v>-0.79800000000000004</v>
      </c>
      <c r="N82" s="1">
        <f t="shared" si="34"/>
        <v>-0.99641577060931896</v>
      </c>
      <c r="O82" s="1">
        <f t="shared" si="35"/>
        <v>-0.99878640776699024</v>
      </c>
      <c r="P82" s="1">
        <f t="shared" si="36"/>
        <v>-1</v>
      </c>
      <c r="Q82" s="1">
        <f t="shared" si="37"/>
        <v>-1</v>
      </c>
      <c r="R82" s="1">
        <f t="shared" si="38"/>
        <v>-1</v>
      </c>
      <c r="S82" s="1">
        <f t="shared" si="39"/>
        <v>-1</v>
      </c>
      <c r="T82" s="3"/>
    </row>
    <row r="83" spans="1:20">
      <c r="A83" t="s">
        <v>86</v>
      </c>
      <c r="B83" s="2">
        <v>0.78200000000000003</v>
      </c>
      <c r="C83" s="2">
        <v>0.76</v>
      </c>
      <c r="D83" s="2">
        <v>0.53900000000000003</v>
      </c>
      <c r="E83">
        <v>0.73499999999999999</v>
      </c>
      <c r="F83">
        <v>0.47599999999999998</v>
      </c>
      <c r="G83" s="8">
        <v>0.755</v>
      </c>
      <c r="H83" s="7">
        <f t="shared" si="28"/>
        <v>-5.4999999999999938E-2</v>
      </c>
      <c r="I83" s="7">
        <f t="shared" si="29"/>
        <v>-6.3999999999999946E-2</v>
      </c>
      <c r="J83" s="7">
        <f t="shared" si="30"/>
        <v>-4.3999999999999928E-2</v>
      </c>
      <c r="K83" s="7">
        <f t="shared" si="31"/>
        <v>-5.3160471554781985E-2</v>
      </c>
      <c r="L83" s="7">
        <f t="shared" si="32"/>
        <v>4.0056995892479963E-2</v>
      </c>
      <c r="M83" s="10">
        <f t="shared" si="33"/>
        <v>-4.3000000000000038E-2</v>
      </c>
      <c r="N83" s="1">
        <f t="shared" si="34"/>
        <v>-6.5710872162484987E-2</v>
      </c>
      <c r="O83" s="1">
        <f t="shared" si="35"/>
        <v>-7.7669902912621297E-2</v>
      </c>
      <c r="P83" s="1">
        <f t="shared" si="36"/>
        <v>-7.5471698113207433E-2</v>
      </c>
      <c r="Q83" s="1">
        <f t="shared" si="37"/>
        <v>-6.7448791804940206E-2</v>
      </c>
      <c r="R83" s="1">
        <f t="shared" si="38"/>
        <v>9.1885855524820842E-2</v>
      </c>
      <c r="S83" s="1">
        <f t="shared" si="39"/>
        <v>-5.3884711779448667E-2</v>
      </c>
      <c r="T83" s="3"/>
    </row>
    <row r="84" spans="1:20">
      <c r="A84" t="s">
        <v>87</v>
      </c>
      <c r="B84" s="2">
        <v>0.61899999999999999</v>
      </c>
      <c r="C84" s="2">
        <v>0.58799999999999997</v>
      </c>
      <c r="D84" s="2">
        <v>0.34300000000000003</v>
      </c>
      <c r="E84">
        <v>0.54</v>
      </c>
      <c r="F84">
        <v>0.29499999999999998</v>
      </c>
      <c r="G84" s="8">
        <v>0.59299999999999997</v>
      </c>
      <c r="H84" s="7">
        <f t="shared" si="28"/>
        <v>-0.21799999999999997</v>
      </c>
      <c r="I84" s="7">
        <f t="shared" si="29"/>
        <v>-0.23599999999999999</v>
      </c>
      <c r="J84" s="7">
        <f t="shared" si="30"/>
        <v>-0.23999999999999994</v>
      </c>
      <c r="K84" s="7">
        <f t="shared" si="31"/>
        <v>-0.24816047155478194</v>
      </c>
      <c r="L84" s="7">
        <f t="shared" si="32"/>
        <v>-0.14094300410752003</v>
      </c>
      <c r="M84" s="10">
        <f t="shared" si="33"/>
        <v>-0.20500000000000007</v>
      </c>
      <c r="N84" s="1">
        <f t="shared" si="34"/>
        <v>-0.26045400238948624</v>
      </c>
      <c r="O84" s="1">
        <f t="shared" si="35"/>
        <v>-0.28640776699029125</v>
      </c>
      <c r="P84" s="1">
        <f t="shared" si="36"/>
        <v>-0.41166380789022289</v>
      </c>
      <c r="Q84" s="1">
        <f t="shared" si="37"/>
        <v>-0.31486033683628256</v>
      </c>
      <c r="R84" s="1">
        <f t="shared" si="38"/>
        <v>-0.32330603491634002</v>
      </c>
      <c r="S84" s="1">
        <f t="shared" si="39"/>
        <v>-0.25689223057644117</v>
      </c>
      <c r="T84" s="3"/>
    </row>
    <row r="85" spans="1:20">
      <c r="A85" t="s">
        <v>89</v>
      </c>
      <c r="B85" s="2">
        <v>5.0000000000000001E-3</v>
      </c>
      <c r="C85" s="2">
        <v>2E-3</v>
      </c>
      <c r="D85" s="2">
        <v>1E-3</v>
      </c>
      <c r="E85" s="2">
        <v>0</v>
      </c>
      <c r="F85" s="2">
        <v>0</v>
      </c>
      <c r="G85" s="8">
        <v>0</v>
      </c>
      <c r="H85" s="7">
        <f t="shared" si="28"/>
        <v>-0.83199999999999996</v>
      </c>
      <c r="I85" s="7">
        <f t="shared" si="29"/>
        <v>-0.82199999999999995</v>
      </c>
      <c r="J85" s="7">
        <f t="shared" si="30"/>
        <v>-0.58199999999999996</v>
      </c>
      <c r="K85" s="7">
        <f t="shared" si="31"/>
        <v>-0.78816047155478197</v>
      </c>
      <c r="L85" s="7">
        <f t="shared" si="32"/>
        <v>-0.43594300410752002</v>
      </c>
      <c r="M85" s="10">
        <f t="shared" si="33"/>
        <v>-0.79800000000000004</v>
      </c>
      <c r="N85" s="1">
        <f t="shared" si="34"/>
        <v>-0.99402628434886497</v>
      </c>
      <c r="O85" s="1">
        <f t="shared" si="35"/>
        <v>-0.99757281553398058</v>
      </c>
      <c r="P85" s="1">
        <f t="shared" si="36"/>
        <v>-0.99828473413379071</v>
      </c>
      <c r="Q85" s="1">
        <f t="shared" si="37"/>
        <v>-1</v>
      </c>
      <c r="R85" s="1">
        <f t="shared" si="38"/>
        <v>-1</v>
      </c>
      <c r="S85" s="1">
        <f t="shared" si="39"/>
        <v>-1</v>
      </c>
      <c r="T85" s="3"/>
    </row>
    <row r="86" spans="1:20">
      <c r="A86" t="s">
        <v>88</v>
      </c>
      <c r="B86" s="2">
        <v>3.0000000000000001E-3</v>
      </c>
      <c r="C86" s="2">
        <v>1E-3</v>
      </c>
      <c r="D86" s="2">
        <v>0</v>
      </c>
      <c r="E86" s="2">
        <v>0</v>
      </c>
      <c r="F86" s="2">
        <v>0</v>
      </c>
      <c r="G86" s="8">
        <v>0</v>
      </c>
      <c r="H86" s="7">
        <f t="shared" si="28"/>
        <v>-0.83399999999999996</v>
      </c>
      <c r="I86" s="7">
        <f t="shared" si="29"/>
        <v>-0.82299999999999995</v>
      </c>
      <c r="J86" s="7">
        <f t="shared" si="30"/>
        <v>-0.58299999999999996</v>
      </c>
      <c r="K86" s="7">
        <f t="shared" si="31"/>
        <v>-0.78816047155478197</v>
      </c>
      <c r="L86" s="7">
        <f t="shared" si="32"/>
        <v>-0.43594300410752002</v>
      </c>
      <c r="M86" s="10">
        <f t="shared" si="33"/>
        <v>-0.79800000000000004</v>
      </c>
      <c r="N86" s="1">
        <f t="shared" si="34"/>
        <v>-0.99641577060931896</v>
      </c>
      <c r="O86" s="1">
        <f t="shared" si="35"/>
        <v>-0.99878640776699024</v>
      </c>
      <c r="P86" s="1">
        <f t="shared" si="36"/>
        <v>-1</v>
      </c>
      <c r="Q86" s="1">
        <f t="shared" si="37"/>
        <v>-1</v>
      </c>
      <c r="R86" s="1">
        <f t="shared" si="38"/>
        <v>-1</v>
      </c>
      <c r="S86" s="1">
        <f t="shared" si="39"/>
        <v>-1</v>
      </c>
      <c r="T86" s="3"/>
    </row>
    <row r="87" spans="1:20">
      <c r="A87" t="s">
        <v>90</v>
      </c>
      <c r="B87" s="2">
        <v>0.78100000000000003</v>
      </c>
      <c r="C87" s="2">
        <v>0.76200000000000001</v>
      </c>
      <c r="D87" s="2">
        <v>0.53900000000000003</v>
      </c>
      <c r="E87" s="2">
        <v>0.73899999999999999</v>
      </c>
      <c r="F87" s="2">
        <v>0.47199999999999998</v>
      </c>
      <c r="G87" s="8">
        <v>0.76</v>
      </c>
      <c r="H87" s="7">
        <f t="shared" si="28"/>
        <v>-5.5999999999999939E-2</v>
      </c>
      <c r="I87" s="7">
        <f t="shared" si="29"/>
        <v>-6.1999999999999944E-2</v>
      </c>
      <c r="J87" s="7">
        <f t="shared" si="30"/>
        <v>-4.3999999999999928E-2</v>
      </c>
      <c r="K87" s="7">
        <f t="shared" si="31"/>
        <v>-4.9160471554781981E-2</v>
      </c>
      <c r="L87" s="7">
        <f t="shared" si="32"/>
        <v>3.6056995892479959E-2</v>
      </c>
      <c r="M87" s="10">
        <f t="shared" si="33"/>
        <v>-3.8000000000000034E-2</v>
      </c>
      <c r="N87" s="1">
        <f t="shared" si="34"/>
        <v>-6.6905615292711995E-2</v>
      </c>
      <c r="O87" s="1">
        <f t="shared" si="35"/>
        <v>-7.5242718446601881E-2</v>
      </c>
      <c r="P87" s="1">
        <f t="shared" si="36"/>
        <v>-7.5471698113207433E-2</v>
      </c>
      <c r="Q87" s="1">
        <f t="shared" si="37"/>
        <v>-6.2373683188912663E-2</v>
      </c>
      <c r="R87" s="1">
        <f t="shared" si="38"/>
        <v>8.2710344133855945E-2</v>
      </c>
      <c r="S87" s="1">
        <f t="shared" si="39"/>
        <v>-4.7619047619047658E-2</v>
      </c>
      <c r="T87" s="3"/>
    </row>
    <row r="88" spans="1:20">
      <c r="A88" t="s">
        <v>91</v>
      </c>
      <c r="B88" s="2">
        <v>0.63</v>
      </c>
      <c r="C88" s="2">
        <v>0.59799999999999998</v>
      </c>
      <c r="D88" s="2">
        <v>0.34699999999999998</v>
      </c>
      <c r="E88" s="2">
        <v>0.55100000000000005</v>
      </c>
      <c r="F88" s="2">
        <v>0.30399999999999999</v>
      </c>
      <c r="G88" s="8">
        <v>0.60399999999999998</v>
      </c>
      <c r="H88" s="7">
        <f t="shared" si="28"/>
        <v>-0.20699999999999996</v>
      </c>
      <c r="I88" s="7">
        <f t="shared" si="29"/>
        <v>-0.22599999999999998</v>
      </c>
      <c r="J88" s="7">
        <f t="shared" si="30"/>
        <v>-0.23599999999999999</v>
      </c>
      <c r="K88" s="7">
        <f t="shared" si="31"/>
        <v>-0.23716047155478193</v>
      </c>
      <c r="L88" s="7">
        <f t="shared" si="32"/>
        <v>-0.13194300410752002</v>
      </c>
      <c r="M88" s="10">
        <f t="shared" si="33"/>
        <v>-0.19400000000000006</v>
      </c>
      <c r="N88" s="1">
        <f t="shared" si="34"/>
        <v>-0.24731182795698922</v>
      </c>
      <c r="O88" s="1">
        <f t="shared" si="35"/>
        <v>-0.27427184466019416</v>
      </c>
      <c r="P88" s="1">
        <f t="shared" si="36"/>
        <v>-0.40480274442538594</v>
      </c>
      <c r="Q88" s="1">
        <f t="shared" si="37"/>
        <v>-0.30090378814220681</v>
      </c>
      <c r="R88" s="1">
        <f t="shared" si="38"/>
        <v>-0.30266113428666902</v>
      </c>
      <c r="S88" s="1">
        <f t="shared" si="39"/>
        <v>-0.24310776942355897</v>
      </c>
      <c r="T88" s="3"/>
    </row>
    <row r="89" spans="1:20">
      <c r="A89" t="s">
        <v>93</v>
      </c>
      <c r="B89" s="2">
        <v>5.0000000000000001E-3</v>
      </c>
      <c r="C89" s="2">
        <v>2E-3</v>
      </c>
      <c r="D89" s="2">
        <v>1E-3</v>
      </c>
      <c r="E89" s="2">
        <v>0</v>
      </c>
      <c r="F89" s="2">
        <v>0</v>
      </c>
      <c r="G89" s="8">
        <v>0</v>
      </c>
      <c r="H89" s="7">
        <f t="shared" si="28"/>
        <v>-0.83199999999999996</v>
      </c>
      <c r="I89" s="7">
        <f t="shared" si="29"/>
        <v>-0.82199999999999995</v>
      </c>
      <c r="J89" s="7">
        <f t="shared" si="30"/>
        <v>-0.58199999999999996</v>
      </c>
      <c r="K89" s="7">
        <f t="shared" si="31"/>
        <v>-0.78816047155478197</v>
      </c>
      <c r="L89" s="7">
        <f t="shared" si="32"/>
        <v>-0.43594300410752002</v>
      </c>
      <c r="M89" s="10">
        <f t="shared" si="33"/>
        <v>-0.79800000000000004</v>
      </c>
      <c r="N89" s="1">
        <f t="shared" si="34"/>
        <v>-0.99402628434886497</v>
      </c>
      <c r="O89" s="1">
        <f t="shared" si="35"/>
        <v>-0.99757281553398058</v>
      </c>
      <c r="P89" s="1">
        <f t="shared" si="36"/>
        <v>-0.99828473413379071</v>
      </c>
      <c r="Q89" s="1">
        <f t="shared" si="37"/>
        <v>-1</v>
      </c>
      <c r="R89" s="1">
        <f t="shared" si="38"/>
        <v>-1</v>
      </c>
      <c r="S89" s="1">
        <f t="shared" si="39"/>
        <v>-1</v>
      </c>
      <c r="T89" s="3"/>
    </row>
    <row r="90" spans="1:20">
      <c r="A90" t="s">
        <v>92</v>
      </c>
      <c r="B90" s="2">
        <v>3.0000000000000001E-3</v>
      </c>
      <c r="C90" s="2">
        <v>1E-3</v>
      </c>
      <c r="D90" s="2">
        <v>0</v>
      </c>
      <c r="E90" s="2">
        <v>0</v>
      </c>
      <c r="F90" s="2">
        <v>0</v>
      </c>
      <c r="G90" s="8">
        <v>0</v>
      </c>
      <c r="H90" s="7">
        <f t="shared" si="28"/>
        <v>-0.83399999999999996</v>
      </c>
      <c r="I90" s="7">
        <f t="shared" si="29"/>
        <v>-0.82299999999999995</v>
      </c>
      <c r="J90" s="7">
        <f t="shared" si="30"/>
        <v>-0.58299999999999996</v>
      </c>
      <c r="K90" s="7">
        <f t="shared" si="31"/>
        <v>-0.78816047155478197</v>
      </c>
      <c r="L90" s="7">
        <f t="shared" si="32"/>
        <v>-0.43594300410752002</v>
      </c>
      <c r="M90" s="10">
        <f t="shared" si="33"/>
        <v>-0.79800000000000004</v>
      </c>
      <c r="N90" s="1">
        <f t="shared" si="34"/>
        <v>-0.99641577060931896</v>
      </c>
      <c r="O90" s="1">
        <f t="shared" si="35"/>
        <v>-0.99878640776699024</v>
      </c>
      <c r="P90" s="1">
        <f t="shared" si="36"/>
        <v>-1</v>
      </c>
      <c r="Q90" s="1">
        <f t="shared" si="37"/>
        <v>-1</v>
      </c>
      <c r="R90" s="1">
        <f t="shared" si="38"/>
        <v>-1</v>
      </c>
      <c r="S90" s="1">
        <f t="shared" si="39"/>
        <v>-1</v>
      </c>
      <c r="T90" s="3"/>
    </row>
    <row r="91" spans="1:20">
      <c r="A91" t="s">
        <v>94</v>
      </c>
      <c r="B91" s="2">
        <v>0.77200000000000002</v>
      </c>
      <c r="C91" s="2">
        <v>0.75600000000000001</v>
      </c>
      <c r="D91" s="2">
        <v>0.52600000000000002</v>
      </c>
      <c r="E91" s="2">
        <v>0.72099999999999997</v>
      </c>
      <c r="F91" s="2">
        <v>0.46</v>
      </c>
      <c r="G91" s="8">
        <v>0.749</v>
      </c>
      <c r="H91" s="7">
        <f t="shared" si="28"/>
        <v>-6.4999999999999947E-2</v>
      </c>
      <c r="I91" s="7">
        <f t="shared" si="29"/>
        <v>-6.7999999999999949E-2</v>
      </c>
      <c r="J91" s="7">
        <f t="shared" si="30"/>
        <v>-5.699999999999994E-2</v>
      </c>
      <c r="K91" s="7">
        <f t="shared" si="31"/>
        <v>-6.7160471554781997E-2</v>
      </c>
      <c r="L91" s="7">
        <f t="shared" si="32"/>
        <v>2.4056995892480004E-2</v>
      </c>
      <c r="M91" s="10">
        <f t="shared" si="33"/>
        <v>-4.9000000000000044E-2</v>
      </c>
      <c r="N91" s="1">
        <f t="shared" si="34"/>
        <v>-7.765830346475501E-2</v>
      </c>
      <c r="O91" s="1">
        <f t="shared" si="35"/>
        <v>-8.2524271844660144E-2</v>
      </c>
      <c r="P91" s="1">
        <f t="shared" si="36"/>
        <v>-9.7770154373927859E-2</v>
      </c>
      <c r="Q91" s="1">
        <f t="shared" si="37"/>
        <v>-8.52116719610366E-2</v>
      </c>
      <c r="R91" s="1">
        <f t="shared" si="38"/>
        <v>5.5183809960961408E-2</v>
      </c>
      <c r="S91" s="1">
        <f t="shared" si="39"/>
        <v>-6.1403508771929877E-2</v>
      </c>
      <c r="T91" s="3"/>
    </row>
    <row r="92" spans="1:20">
      <c r="A92" t="s">
        <v>95</v>
      </c>
      <c r="B92" s="2">
        <v>0.628</v>
      </c>
      <c r="C92" s="2">
        <v>0.59499999999999997</v>
      </c>
      <c r="D92" s="2">
        <v>0.34899999999999998</v>
      </c>
      <c r="E92" s="2">
        <v>0.54700000000000004</v>
      </c>
      <c r="F92" s="2">
        <v>0.29899999999999999</v>
      </c>
      <c r="G92" s="8">
        <v>0.59699999999999998</v>
      </c>
      <c r="H92" s="7">
        <f t="shared" si="28"/>
        <v>-0.20899999999999996</v>
      </c>
      <c r="I92" s="7">
        <f t="shared" si="29"/>
        <v>-0.22899999999999998</v>
      </c>
      <c r="J92" s="7">
        <f t="shared" si="30"/>
        <v>-0.23399999999999999</v>
      </c>
      <c r="K92" s="7">
        <f t="shared" si="31"/>
        <v>-0.24116047155478193</v>
      </c>
      <c r="L92" s="7">
        <f t="shared" si="32"/>
        <v>-0.13694300410752003</v>
      </c>
      <c r="M92" s="10">
        <f t="shared" si="33"/>
        <v>-0.20100000000000007</v>
      </c>
      <c r="N92" s="1">
        <f t="shared" si="34"/>
        <v>-0.24970131421744321</v>
      </c>
      <c r="O92" s="1">
        <f t="shared" si="35"/>
        <v>-0.27791262135922329</v>
      </c>
      <c r="P92" s="1">
        <f t="shared" si="36"/>
        <v>-0.40137221269296741</v>
      </c>
      <c r="Q92" s="1">
        <f t="shared" si="37"/>
        <v>-0.30597889675823436</v>
      </c>
      <c r="R92" s="1">
        <f t="shared" si="38"/>
        <v>-0.31413052352537513</v>
      </c>
      <c r="S92" s="1">
        <f t="shared" si="39"/>
        <v>-0.25187969924812037</v>
      </c>
      <c r="T92" s="3"/>
    </row>
    <row r="93" spans="1:20">
      <c r="A93" t="s">
        <v>97</v>
      </c>
      <c r="B93" s="2">
        <v>6.0000000000000001E-3</v>
      </c>
      <c r="C93" s="2">
        <v>8.9999999999999993E-3</v>
      </c>
      <c r="D93" s="2">
        <v>1E-3</v>
      </c>
      <c r="E93" s="2">
        <v>0</v>
      </c>
      <c r="F93" s="2">
        <v>0</v>
      </c>
      <c r="G93" s="8">
        <v>0</v>
      </c>
      <c r="H93" s="7">
        <f t="shared" si="28"/>
        <v>-0.83099999999999996</v>
      </c>
      <c r="I93" s="7">
        <f t="shared" si="29"/>
        <v>-0.81499999999999995</v>
      </c>
      <c r="J93" s="7">
        <f t="shared" si="30"/>
        <v>-0.58199999999999996</v>
      </c>
      <c r="K93" s="7">
        <f t="shared" si="31"/>
        <v>-0.78816047155478197</v>
      </c>
      <c r="L93" s="7">
        <f t="shared" si="32"/>
        <v>-0.43594300410752002</v>
      </c>
      <c r="M93" s="10">
        <f t="shared" si="33"/>
        <v>-0.79800000000000004</v>
      </c>
      <c r="N93" s="1">
        <f t="shared" si="34"/>
        <v>-0.99283154121863804</v>
      </c>
      <c r="O93" s="1">
        <f t="shared" si="35"/>
        <v>-0.98907766990291257</v>
      </c>
      <c r="P93" s="1">
        <f t="shared" si="36"/>
        <v>-0.99828473413379071</v>
      </c>
      <c r="Q93" s="1">
        <f t="shared" si="37"/>
        <v>-1</v>
      </c>
      <c r="R93" s="1">
        <f t="shared" si="38"/>
        <v>-1</v>
      </c>
      <c r="S93" s="1">
        <f t="shared" si="39"/>
        <v>-1</v>
      </c>
      <c r="T93" s="3"/>
    </row>
    <row r="94" spans="1:20">
      <c r="A94" t="s">
        <v>96</v>
      </c>
      <c r="B94" s="2">
        <v>3.0000000000000001E-3</v>
      </c>
      <c r="C94" s="2">
        <v>1E-3</v>
      </c>
      <c r="D94" s="2">
        <v>0</v>
      </c>
      <c r="E94" s="2">
        <v>0</v>
      </c>
      <c r="F94" s="2">
        <v>0</v>
      </c>
      <c r="G94" s="8">
        <v>0</v>
      </c>
      <c r="H94" s="7">
        <f t="shared" si="28"/>
        <v>-0.83399999999999996</v>
      </c>
      <c r="I94" s="7">
        <f t="shared" si="29"/>
        <v>-0.82299999999999995</v>
      </c>
      <c r="J94" s="7">
        <f t="shared" si="30"/>
        <v>-0.58299999999999996</v>
      </c>
      <c r="K94" s="7">
        <f t="shared" si="31"/>
        <v>-0.78816047155478197</v>
      </c>
      <c r="L94" s="7">
        <f t="shared" si="32"/>
        <v>-0.43594300410752002</v>
      </c>
      <c r="M94" s="10">
        <f t="shared" si="33"/>
        <v>-0.79800000000000004</v>
      </c>
      <c r="N94" s="1">
        <f t="shared" si="34"/>
        <v>-0.99641577060931896</v>
      </c>
      <c r="O94" s="1">
        <f t="shared" si="35"/>
        <v>-0.99878640776699024</v>
      </c>
      <c r="P94" s="1">
        <f t="shared" si="36"/>
        <v>-1</v>
      </c>
      <c r="Q94" s="1">
        <f t="shared" si="37"/>
        <v>-1</v>
      </c>
      <c r="R94" s="1">
        <f t="shared" si="38"/>
        <v>-1</v>
      </c>
      <c r="S94" s="1">
        <f t="shared" si="39"/>
        <v>-1</v>
      </c>
      <c r="T94" s="3"/>
    </row>
    <row r="95" spans="1:20">
      <c r="A95" t="s">
        <v>98</v>
      </c>
      <c r="B95" s="2">
        <v>0.78400000000000003</v>
      </c>
      <c r="C95" s="2">
        <v>0.76100000000000001</v>
      </c>
      <c r="D95" s="2">
        <v>0.53</v>
      </c>
      <c r="E95" s="2">
        <v>0.73399999999999999</v>
      </c>
      <c r="F95" s="2">
        <v>0.46400000000000002</v>
      </c>
      <c r="G95" s="8">
        <v>0.75700000000000001</v>
      </c>
      <c r="H95" s="7">
        <f t="shared" si="28"/>
        <v>-5.2999999999999936E-2</v>
      </c>
      <c r="I95" s="7">
        <f t="shared" si="29"/>
        <v>-6.2999999999999945E-2</v>
      </c>
      <c r="J95" s="7">
        <f t="shared" si="30"/>
        <v>-5.2999999999999936E-2</v>
      </c>
      <c r="K95" s="7">
        <f t="shared" si="31"/>
        <v>-5.4160471554781986E-2</v>
      </c>
      <c r="L95" s="7">
        <f t="shared" si="32"/>
        <v>2.8056995892480008E-2</v>
      </c>
      <c r="M95" s="10">
        <f t="shared" si="33"/>
        <v>-4.1000000000000036E-2</v>
      </c>
      <c r="N95" s="1">
        <f t="shared" si="34"/>
        <v>-6.3321385902030985E-2</v>
      </c>
      <c r="O95" s="1">
        <f t="shared" si="35"/>
        <v>-7.6456310679611589E-2</v>
      </c>
      <c r="P95" s="1">
        <f t="shared" si="36"/>
        <v>-9.0909090909090801E-2</v>
      </c>
      <c r="Q95" s="1">
        <f t="shared" si="37"/>
        <v>-6.8717568958947095E-2</v>
      </c>
      <c r="R95" s="1">
        <f t="shared" si="38"/>
        <v>6.4359321351926305E-2</v>
      </c>
      <c r="S95" s="1">
        <f t="shared" si="39"/>
        <v>-5.1378446115288266E-2</v>
      </c>
      <c r="T95" s="3"/>
    </row>
    <row r="96" spans="1:20">
      <c r="A96" t="s">
        <v>99</v>
      </c>
      <c r="B96" s="2">
        <v>0.63200000000000001</v>
      </c>
      <c r="C96" s="2">
        <v>0.58199999999999996</v>
      </c>
      <c r="D96" s="2">
        <v>0.34100000000000003</v>
      </c>
      <c r="E96" s="2">
        <v>0.53200000000000003</v>
      </c>
      <c r="F96" s="2">
        <v>0.29699999999999999</v>
      </c>
      <c r="G96" s="8">
        <v>0.6</v>
      </c>
      <c r="H96" s="7">
        <f t="shared" si="28"/>
        <v>-0.20499999999999996</v>
      </c>
      <c r="I96" s="7">
        <f t="shared" si="29"/>
        <v>-0.24199999999999999</v>
      </c>
      <c r="J96" s="7">
        <f t="shared" si="30"/>
        <v>-0.24199999999999994</v>
      </c>
      <c r="K96" s="7">
        <f t="shared" si="31"/>
        <v>-0.25616047155478194</v>
      </c>
      <c r="L96" s="7">
        <f t="shared" si="32"/>
        <v>-0.13894300410752003</v>
      </c>
      <c r="M96" s="10">
        <f t="shared" si="33"/>
        <v>-0.19800000000000006</v>
      </c>
      <c r="N96" s="1">
        <f t="shared" si="34"/>
        <v>-0.24492234169653521</v>
      </c>
      <c r="O96" s="1">
        <f t="shared" si="35"/>
        <v>-0.2936893203883495</v>
      </c>
      <c r="P96" s="1">
        <f t="shared" si="36"/>
        <v>-0.41509433962264142</v>
      </c>
      <c r="Q96" s="1">
        <f t="shared" si="37"/>
        <v>-0.32501055406833762</v>
      </c>
      <c r="R96" s="1">
        <f t="shared" si="38"/>
        <v>-0.3187182792208576</v>
      </c>
      <c r="S96" s="1">
        <f t="shared" si="39"/>
        <v>-0.24812030075187977</v>
      </c>
      <c r="T96" s="3"/>
    </row>
    <row r="97" spans="1:20">
      <c r="A97" t="s">
        <v>101</v>
      </c>
      <c r="B97" s="2">
        <v>0</v>
      </c>
      <c r="C97" s="2">
        <v>0</v>
      </c>
      <c r="D97" s="2">
        <v>0</v>
      </c>
      <c r="E97" s="2">
        <v>0</v>
      </c>
      <c r="F97" s="2">
        <v>0</v>
      </c>
      <c r="G97" s="8">
        <v>0</v>
      </c>
      <c r="H97" s="7">
        <f t="shared" si="28"/>
        <v>-0.83699999999999997</v>
      </c>
      <c r="I97" s="7">
        <f t="shared" si="29"/>
        <v>-0.82399999999999995</v>
      </c>
      <c r="J97" s="7">
        <f t="shared" si="30"/>
        <v>-0.58299999999999996</v>
      </c>
      <c r="K97" s="7">
        <f t="shared" si="31"/>
        <v>-0.78816047155478197</v>
      </c>
      <c r="L97" s="7">
        <f t="shared" si="32"/>
        <v>-0.43594300410752002</v>
      </c>
      <c r="M97" s="10">
        <f t="shared" si="33"/>
        <v>-0.79800000000000004</v>
      </c>
      <c r="N97" s="1">
        <f t="shared" si="34"/>
        <v>-1</v>
      </c>
      <c r="O97" s="1">
        <f t="shared" si="35"/>
        <v>-1</v>
      </c>
      <c r="P97" s="1">
        <f t="shared" si="36"/>
        <v>-1</v>
      </c>
      <c r="Q97" s="1">
        <f t="shared" si="37"/>
        <v>-1</v>
      </c>
      <c r="R97" s="1">
        <f t="shared" si="38"/>
        <v>-1</v>
      </c>
      <c r="S97" s="1">
        <f t="shared" si="39"/>
        <v>-1</v>
      </c>
      <c r="T97" s="3"/>
    </row>
    <row r="98" spans="1:20">
      <c r="A98" t="s">
        <v>100</v>
      </c>
      <c r="B98" s="2">
        <v>7.0000000000000001E-3</v>
      </c>
      <c r="C98" s="2">
        <v>2E-3</v>
      </c>
      <c r="D98" s="2">
        <v>0</v>
      </c>
      <c r="E98" s="2">
        <v>0</v>
      </c>
      <c r="F98" s="2">
        <v>0</v>
      </c>
      <c r="G98" s="8">
        <v>0</v>
      </c>
      <c r="H98" s="7">
        <f t="shared" ref="H98:H129" si="40">B98-V$2</f>
        <v>-0.83</v>
      </c>
      <c r="I98" s="7">
        <f t="shared" ref="I98:I129" si="41">C98-W$2</f>
        <v>-0.82199999999999995</v>
      </c>
      <c r="J98" s="7">
        <f t="shared" ref="J98:J129" si="42">D98-X$2</f>
        <v>-0.58299999999999996</v>
      </c>
      <c r="K98" s="7">
        <f t="shared" ref="K98:K129" si="43">E98-Y$2</f>
        <v>-0.78816047155478197</v>
      </c>
      <c r="L98" s="7">
        <f t="shared" ref="L98:L129" si="44">F98-Z$2</f>
        <v>-0.43594300410752002</v>
      </c>
      <c r="M98" s="10">
        <f t="shared" ref="M98:M129" si="45">G98-AA$2</f>
        <v>-0.79800000000000004</v>
      </c>
      <c r="N98" s="1">
        <f t="shared" ref="N98:N129" si="46">(B98-V$2)/V$2</f>
        <v>-0.99163679808841099</v>
      </c>
      <c r="O98" s="1">
        <f t="shared" ref="O98:O129" si="47">(C98-W$2)/W$2</f>
        <v>-0.99757281553398058</v>
      </c>
      <c r="P98" s="1">
        <f t="shared" ref="P98:P129" si="48">(D98-X$2)/X$2</f>
        <v>-1</v>
      </c>
      <c r="Q98" s="1">
        <f t="shared" ref="Q98:Q129" si="49">(E98-Y$2)/Y$2</f>
        <v>-1</v>
      </c>
      <c r="R98" s="1">
        <f t="shared" ref="R98:R129" si="50">(F98-Z$2)/Z$2</f>
        <v>-1</v>
      </c>
      <c r="S98" s="1">
        <f t="shared" ref="S98:S129" si="51">(G98-AA$2)/AA$2</f>
        <v>-1</v>
      </c>
      <c r="T98" s="3"/>
    </row>
    <row r="99" spans="1:20">
      <c r="A99" t="s">
        <v>102</v>
      </c>
      <c r="B99" s="2">
        <v>0.78400000000000003</v>
      </c>
      <c r="C99" s="2">
        <v>0.76100000000000001</v>
      </c>
      <c r="D99" s="2">
        <v>0.53</v>
      </c>
      <c r="E99" s="2">
        <v>0.73399999999999999</v>
      </c>
      <c r="F99" s="2">
        <v>0.46400000000000002</v>
      </c>
      <c r="G99" s="8">
        <v>0.75700000000000001</v>
      </c>
      <c r="H99" s="7">
        <f t="shared" si="40"/>
        <v>-5.2999999999999936E-2</v>
      </c>
      <c r="I99" s="7">
        <f t="shared" si="41"/>
        <v>-6.2999999999999945E-2</v>
      </c>
      <c r="J99" s="7">
        <f t="shared" si="42"/>
        <v>-5.2999999999999936E-2</v>
      </c>
      <c r="K99" s="7">
        <f t="shared" si="43"/>
        <v>-5.4160471554781986E-2</v>
      </c>
      <c r="L99" s="7">
        <f t="shared" si="44"/>
        <v>2.8056995892480008E-2</v>
      </c>
      <c r="M99" s="10">
        <f t="shared" si="45"/>
        <v>-4.1000000000000036E-2</v>
      </c>
      <c r="N99" s="1">
        <f t="shared" si="46"/>
        <v>-6.3321385902030985E-2</v>
      </c>
      <c r="O99" s="1">
        <f t="shared" si="47"/>
        <v>-7.6456310679611589E-2</v>
      </c>
      <c r="P99" s="1">
        <f t="shared" si="48"/>
        <v>-9.0909090909090801E-2</v>
      </c>
      <c r="Q99" s="1">
        <f t="shared" si="49"/>
        <v>-6.8717568958947095E-2</v>
      </c>
      <c r="R99" s="1">
        <f t="shared" si="50"/>
        <v>6.4359321351926305E-2</v>
      </c>
      <c r="S99" s="1">
        <f t="shared" si="51"/>
        <v>-5.1378446115288266E-2</v>
      </c>
      <c r="T99" s="3"/>
    </row>
    <row r="100" spans="1:20">
      <c r="A100" t="s">
        <v>103</v>
      </c>
      <c r="B100" s="2">
        <v>0.64300000000000002</v>
      </c>
      <c r="C100" s="2">
        <v>0.61199999999999999</v>
      </c>
      <c r="D100" s="2">
        <v>0.36899999999999999</v>
      </c>
      <c r="E100" s="2">
        <v>0.56699999999999995</v>
      </c>
      <c r="F100" s="2">
        <v>0.31900000000000001</v>
      </c>
      <c r="G100" s="8">
        <v>0.60599999999999998</v>
      </c>
      <c r="H100" s="7">
        <f t="shared" si="40"/>
        <v>-0.19399999999999995</v>
      </c>
      <c r="I100" s="7">
        <f t="shared" si="41"/>
        <v>-0.21199999999999997</v>
      </c>
      <c r="J100" s="7">
        <f t="shared" si="42"/>
        <v>-0.21399999999999997</v>
      </c>
      <c r="K100" s="7">
        <f t="shared" si="43"/>
        <v>-0.22116047155478202</v>
      </c>
      <c r="L100" s="7">
        <f t="shared" si="44"/>
        <v>-0.11694300410752001</v>
      </c>
      <c r="M100" s="10">
        <f t="shared" si="45"/>
        <v>-0.19200000000000006</v>
      </c>
      <c r="N100" s="1">
        <f t="shared" si="46"/>
        <v>-0.23178016726403819</v>
      </c>
      <c r="O100" s="1">
        <f t="shared" si="47"/>
        <v>-0.25728155339805825</v>
      </c>
      <c r="P100" s="1">
        <f t="shared" si="48"/>
        <v>-0.36706689536878212</v>
      </c>
      <c r="Q100" s="1">
        <f t="shared" si="49"/>
        <v>-0.2806033536780968</v>
      </c>
      <c r="R100" s="1">
        <f t="shared" si="50"/>
        <v>-0.2682529665705507</v>
      </c>
      <c r="S100" s="1">
        <f t="shared" si="51"/>
        <v>-0.24060150375939857</v>
      </c>
      <c r="T100" s="3"/>
    </row>
    <row r="101" spans="1:20">
      <c r="A101" t="s">
        <v>105</v>
      </c>
      <c r="B101" s="2">
        <v>8.0000000000000002E-3</v>
      </c>
      <c r="C101" s="2">
        <v>1.2E-2</v>
      </c>
      <c r="D101" s="2">
        <v>2E-3</v>
      </c>
      <c r="E101" s="2">
        <v>0</v>
      </c>
      <c r="F101" s="2">
        <v>0</v>
      </c>
      <c r="G101" s="8">
        <v>0</v>
      </c>
      <c r="H101" s="7">
        <f t="shared" si="40"/>
        <v>-0.82899999999999996</v>
      </c>
      <c r="I101" s="7">
        <f t="shared" si="41"/>
        <v>-0.81199999999999994</v>
      </c>
      <c r="J101" s="7">
        <f t="shared" si="42"/>
        <v>-0.58099999999999996</v>
      </c>
      <c r="K101" s="7">
        <f t="shared" si="43"/>
        <v>-0.78816047155478197</v>
      </c>
      <c r="L101" s="7">
        <f t="shared" si="44"/>
        <v>-0.43594300410752002</v>
      </c>
      <c r="M101" s="10">
        <f t="shared" si="45"/>
        <v>-0.79800000000000004</v>
      </c>
      <c r="N101" s="1">
        <f t="shared" si="46"/>
        <v>-0.99044205495818394</v>
      </c>
      <c r="O101" s="1">
        <f t="shared" si="47"/>
        <v>-0.9854368932038835</v>
      </c>
      <c r="P101" s="1">
        <f t="shared" si="48"/>
        <v>-0.99656946826758153</v>
      </c>
      <c r="Q101" s="1">
        <f t="shared" si="49"/>
        <v>-1</v>
      </c>
      <c r="R101" s="1">
        <f t="shared" si="50"/>
        <v>-1</v>
      </c>
      <c r="S101" s="1">
        <f t="shared" si="51"/>
        <v>-1</v>
      </c>
      <c r="T101" s="3"/>
    </row>
    <row r="102" spans="1:20">
      <c r="A102" t="s">
        <v>104</v>
      </c>
      <c r="B102" s="2">
        <v>6.0000000000000001E-3</v>
      </c>
      <c r="C102" s="2">
        <v>2E-3</v>
      </c>
      <c r="D102" s="2">
        <v>1E-3</v>
      </c>
      <c r="E102" s="2">
        <v>0</v>
      </c>
      <c r="F102" s="2">
        <v>0</v>
      </c>
      <c r="G102" s="8">
        <v>0</v>
      </c>
      <c r="H102" s="7">
        <f t="shared" si="40"/>
        <v>-0.83099999999999996</v>
      </c>
      <c r="I102" s="7">
        <f t="shared" si="41"/>
        <v>-0.82199999999999995</v>
      </c>
      <c r="J102" s="7">
        <f t="shared" si="42"/>
        <v>-0.58199999999999996</v>
      </c>
      <c r="K102" s="7">
        <f t="shared" si="43"/>
        <v>-0.78816047155478197</v>
      </c>
      <c r="L102" s="7">
        <f t="shared" si="44"/>
        <v>-0.43594300410752002</v>
      </c>
      <c r="M102" s="10">
        <f t="shared" si="45"/>
        <v>-0.79800000000000004</v>
      </c>
      <c r="N102" s="1">
        <f t="shared" si="46"/>
        <v>-0.99283154121863804</v>
      </c>
      <c r="O102" s="1">
        <f t="shared" si="47"/>
        <v>-0.99757281553398058</v>
      </c>
      <c r="P102" s="1">
        <f t="shared" si="48"/>
        <v>-0.99828473413379071</v>
      </c>
      <c r="Q102" s="1">
        <f t="shared" si="49"/>
        <v>-1</v>
      </c>
      <c r="R102" s="1">
        <f t="shared" si="50"/>
        <v>-1</v>
      </c>
      <c r="S102" s="1">
        <f t="shared" si="51"/>
        <v>-1</v>
      </c>
      <c r="T102" s="3"/>
    </row>
    <row r="103" spans="1:20">
      <c r="A103" t="s">
        <v>106</v>
      </c>
      <c r="B103" s="2">
        <v>0.78700000000000003</v>
      </c>
      <c r="C103" s="2">
        <v>0.77700000000000002</v>
      </c>
      <c r="D103" s="2">
        <v>0.55200000000000005</v>
      </c>
      <c r="E103" s="2">
        <v>0.746</v>
      </c>
      <c r="F103" s="2">
        <v>0.48399999999999999</v>
      </c>
      <c r="G103" s="8">
        <v>0.75600000000000001</v>
      </c>
      <c r="H103" s="7">
        <f t="shared" si="40"/>
        <v>-4.9999999999999933E-2</v>
      </c>
      <c r="I103" s="7">
        <f t="shared" si="41"/>
        <v>-4.6999999999999931E-2</v>
      </c>
      <c r="J103" s="7">
        <f t="shared" si="42"/>
        <v>-3.0999999999999917E-2</v>
      </c>
      <c r="K103" s="7">
        <f t="shared" si="43"/>
        <v>-4.2160471554781975E-2</v>
      </c>
      <c r="L103" s="7">
        <f t="shared" si="44"/>
        <v>4.805699589247997E-2</v>
      </c>
      <c r="M103" s="10">
        <f t="shared" si="45"/>
        <v>-4.2000000000000037E-2</v>
      </c>
      <c r="N103" s="1">
        <f t="shared" si="46"/>
        <v>-5.9737156511349983E-2</v>
      </c>
      <c r="O103" s="1">
        <f t="shared" si="47"/>
        <v>-5.703883495145623E-2</v>
      </c>
      <c r="P103" s="1">
        <f t="shared" si="48"/>
        <v>-5.3173241852486994E-2</v>
      </c>
      <c r="Q103" s="1">
        <f t="shared" si="49"/>
        <v>-5.3492243110864465E-2</v>
      </c>
      <c r="R103" s="1">
        <f t="shared" si="50"/>
        <v>0.11023687830675062</v>
      </c>
      <c r="S103" s="1">
        <f t="shared" si="51"/>
        <v>-5.2631578947368467E-2</v>
      </c>
      <c r="T103" s="3"/>
    </row>
    <row r="104" spans="1:20">
      <c r="A104" t="s">
        <v>107</v>
      </c>
      <c r="B104" s="2">
        <v>0.59499999999999997</v>
      </c>
      <c r="C104" s="2">
        <v>0.49</v>
      </c>
      <c r="D104" s="2">
        <v>0.28499999999999998</v>
      </c>
      <c r="E104" s="2">
        <v>0.432</v>
      </c>
      <c r="F104" s="2">
        <v>0.24</v>
      </c>
      <c r="G104" s="8">
        <v>0.56000000000000005</v>
      </c>
      <c r="H104" s="7">
        <f t="shared" si="40"/>
        <v>-0.24199999999999999</v>
      </c>
      <c r="I104" s="7">
        <f t="shared" si="41"/>
        <v>-0.33399999999999996</v>
      </c>
      <c r="J104" s="7">
        <f t="shared" si="42"/>
        <v>-0.29799999999999999</v>
      </c>
      <c r="K104" s="7">
        <f t="shared" si="43"/>
        <v>-0.35616047155478198</v>
      </c>
      <c r="L104" s="7">
        <f t="shared" si="44"/>
        <v>-0.19594300410752002</v>
      </c>
      <c r="M104" s="10">
        <f t="shared" si="45"/>
        <v>-0.23799999999999999</v>
      </c>
      <c r="N104" s="1">
        <f t="shared" si="46"/>
        <v>-0.28912783751493432</v>
      </c>
      <c r="O104" s="1">
        <f t="shared" si="47"/>
        <v>-0.4053398058252427</v>
      </c>
      <c r="P104" s="1">
        <f t="shared" si="48"/>
        <v>-0.51114922813036023</v>
      </c>
      <c r="Q104" s="1">
        <f t="shared" si="49"/>
        <v>-0.45188826946902605</v>
      </c>
      <c r="R104" s="1">
        <f t="shared" si="50"/>
        <v>-0.44946931654210714</v>
      </c>
      <c r="S104" s="1">
        <f t="shared" si="51"/>
        <v>-0.2982456140350877</v>
      </c>
      <c r="T104" s="3"/>
    </row>
    <row r="105" spans="1:20">
      <c r="A105" t="s">
        <v>109</v>
      </c>
      <c r="B105" s="2">
        <v>8.0000000000000002E-3</v>
      </c>
      <c r="C105" s="2">
        <v>1.2E-2</v>
      </c>
      <c r="D105" s="2">
        <v>2E-3</v>
      </c>
      <c r="E105" s="2">
        <v>0</v>
      </c>
      <c r="F105" s="2">
        <v>0</v>
      </c>
      <c r="G105" s="8">
        <v>0</v>
      </c>
      <c r="H105" s="7">
        <f t="shared" si="40"/>
        <v>-0.82899999999999996</v>
      </c>
      <c r="I105" s="7">
        <f t="shared" si="41"/>
        <v>-0.81199999999999994</v>
      </c>
      <c r="J105" s="7">
        <f t="shared" si="42"/>
        <v>-0.58099999999999996</v>
      </c>
      <c r="K105" s="7">
        <f t="shared" si="43"/>
        <v>-0.78816047155478197</v>
      </c>
      <c r="L105" s="7">
        <f t="shared" si="44"/>
        <v>-0.43594300410752002</v>
      </c>
      <c r="M105" s="10">
        <f t="shared" si="45"/>
        <v>-0.79800000000000004</v>
      </c>
      <c r="N105" s="1">
        <f t="shared" si="46"/>
        <v>-0.99044205495818394</v>
      </c>
      <c r="O105" s="1">
        <f t="shared" si="47"/>
        <v>-0.9854368932038835</v>
      </c>
      <c r="P105" s="1">
        <f t="shared" si="48"/>
        <v>-0.99656946826758153</v>
      </c>
      <c r="Q105" s="1">
        <f t="shared" si="49"/>
        <v>-1</v>
      </c>
      <c r="R105" s="1">
        <f t="shared" si="50"/>
        <v>-1</v>
      </c>
      <c r="S105" s="1">
        <f t="shared" si="51"/>
        <v>-1</v>
      </c>
      <c r="T105" s="3"/>
    </row>
    <row r="106" spans="1:20">
      <c r="A106" t="s">
        <v>108</v>
      </c>
      <c r="B106" s="2">
        <v>6.0000000000000001E-3</v>
      </c>
      <c r="C106" s="2">
        <v>2E-3</v>
      </c>
      <c r="D106" s="2">
        <v>1E-3</v>
      </c>
      <c r="E106" s="2">
        <v>0</v>
      </c>
      <c r="F106" s="2">
        <v>0</v>
      </c>
      <c r="G106" s="8">
        <v>0</v>
      </c>
      <c r="H106" s="7">
        <f t="shared" si="40"/>
        <v>-0.83099999999999996</v>
      </c>
      <c r="I106" s="7">
        <f t="shared" si="41"/>
        <v>-0.82199999999999995</v>
      </c>
      <c r="J106" s="7">
        <f t="shared" si="42"/>
        <v>-0.58199999999999996</v>
      </c>
      <c r="K106" s="7">
        <f t="shared" si="43"/>
        <v>-0.78816047155478197</v>
      </c>
      <c r="L106" s="7">
        <f t="shared" si="44"/>
        <v>-0.43594300410752002</v>
      </c>
      <c r="M106" s="10">
        <f t="shared" si="45"/>
        <v>-0.79800000000000004</v>
      </c>
      <c r="N106" s="1">
        <f t="shared" si="46"/>
        <v>-0.99283154121863804</v>
      </c>
      <c r="O106" s="1">
        <f t="shared" si="47"/>
        <v>-0.99757281553398058</v>
      </c>
      <c r="P106" s="1">
        <f t="shared" si="48"/>
        <v>-0.99828473413379071</v>
      </c>
      <c r="Q106" s="1">
        <f t="shared" si="49"/>
        <v>-1</v>
      </c>
      <c r="R106" s="1">
        <f t="shared" si="50"/>
        <v>-1</v>
      </c>
      <c r="S106" s="1">
        <f t="shared" si="51"/>
        <v>-1</v>
      </c>
      <c r="T106" s="3"/>
    </row>
    <row r="107" spans="1:20">
      <c r="A107" t="s">
        <v>110</v>
      </c>
      <c r="B107" s="2">
        <v>0.78200000000000003</v>
      </c>
      <c r="C107" s="2">
        <v>0.77800000000000002</v>
      </c>
      <c r="D107" s="2">
        <v>0.55200000000000005</v>
      </c>
      <c r="E107" s="2">
        <v>0.74099999999999999</v>
      </c>
      <c r="F107" s="2">
        <v>0.48199999999999998</v>
      </c>
      <c r="G107" s="8">
        <v>0.749</v>
      </c>
      <c r="H107" s="7">
        <f t="shared" si="40"/>
        <v>-5.4999999999999938E-2</v>
      </c>
      <c r="I107" s="7">
        <f t="shared" si="41"/>
        <v>-4.599999999999993E-2</v>
      </c>
      <c r="J107" s="7">
        <f t="shared" si="42"/>
        <v>-3.0999999999999917E-2</v>
      </c>
      <c r="K107" s="7">
        <f t="shared" si="43"/>
        <v>-4.716047155478198E-2</v>
      </c>
      <c r="L107" s="7">
        <f t="shared" si="44"/>
        <v>4.6056995892479968E-2</v>
      </c>
      <c r="M107" s="10">
        <f t="shared" si="45"/>
        <v>-4.9000000000000044E-2</v>
      </c>
      <c r="N107" s="1">
        <f t="shared" si="46"/>
        <v>-6.5710872162484987E-2</v>
      </c>
      <c r="O107" s="1">
        <f t="shared" si="47"/>
        <v>-5.5825242718446522E-2</v>
      </c>
      <c r="P107" s="1">
        <f t="shared" si="48"/>
        <v>-5.3173241852486994E-2</v>
      </c>
      <c r="Q107" s="1">
        <f t="shared" si="49"/>
        <v>-5.9836128880898891E-2</v>
      </c>
      <c r="R107" s="1">
        <f t="shared" si="50"/>
        <v>0.10564912261126817</v>
      </c>
      <c r="S107" s="1">
        <f t="shared" si="51"/>
        <v>-6.1403508771929877E-2</v>
      </c>
      <c r="T107" s="3"/>
    </row>
    <row r="108" spans="1:20">
      <c r="A108" t="s">
        <v>111</v>
      </c>
      <c r="B108" s="2">
        <v>0.60899999999999999</v>
      </c>
      <c r="C108" s="2">
        <v>0.53300000000000003</v>
      </c>
      <c r="D108" s="2">
        <v>0.32100000000000001</v>
      </c>
      <c r="E108" s="2">
        <v>0.47</v>
      </c>
      <c r="F108" s="2">
        <v>0.27300000000000002</v>
      </c>
      <c r="G108" s="8">
        <v>0.57199999999999995</v>
      </c>
      <c r="H108" s="7">
        <f t="shared" si="40"/>
        <v>-0.22799999999999998</v>
      </c>
      <c r="I108" s="7">
        <f t="shared" si="41"/>
        <v>-0.29099999999999993</v>
      </c>
      <c r="J108" s="7">
        <f t="shared" si="42"/>
        <v>-0.26199999999999996</v>
      </c>
      <c r="K108" s="7">
        <f t="shared" si="43"/>
        <v>-0.318160471554782</v>
      </c>
      <c r="L108" s="7">
        <f t="shared" si="44"/>
        <v>-0.16294300410752</v>
      </c>
      <c r="M108" s="10">
        <f t="shared" si="45"/>
        <v>-0.22600000000000009</v>
      </c>
      <c r="N108" s="1">
        <f t="shared" si="46"/>
        <v>-0.27240143369175623</v>
      </c>
      <c r="O108" s="1">
        <f t="shared" si="47"/>
        <v>-0.3531553398058252</v>
      </c>
      <c r="P108" s="1">
        <f t="shared" si="48"/>
        <v>-0.44939965694682671</v>
      </c>
      <c r="Q108" s="1">
        <f t="shared" si="49"/>
        <v>-0.40367473761676453</v>
      </c>
      <c r="R108" s="1">
        <f t="shared" si="50"/>
        <v>-0.37377134756664682</v>
      </c>
      <c r="S108" s="1">
        <f t="shared" si="51"/>
        <v>-0.28320802005012541</v>
      </c>
      <c r="T108" s="3"/>
    </row>
    <row r="109" spans="1:20">
      <c r="A109" t="s">
        <v>120</v>
      </c>
      <c r="B109" s="2">
        <v>0.75600000000000001</v>
      </c>
      <c r="C109" s="2">
        <v>0.746</v>
      </c>
      <c r="D109" s="2">
        <v>0.504</v>
      </c>
      <c r="E109" s="2">
        <v>0.71299999999999997</v>
      </c>
      <c r="F109" s="2">
        <v>0.436</v>
      </c>
      <c r="G109" s="8">
        <v>0.73199999999999998</v>
      </c>
      <c r="H109" s="7">
        <f t="shared" si="40"/>
        <v>-8.0999999999999961E-2</v>
      </c>
      <c r="I109" s="7">
        <f t="shared" si="41"/>
        <v>-7.7999999999999958E-2</v>
      </c>
      <c r="J109" s="7">
        <f t="shared" si="42"/>
        <v>-7.8999999999999959E-2</v>
      </c>
      <c r="K109" s="7">
        <f t="shared" si="43"/>
        <v>-7.5160471554782005E-2</v>
      </c>
      <c r="L109" s="7">
        <f t="shared" si="44"/>
        <v>5.6995892479982935E-5</v>
      </c>
      <c r="M109" s="10">
        <f t="shared" si="45"/>
        <v>-6.6000000000000059E-2</v>
      </c>
      <c r="N109" s="1">
        <f t="shared" si="46"/>
        <v>-9.6774193548387052E-2</v>
      </c>
      <c r="O109" s="1">
        <f t="shared" si="47"/>
        <v>-9.466019417475724E-2</v>
      </c>
      <c r="P109" s="1">
        <f t="shared" si="48"/>
        <v>-0.13550600343053168</v>
      </c>
      <c r="Q109" s="1">
        <f t="shared" si="49"/>
        <v>-9.5361889193091673E-2</v>
      </c>
      <c r="R109" s="1">
        <f t="shared" si="50"/>
        <v>1.3074161517207325E-4</v>
      </c>
      <c r="S109" s="1">
        <f t="shared" si="51"/>
        <v>-8.2706766917293298E-2</v>
      </c>
      <c r="T109" s="3"/>
    </row>
    <row r="110" spans="1:20">
      <c r="A110" t="s">
        <v>118</v>
      </c>
      <c r="B110" s="2">
        <v>0.56399999999999995</v>
      </c>
      <c r="C110" s="2">
        <v>0.51200000000000001</v>
      </c>
      <c r="D110" s="2">
        <v>0.32700000000000001</v>
      </c>
      <c r="E110" s="2">
        <v>0.47199999999999998</v>
      </c>
      <c r="F110" s="2">
        <v>0.27800000000000002</v>
      </c>
      <c r="G110" s="8">
        <v>0.54</v>
      </c>
      <c r="H110" s="7">
        <f t="shared" si="40"/>
        <v>-0.27300000000000002</v>
      </c>
      <c r="I110" s="7">
        <f t="shared" si="41"/>
        <v>-0.31199999999999994</v>
      </c>
      <c r="J110" s="7">
        <f t="shared" si="42"/>
        <v>-0.25599999999999995</v>
      </c>
      <c r="K110" s="7">
        <f t="shared" si="43"/>
        <v>-0.316160471554782</v>
      </c>
      <c r="L110" s="7">
        <f t="shared" si="44"/>
        <v>-0.15794300410751999</v>
      </c>
      <c r="M110" s="10">
        <f t="shared" si="45"/>
        <v>-0.25800000000000001</v>
      </c>
      <c r="N110" s="1">
        <f t="shared" si="46"/>
        <v>-0.32616487455197135</v>
      </c>
      <c r="O110" s="1">
        <f t="shared" si="47"/>
        <v>-0.37864077669902907</v>
      </c>
      <c r="P110" s="1">
        <f t="shared" si="48"/>
        <v>-0.43910806174957112</v>
      </c>
      <c r="Q110" s="1">
        <f t="shared" si="49"/>
        <v>-0.40113718330875076</v>
      </c>
      <c r="R110" s="1">
        <f t="shared" si="50"/>
        <v>-0.36230195832794071</v>
      </c>
      <c r="S110" s="1">
        <f t="shared" si="51"/>
        <v>-0.32330827067669171</v>
      </c>
      <c r="T110" s="3"/>
    </row>
    <row r="111" spans="1:20">
      <c r="A111" t="s">
        <v>119</v>
      </c>
      <c r="B111" s="2">
        <v>0.75800000000000001</v>
      </c>
      <c r="C111" s="2">
        <v>0.74299999999999999</v>
      </c>
      <c r="D111" s="2">
        <v>0.502</v>
      </c>
      <c r="E111" s="2">
        <v>0.71099999999999997</v>
      </c>
      <c r="F111" s="2">
        <v>0.437</v>
      </c>
      <c r="G111" s="8">
        <v>0.72499999999999998</v>
      </c>
      <c r="H111" s="7">
        <f t="shared" si="40"/>
        <v>-7.8999999999999959E-2</v>
      </c>
      <c r="I111" s="7">
        <f t="shared" si="41"/>
        <v>-8.0999999999999961E-2</v>
      </c>
      <c r="J111" s="7">
        <f t="shared" si="42"/>
        <v>-8.0999999999999961E-2</v>
      </c>
      <c r="K111" s="7">
        <f t="shared" si="43"/>
        <v>-7.7160471554782006E-2</v>
      </c>
      <c r="L111" s="7">
        <f t="shared" si="44"/>
        <v>1.0569958924799838E-3</v>
      </c>
      <c r="M111" s="10">
        <f t="shared" si="45"/>
        <v>-7.3000000000000065E-2</v>
      </c>
      <c r="N111" s="1">
        <f t="shared" si="46"/>
        <v>-9.4384707287933051E-2</v>
      </c>
      <c r="O111" s="1">
        <f t="shared" si="47"/>
        <v>-9.8300970873786364E-2</v>
      </c>
      <c r="P111" s="1">
        <f t="shared" si="48"/>
        <v>-0.13893653516295021</v>
      </c>
      <c r="Q111" s="1">
        <f t="shared" si="49"/>
        <v>-9.7899443501105451E-2</v>
      </c>
      <c r="R111" s="1">
        <f t="shared" si="50"/>
        <v>2.4246194629132956E-3</v>
      </c>
      <c r="S111" s="1">
        <f t="shared" si="51"/>
        <v>-9.1478696741854715E-2</v>
      </c>
      <c r="T111" s="3"/>
    </row>
    <row r="112" spans="1:20">
      <c r="A112" t="s">
        <v>121</v>
      </c>
      <c r="B112" s="2">
        <v>0.79500000000000004</v>
      </c>
      <c r="C112" s="2">
        <v>0.77900000000000003</v>
      </c>
      <c r="D112" s="2">
        <v>0.55800000000000005</v>
      </c>
      <c r="E112" s="2">
        <v>0.75</v>
      </c>
      <c r="F112" s="2">
        <v>0.495</v>
      </c>
      <c r="G112" s="8">
        <v>0.77100000000000002</v>
      </c>
      <c r="H112" s="7">
        <f t="shared" si="40"/>
        <v>-4.1999999999999926E-2</v>
      </c>
      <c r="I112" s="7">
        <f t="shared" si="41"/>
        <v>-4.4999999999999929E-2</v>
      </c>
      <c r="J112" s="7">
        <f t="shared" si="42"/>
        <v>-2.4999999999999911E-2</v>
      </c>
      <c r="K112" s="7">
        <f t="shared" si="43"/>
        <v>-3.8160471554781972E-2</v>
      </c>
      <c r="L112" s="7">
        <f t="shared" si="44"/>
        <v>5.905699589247998E-2</v>
      </c>
      <c r="M112" s="10">
        <f t="shared" si="45"/>
        <v>-2.7000000000000024E-2</v>
      </c>
      <c r="N112" s="1">
        <f t="shared" si="46"/>
        <v>-5.0179211469533962E-2</v>
      </c>
      <c r="O112" s="1">
        <f t="shared" si="47"/>
        <v>-5.4611650485436813E-2</v>
      </c>
      <c r="P112" s="1">
        <f t="shared" si="48"/>
        <v>-4.2881646655231413E-2</v>
      </c>
      <c r="Q112" s="1">
        <f t="shared" si="49"/>
        <v>-4.8417134494836929E-2</v>
      </c>
      <c r="R112" s="1">
        <f t="shared" si="50"/>
        <v>0.13546953463190406</v>
      </c>
      <c r="S112" s="1">
        <f t="shared" si="51"/>
        <v>-3.3834586466165439E-2</v>
      </c>
      <c r="T112" s="3"/>
    </row>
    <row r="113" spans="1:20">
      <c r="A113" t="s">
        <v>122</v>
      </c>
      <c r="B113" s="2">
        <v>0.46200000000000002</v>
      </c>
      <c r="C113" s="2">
        <v>0.40799999999999997</v>
      </c>
      <c r="D113" s="2">
        <v>0.26500000000000001</v>
      </c>
      <c r="E113" s="2">
        <v>0.38800000000000001</v>
      </c>
      <c r="F113" s="2">
        <v>0.22</v>
      </c>
      <c r="G113" s="8">
        <v>0.45500000000000002</v>
      </c>
      <c r="H113" s="7">
        <f t="shared" si="40"/>
        <v>-0.37499999999999994</v>
      </c>
      <c r="I113" s="7">
        <f t="shared" si="41"/>
        <v>-0.41599999999999998</v>
      </c>
      <c r="J113" s="7">
        <f t="shared" si="42"/>
        <v>-0.31799999999999995</v>
      </c>
      <c r="K113" s="7">
        <f t="shared" si="43"/>
        <v>-0.40016047155478196</v>
      </c>
      <c r="L113" s="7">
        <f t="shared" si="44"/>
        <v>-0.21594300410752001</v>
      </c>
      <c r="M113" s="10">
        <f t="shared" si="45"/>
        <v>-0.34300000000000003</v>
      </c>
      <c r="N113" s="1">
        <f t="shared" si="46"/>
        <v>-0.4480286738351254</v>
      </c>
      <c r="O113" s="1">
        <f t="shared" si="47"/>
        <v>-0.50485436893203883</v>
      </c>
      <c r="P113" s="1">
        <f t="shared" si="48"/>
        <v>-0.54545454545454541</v>
      </c>
      <c r="Q113" s="1">
        <f t="shared" si="49"/>
        <v>-0.50771446424532896</v>
      </c>
      <c r="R113" s="1">
        <f t="shared" si="50"/>
        <v>-0.49534687349693152</v>
      </c>
      <c r="S113" s="1">
        <f t="shared" si="51"/>
        <v>-0.42982456140350878</v>
      </c>
      <c r="T113" s="3"/>
    </row>
    <row r="114" spans="1:20">
      <c r="A114" s="4" t="s">
        <v>123</v>
      </c>
      <c r="B114" s="2">
        <v>0.80500000000000005</v>
      </c>
      <c r="C114" s="2">
        <v>0.78800000000000003</v>
      </c>
      <c r="D114" s="2">
        <v>0.54300000000000004</v>
      </c>
      <c r="E114" s="2">
        <v>0.75900000000000001</v>
      </c>
      <c r="F114" s="2">
        <v>0.45100000000000001</v>
      </c>
      <c r="G114" s="8">
        <v>0.78</v>
      </c>
      <c r="H114" s="7">
        <f t="shared" si="40"/>
        <v>-3.1999999999999917E-2</v>
      </c>
      <c r="I114" s="7">
        <f t="shared" si="41"/>
        <v>-3.5999999999999921E-2</v>
      </c>
      <c r="J114" s="7">
        <f t="shared" si="42"/>
        <v>-3.9999999999999925E-2</v>
      </c>
      <c r="K114" s="7">
        <f t="shared" si="43"/>
        <v>-2.9160471554781964E-2</v>
      </c>
      <c r="L114" s="7">
        <f t="shared" si="44"/>
        <v>1.5056995892479996E-2</v>
      </c>
      <c r="M114" s="10">
        <f t="shared" si="45"/>
        <v>-1.8000000000000016E-2</v>
      </c>
      <c r="N114" s="1">
        <f t="shared" si="46"/>
        <v>-3.8231780167263939E-2</v>
      </c>
      <c r="O114" s="1">
        <f t="shared" si="47"/>
        <v>-4.3689320388349419E-2</v>
      </c>
      <c r="P114" s="1">
        <f t="shared" si="48"/>
        <v>-6.8610634648370375E-2</v>
      </c>
      <c r="Q114" s="1">
        <f t="shared" si="49"/>
        <v>-3.699814010877496E-2</v>
      </c>
      <c r="R114" s="1">
        <f t="shared" si="50"/>
        <v>3.4538909331290411E-2</v>
      </c>
      <c r="S114" s="1">
        <f t="shared" si="51"/>
        <v>-2.2556390977443629E-2</v>
      </c>
      <c r="T114" s="3"/>
    </row>
    <row r="115" spans="1:20">
      <c r="A115" t="s">
        <v>114</v>
      </c>
      <c r="B115" s="2">
        <v>0.76</v>
      </c>
      <c r="C115" s="2">
        <v>0.74099999999999999</v>
      </c>
      <c r="D115" s="2">
        <v>0.497</v>
      </c>
      <c r="E115" s="2">
        <v>0.70199999999999996</v>
      </c>
      <c r="F115" s="2">
        <v>0.42499999999999999</v>
      </c>
      <c r="G115" s="8">
        <v>0.72399999999999998</v>
      </c>
      <c r="H115" s="7">
        <f t="shared" si="40"/>
        <v>-7.6999999999999957E-2</v>
      </c>
      <c r="I115" s="7">
        <f t="shared" si="41"/>
        <v>-8.2999999999999963E-2</v>
      </c>
      <c r="J115" s="7">
        <f t="shared" si="42"/>
        <v>-8.5999999999999965E-2</v>
      </c>
      <c r="K115" s="7">
        <f t="shared" si="43"/>
        <v>-8.6160471554782014E-2</v>
      </c>
      <c r="L115" s="7">
        <f t="shared" si="44"/>
        <v>-1.0943004107520027E-2</v>
      </c>
      <c r="M115" s="10">
        <f t="shared" si="45"/>
        <v>-7.4000000000000066E-2</v>
      </c>
      <c r="N115" s="1">
        <f t="shared" si="46"/>
        <v>-9.1995221027479049E-2</v>
      </c>
      <c r="O115" s="1">
        <f t="shared" si="47"/>
        <v>-0.10072815533980578</v>
      </c>
      <c r="P115" s="1">
        <f t="shared" si="48"/>
        <v>-0.14751286449399653</v>
      </c>
      <c r="Q115" s="1">
        <f t="shared" si="49"/>
        <v>-0.10931843788716741</v>
      </c>
      <c r="R115" s="1">
        <f t="shared" si="50"/>
        <v>-2.5101914709981372E-2</v>
      </c>
      <c r="S115" s="1">
        <f t="shared" si="51"/>
        <v>-9.2731829573934915E-2</v>
      </c>
      <c r="T115" s="3"/>
    </row>
    <row r="116" spans="1:20">
      <c r="A116" t="s">
        <v>112</v>
      </c>
      <c r="B116" s="2">
        <v>0.56100000000000005</v>
      </c>
      <c r="C116" s="2">
        <v>0.51400000000000001</v>
      </c>
      <c r="D116" s="2">
        <v>0.33200000000000002</v>
      </c>
      <c r="E116" s="2">
        <v>0.48222214974315603</v>
      </c>
      <c r="F116" s="2">
        <v>0.28397512740748998</v>
      </c>
      <c r="G116" s="8">
        <v>0.53900000000000003</v>
      </c>
      <c r="H116" s="7">
        <f t="shared" si="40"/>
        <v>-0.27599999999999991</v>
      </c>
      <c r="I116" s="7">
        <f t="shared" si="41"/>
        <v>-0.30999999999999994</v>
      </c>
      <c r="J116" s="7">
        <f t="shared" si="42"/>
        <v>-0.25099999999999995</v>
      </c>
      <c r="K116" s="7">
        <f t="shared" si="43"/>
        <v>-0.30593832181162595</v>
      </c>
      <c r="L116" s="7">
        <f t="shared" si="44"/>
        <v>-0.15196787670003004</v>
      </c>
      <c r="M116" s="10">
        <f t="shared" si="45"/>
        <v>-0.25900000000000001</v>
      </c>
      <c r="N116" s="1">
        <f t="shared" si="46"/>
        <v>-0.32974910394265222</v>
      </c>
      <c r="O116" s="1">
        <f t="shared" si="47"/>
        <v>-0.37621359223300965</v>
      </c>
      <c r="P116" s="1">
        <f t="shared" si="48"/>
        <v>-0.43053173241852483</v>
      </c>
      <c r="Q116" s="1">
        <f t="shared" si="49"/>
        <v>-0.38816755324979701</v>
      </c>
      <c r="R116" s="1">
        <f t="shared" si="50"/>
        <v>-0.34859574593046805</v>
      </c>
      <c r="S116" s="1">
        <f t="shared" si="51"/>
        <v>-0.32456140350877194</v>
      </c>
      <c r="T116" s="3"/>
    </row>
    <row r="117" spans="1:20">
      <c r="A117" s="11" t="s">
        <v>113</v>
      </c>
      <c r="B117" s="2">
        <v>0.76500000000000001</v>
      </c>
      <c r="C117" s="2">
        <v>0.753</v>
      </c>
      <c r="D117" s="2">
        <v>0.50600000000000001</v>
      </c>
      <c r="E117" s="2">
        <v>0.71319937063133698</v>
      </c>
      <c r="F117" s="2">
        <v>0.43557975010713201</v>
      </c>
      <c r="G117" s="8">
        <v>0.72299999999999998</v>
      </c>
      <c r="H117" s="7">
        <f t="shared" si="40"/>
        <v>-7.1999999999999953E-2</v>
      </c>
      <c r="I117" s="7">
        <f t="shared" si="41"/>
        <v>-7.0999999999999952E-2</v>
      </c>
      <c r="J117" s="7">
        <f t="shared" si="42"/>
        <v>-7.6999999999999957E-2</v>
      </c>
      <c r="K117" s="7">
        <f t="shared" si="43"/>
        <v>-7.496110092344499E-2</v>
      </c>
      <c r="L117" s="7">
        <f t="shared" si="44"/>
        <v>-3.6325400038800248E-4</v>
      </c>
      <c r="M117" s="10">
        <f t="shared" si="45"/>
        <v>-7.5000000000000067E-2</v>
      </c>
      <c r="N117" s="1">
        <f t="shared" si="46"/>
        <v>-8.6021505376344037E-2</v>
      </c>
      <c r="O117" s="1">
        <f t="shared" si="47"/>
        <v>-8.6165048543689268E-2</v>
      </c>
      <c r="P117" s="1">
        <f t="shared" si="48"/>
        <v>-0.13207547169811315</v>
      </c>
      <c r="Q117" s="1">
        <f t="shared" si="49"/>
        <v>-9.5108932290871348E-2</v>
      </c>
      <c r="R117" s="1">
        <f t="shared" si="50"/>
        <v>-8.3326030459341955E-4</v>
      </c>
      <c r="S117" s="1">
        <f t="shared" si="51"/>
        <v>-9.3984962406015116E-2</v>
      </c>
      <c r="T117" s="3"/>
    </row>
    <row r="118" spans="1:20">
      <c r="A118" s="13" t="s">
        <v>115</v>
      </c>
      <c r="B118" s="2">
        <v>0.79400000000000004</v>
      </c>
      <c r="C118" s="2">
        <v>0.78200000000000003</v>
      </c>
      <c r="D118" s="2">
        <v>0.56100000000000005</v>
      </c>
      <c r="E118" s="12">
        <v>0.754</v>
      </c>
      <c r="F118" s="2">
        <v>0.499</v>
      </c>
      <c r="G118" s="8">
        <v>0.77200000000000002</v>
      </c>
      <c r="H118" s="7">
        <f t="shared" si="40"/>
        <v>-4.2999999999999927E-2</v>
      </c>
      <c r="I118" s="7">
        <f t="shared" si="41"/>
        <v>-4.1999999999999926E-2</v>
      </c>
      <c r="J118" s="7">
        <f t="shared" si="42"/>
        <v>-2.1999999999999909E-2</v>
      </c>
      <c r="K118" s="7">
        <f t="shared" si="43"/>
        <v>-3.4160471554781968E-2</v>
      </c>
      <c r="L118" s="7">
        <f t="shared" si="44"/>
        <v>6.3056995892479983E-2</v>
      </c>
      <c r="M118" s="10">
        <f t="shared" si="45"/>
        <v>-2.6000000000000023E-2</v>
      </c>
      <c r="N118" s="1">
        <f t="shared" si="46"/>
        <v>-5.137395459976097E-2</v>
      </c>
      <c r="O118" s="1">
        <f t="shared" si="47"/>
        <v>-5.0970873786407682E-2</v>
      </c>
      <c r="P118" s="1">
        <f t="shared" si="48"/>
        <v>-3.7735849056603619E-2</v>
      </c>
      <c r="Q118" s="1">
        <f t="shared" si="49"/>
        <v>-4.3342025878809386E-2</v>
      </c>
      <c r="R118" s="1">
        <f t="shared" si="50"/>
        <v>0.14464504602286896</v>
      </c>
      <c r="S118" s="1">
        <f t="shared" si="51"/>
        <v>-3.2581453634085239E-2</v>
      </c>
      <c r="T118" s="3"/>
    </row>
    <row r="119" spans="1:20">
      <c r="A119" t="s">
        <v>116</v>
      </c>
      <c r="B119" s="2">
        <v>0.46300000000000002</v>
      </c>
      <c r="C119" s="2">
        <v>0.40600000000000003</v>
      </c>
      <c r="D119" s="2">
        <v>0.26400000000000001</v>
      </c>
      <c r="E119" s="2">
        <v>0.38600000000000001</v>
      </c>
      <c r="F119" s="2">
        <v>0.22</v>
      </c>
      <c r="G119" s="8">
        <v>0.45300000000000001</v>
      </c>
      <c r="H119" s="7">
        <f t="shared" si="40"/>
        <v>-0.37399999999999994</v>
      </c>
      <c r="I119" s="7">
        <f t="shared" si="41"/>
        <v>-0.41799999999999993</v>
      </c>
      <c r="J119" s="7">
        <f t="shared" si="42"/>
        <v>-0.31899999999999995</v>
      </c>
      <c r="K119" s="7">
        <f t="shared" si="43"/>
        <v>-0.40216047155478196</v>
      </c>
      <c r="L119" s="7">
        <f t="shared" si="44"/>
        <v>-0.21594300410752001</v>
      </c>
      <c r="M119" s="10">
        <f t="shared" si="45"/>
        <v>-0.34500000000000003</v>
      </c>
      <c r="N119" s="1">
        <f t="shared" si="46"/>
        <v>-0.44683393070489841</v>
      </c>
      <c r="O119" s="1">
        <f t="shared" si="47"/>
        <v>-0.50728155339805814</v>
      </c>
      <c r="P119" s="1">
        <f t="shared" si="48"/>
        <v>-0.54716981132075471</v>
      </c>
      <c r="Q119" s="1">
        <f t="shared" si="49"/>
        <v>-0.51025201855334268</v>
      </c>
      <c r="R119" s="1">
        <f t="shared" si="50"/>
        <v>-0.49534687349693152</v>
      </c>
      <c r="S119" s="1">
        <f t="shared" si="51"/>
        <v>-0.43233082706766918</v>
      </c>
      <c r="T119" s="3"/>
    </row>
    <row r="120" spans="1:20">
      <c r="A120" s="4" t="s">
        <v>117</v>
      </c>
      <c r="B120" s="2">
        <v>0.80400000000000005</v>
      </c>
      <c r="C120" s="2">
        <v>0.78800000000000003</v>
      </c>
      <c r="D120" s="2">
        <v>0.54300000000000004</v>
      </c>
      <c r="E120" s="2">
        <v>0.75800000000000001</v>
      </c>
      <c r="F120" s="2">
        <v>0.45</v>
      </c>
      <c r="G120" s="8">
        <v>0.78</v>
      </c>
      <c r="H120" s="7">
        <f t="shared" si="40"/>
        <v>-3.2999999999999918E-2</v>
      </c>
      <c r="I120" s="7">
        <f t="shared" si="41"/>
        <v>-3.5999999999999921E-2</v>
      </c>
      <c r="J120" s="7">
        <f t="shared" si="42"/>
        <v>-3.9999999999999925E-2</v>
      </c>
      <c r="K120" s="7">
        <f t="shared" si="43"/>
        <v>-3.0160471554781965E-2</v>
      </c>
      <c r="L120" s="7">
        <f t="shared" si="44"/>
        <v>1.4056995892479995E-2</v>
      </c>
      <c r="M120" s="10">
        <f t="shared" si="45"/>
        <v>-1.8000000000000016E-2</v>
      </c>
      <c r="N120" s="1">
        <f t="shared" si="46"/>
        <v>-3.9426523297490947E-2</v>
      </c>
      <c r="O120" s="1">
        <f t="shared" si="47"/>
        <v>-4.3689320388349419E-2</v>
      </c>
      <c r="P120" s="1">
        <f t="shared" si="48"/>
        <v>-6.8610634648370375E-2</v>
      </c>
      <c r="Q120" s="1">
        <f t="shared" si="49"/>
        <v>-3.8266917262781842E-2</v>
      </c>
      <c r="R120" s="1">
        <f t="shared" si="50"/>
        <v>3.2245031483549187E-2</v>
      </c>
      <c r="S120" s="1">
        <f t="shared" si="51"/>
        <v>-2.2556390977443629E-2</v>
      </c>
      <c r="T120" s="3"/>
    </row>
    <row r="121" spans="1:20">
      <c r="A121" t="s">
        <v>132</v>
      </c>
      <c r="B121" s="2">
        <v>0.753</v>
      </c>
      <c r="C121" s="2">
        <v>0.72899999999999998</v>
      </c>
      <c r="D121" s="2">
        <v>0.49099999999999999</v>
      </c>
      <c r="E121" s="2">
        <v>0.69299999999999995</v>
      </c>
      <c r="F121" s="2">
        <v>0.42799999999999999</v>
      </c>
      <c r="G121" s="8">
        <v>0.72599999999999998</v>
      </c>
      <c r="H121" s="7">
        <f t="shared" si="40"/>
        <v>-8.3999999999999964E-2</v>
      </c>
      <c r="I121" s="7">
        <f t="shared" si="41"/>
        <v>-9.4999999999999973E-2</v>
      </c>
      <c r="J121" s="7">
        <f t="shared" si="42"/>
        <v>-9.1999999999999971E-2</v>
      </c>
      <c r="K121" s="7">
        <f t="shared" si="43"/>
        <v>-9.5160471554782022E-2</v>
      </c>
      <c r="L121" s="7">
        <f t="shared" si="44"/>
        <v>-7.9430041075200242E-3</v>
      </c>
      <c r="M121" s="10">
        <f t="shared" si="45"/>
        <v>-7.2000000000000064E-2</v>
      </c>
      <c r="N121" s="1">
        <f t="shared" si="46"/>
        <v>-0.10035842293906806</v>
      </c>
      <c r="O121" s="1">
        <f t="shared" si="47"/>
        <v>-0.11529126213592231</v>
      </c>
      <c r="P121" s="1">
        <f t="shared" si="48"/>
        <v>-0.15780445969125209</v>
      </c>
      <c r="Q121" s="1">
        <f t="shared" si="49"/>
        <v>-0.12073743227322939</v>
      </c>
      <c r="R121" s="1">
        <f t="shared" si="50"/>
        <v>-1.8220281166757706E-2</v>
      </c>
      <c r="S121" s="1">
        <f t="shared" si="51"/>
        <v>-9.0225563909774514E-2</v>
      </c>
      <c r="T121" s="3"/>
    </row>
    <row r="122" spans="1:20">
      <c r="A122" t="s">
        <v>130</v>
      </c>
      <c r="B122" s="2">
        <v>0.56000000000000005</v>
      </c>
      <c r="C122" s="2">
        <v>0.502</v>
      </c>
      <c r="D122" s="2">
        <v>0.31</v>
      </c>
      <c r="E122" s="2">
        <v>0.46</v>
      </c>
      <c r="F122" s="2">
        <v>0.25700000000000001</v>
      </c>
      <c r="G122" s="8">
        <v>0.53100000000000003</v>
      </c>
      <c r="H122" s="7">
        <f t="shared" si="40"/>
        <v>-0.27699999999999991</v>
      </c>
      <c r="I122" s="7">
        <f t="shared" si="41"/>
        <v>-0.32199999999999995</v>
      </c>
      <c r="J122" s="7">
        <f t="shared" si="42"/>
        <v>-0.27299999999999996</v>
      </c>
      <c r="K122" s="7">
        <f t="shared" si="43"/>
        <v>-0.32816047155478195</v>
      </c>
      <c r="L122" s="7">
        <f t="shared" si="44"/>
        <v>-0.17894300410752001</v>
      </c>
      <c r="M122" s="10">
        <f t="shared" si="45"/>
        <v>-0.26700000000000002</v>
      </c>
      <c r="N122" s="1">
        <f t="shared" si="46"/>
        <v>-0.33094384707287922</v>
      </c>
      <c r="O122" s="1">
        <f t="shared" si="47"/>
        <v>-0.39077669902912615</v>
      </c>
      <c r="P122" s="1">
        <f t="shared" si="48"/>
        <v>-0.46826758147512859</v>
      </c>
      <c r="Q122" s="1">
        <f t="shared" si="49"/>
        <v>-0.41636250915683332</v>
      </c>
      <c r="R122" s="1">
        <f t="shared" si="50"/>
        <v>-0.41047339313050635</v>
      </c>
      <c r="S122" s="1">
        <f t="shared" si="51"/>
        <v>-0.33458646616541354</v>
      </c>
      <c r="T122" s="3"/>
    </row>
    <row r="123" spans="1:20">
      <c r="A123" t="s">
        <v>131</v>
      </c>
      <c r="B123" s="2">
        <v>0.75700000000000001</v>
      </c>
      <c r="C123" s="2">
        <v>0.73</v>
      </c>
      <c r="D123" s="2">
        <v>0.49299999999999999</v>
      </c>
      <c r="E123" s="2">
        <v>0.68799999999999994</v>
      </c>
      <c r="F123" s="2">
        <v>0.43</v>
      </c>
      <c r="G123" s="8">
        <v>0.72</v>
      </c>
      <c r="H123" s="7">
        <f t="shared" si="40"/>
        <v>-7.999999999999996E-2</v>
      </c>
      <c r="I123" s="7">
        <f t="shared" si="41"/>
        <v>-9.3999999999999972E-2</v>
      </c>
      <c r="J123" s="7">
        <f t="shared" si="42"/>
        <v>-8.9999999999999969E-2</v>
      </c>
      <c r="K123" s="7">
        <f t="shared" si="43"/>
        <v>-0.10016047155478203</v>
      </c>
      <c r="L123" s="7">
        <f t="shared" si="44"/>
        <v>-5.9430041075200224E-3</v>
      </c>
      <c r="M123" s="10">
        <f t="shared" si="45"/>
        <v>-7.8000000000000069E-2</v>
      </c>
      <c r="N123" s="1">
        <f t="shared" si="46"/>
        <v>-9.5579450418160058E-2</v>
      </c>
      <c r="O123" s="1">
        <f t="shared" si="47"/>
        <v>-0.1140776699029126</v>
      </c>
      <c r="P123" s="1">
        <f t="shared" si="48"/>
        <v>-0.15437392795883356</v>
      </c>
      <c r="Q123" s="1">
        <f t="shared" si="49"/>
        <v>-0.12708131804326381</v>
      </c>
      <c r="R123" s="1">
        <f t="shared" si="50"/>
        <v>-1.3632525471275261E-2</v>
      </c>
      <c r="S123" s="1">
        <f t="shared" si="51"/>
        <v>-9.7744360902255717E-2</v>
      </c>
      <c r="T123" s="3"/>
    </row>
    <row r="124" spans="1:20">
      <c r="A124" t="s">
        <v>133</v>
      </c>
      <c r="B124" s="2">
        <v>0.79500000000000004</v>
      </c>
      <c r="C124" s="2">
        <v>0.77900000000000003</v>
      </c>
      <c r="D124" s="2">
        <v>0.55800000000000005</v>
      </c>
      <c r="E124" s="2">
        <v>0.75</v>
      </c>
      <c r="F124" s="2">
        <v>0.495</v>
      </c>
      <c r="G124" s="8">
        <v>0.77100000000000002</v>
      </c>
      <c r="H124" s="7">
        <f t="shared" si="40"/>
        <v>-4.1999999999999926E-2</v>
      </c>
      <c r="I124" s="7">
        <f t="shared" si="41"/>
        <v>-4.4999999999999929E-2</v>
      </c>
      <c r="J124" s="7">
        <f t="shared" si="42"/>
        <v>-2.4999999999999911E-2</v>
      </c>
      <c r="K124" s="7">
        <f t="shared" si="43"/>
        <v>-3.8160471554781972E-2</v>
      </c>
      <c r="L124" s="7">
        <f t="shared" si="44"/>
        <v>5.905699589247998E-2</v>
      </c>
      <c r="M124" s="10">
        <f t="shared" si="45"/>
        <v>-2.7000000000000024E-2</v>
      </c>
      <c r="N124" s="1">
        <f t="shared" si="46"/>
        <v>-5.0179211469533962E-2</v>
      </c>
      <c r="O124" s="1">
        <f t="shared" si="47"/>
        <v>-5.4611650485436813E-2</v>
      </c>
      <c r="P124" s="1">
        <f t="shared" si="48"/>
        <v>-4.2881646655231413E-2</v>
      </c>
      <c r="Q124" s="1">
        <f t="shared" si="49"/>
        <v>-4.8417134494836929E-2</v>
      </c>
      <c r="R124" s="1">
        <f t="shared" si="50"/>
        <v>0.13546953463190406</v>
      </c>
      <c r="S124" s="1">
        <f t="shared" si="51"/>
        <v>-3.3834586466165439E-2</v>
      </c>
      <c r="T124" s="3"/>
    </row>
    <row r="125" spans="1:20">
      <c r="A125" t="s">
        <v>134</v>
      </c>
      <c r="B125" s="2">
        <v>0.56299999999999994</v>
      </c>
      <c r="C125" s="2">
        <v>0.51100000000000001</v>
      </c>
      <c r="D125" s="2">
        <v>0.34399999999999997</v>
      </c>
      <c r="E125" s="2">
        <v>0.498</v>
      </c>
      <c r="F125" s="2">
        <v>0.30499999999999999</v>
      </c>
      <c r="G125" s="8">
        <v>0.56000000000000005</v>
      </c>
      <c r="H125" s="7">
        <f t="shared" si="40"/>
        <v>-0.27400000000000002</v>
      </c>
      <c r="I125" s="7">
        <f t="shared" si="41"/>
        <v>-0.31299999999999994</v>
      </c>
      <c r="J125" s="7">
        <f t="shared" si="42"/>
        <v>-0.23899999999999999</v>
      </c>
      <c r="K125" s="7">
        <f t="shared" si="43"/>
        <v>-0.29016047155478197</v>
      </c>
      <c r="L125" s="7">
        <f t="shared" si="44"/>
        <v>-0.13094300410752002</v>
      </c>
      <c r="M125" s="10">
        <f t="shared" si="45"/>
        <v>-0.23799999999999999</v>
      </c>
      <c r="N125" s="1">
        <f t="shared" si="46"/>
        <v>-0.32735961768219835</v>
      </c>
      <c r="O125" s="1">
        <f t="shared" si="47"/>
        <v>-0.37985436893203878</v>
      </c>
      <c r="P125" s="1">
        <f t="shared" si="48"/>
        <v>-0.40994854202401371</v>
      </c>
      <c r="Q125" s="1">
        <f t="shared" si="49"/>
        <v>-0.36814897730457175</v>
      </c>
      <c r="R125" s="1">
        <f t="shared" si="50"/>
        <v>-0.30036725643892781</v>
      </c>
      <c r="S125" s="1">
        <f t="shared" si="51"/>
        <v>-0.2982456140350877</v>
      </c>
      <c r="T125" s="3"/>
    </row>
    <row r="126" spans="1:20">
      <c r="A126" s="4" t="s">
        <v>135</v>
      </c>
      <c r="B126" s="2">
        <v>0.80800000000000005</v>
      </c>
      <c r="C126" s="2">
        <v>0.79300000000000004</v>
      </c>
      <c r="D126" s="2">
        <v>0.56499999999999995</v>
      </c>
      <c r="E126" s="2">
        <v>0.76700000000000002</v>
      </c>
      <c r="F126" s="2">
        <v>0.498</v>
      </c>
      <c r="G126" s="8">
        <v>0.78600000000000003</v>
      </c>
      <c r="H126" s="7">
        <f t="shared" si="40"/>
        <v>-2.8999999999999915E-2</v>
      </c>
      <c r="I126" s="7">
        <f t="shared" si="41"/>
        <v>-3.0999999999999917E-2</v>
      </c>
      <c r="J126" s="7">
        <f t="shared" si="42"/>
        <v>-1.8000000000000016E-2</v>
      </c>
      <c r="K126" s="7">
        <f t="shared" si="43"/>
        <v>-2.1160471554781957E-2</v>
      </c>
      <c r="L126" s="7">
        <f t="shared" si="44"/>
        <v>6.2056995892479982E-2</v>
      </c>
      <c r="M126" s="10">
        <f t="shared" si="45"/>
        <v>-1.2000000000000011E-2</v>
      </c>
      <c r="N126" s="1">
        <f t="shared" si="46"/>
        <v>-3.4647550776582936E-2</v>
      </c>
      <c r="O126" s="1">
        <f t="shared" si="47"/>
        <v>-3.7621359223300871E-2</v>
      </c>
      <c r="P126" s="1">
        <f t="shared" si="48"/>
        <v>-3.0874785591766752E-2</v>
      </c>
      <c r="Q126" s="1">
        <f t="shared" si="49"/>
        <v>-2.6847922876719877E-2</v>
      </c>
      <c r="R126" s="1">
        <f t="shared" si="50"/>
        <v>0.14235116817512775</v>
      </c>
      <c r="S126" s="1">
        <f t="shared" si="51"/>
        <v>-1.5037593984962419E-2</v>
      </c>
      <c r="T126" s="3"/>
    </row>
    <row r="127" spans="1:20">
      <c r="A127" t="s">
        <v>126</v>
      </c>
      <c r="B127" s="2">
        <v>0.72099999999999997</v>
      </c>
      <c r="C127" s="2">
        <v>0.70599999999999996</v>
      </c>
      <c r="D127" s="2">
        <v>0.45</v>
      </c>
      <c r="E127" s="2">
        <v>0.66800000000000004</v>
      </c>
      <c r="F127" s="2">
        <v>0.39500000000000002</v>
      </c>
      <c r="G127" s="8">
        <v>0.68799999999999994</v>
      </c>
      <c r="H127" s="7">
        <f t="shared" si="40"/>
        <v>-0.11599999999999999</v>
      </c>
      <c r="I127" s="7">
        <f t="shared" si="41"/>
        <v>-0.11799999999999999</v>
      </c>
      <c r="J127" s="7">
        <f t="shared" si="42"/>
        <v>-0.13299999999999995</v>
      </c>
      <c r="K127" s="7">
        <f t="shared" si="43"/>
        <v>-0.12016047155478193</v>
      </c>
      <c r="L127" s="7">
        <f t="shared" si="44"/>
        <v>-4.0943004107519998E-2</v>
      </c>
      <c r="M127" s="10">
        <f t="shared" si="45"/>
        <v>-0.1100000000000001</v>
      </c>
      <c r="N127" s="1">
        <f t="shared" si="46"/>
        <v>-0.13859020310633213</v>
      </c>
      <c r="O127" s="1">
        <f t="shared" si="47"/>
        <v>-0.14320388349514562</v>
      </c>
      <c r="P127" s="1">
        <f t="shared" si="48"/>
        <v>-0.22813036020583183</v>
      </c>
      <c r="Q127" s="1">
        <f t="shared" si="49"/>
        <v>-0.15245686112340137</v>
      </c>
      <c r="R127" s="1">
        <f t="shared" si="50"/>
        <v>-9.3918250142217913E-2</v>
      </c>
      <c r="S127" s="1">
        <f t="shared" si="51"/>
        <v>-0.13784461152882216</v>
      </c>
      <c r="T127" s="3"/>
    </row>
    <row r="128" spans="1:20">
      <c r="A128" t="s">
        <v>124</v>
      </c>
      <c r="B128" s="2">
        <v>0.55800000000000005</v>
      </c>
      <c r="C128" s="2">
        <v>0.502</v>
      </c>
      <c r="D128" s="2">
        <v>0.317</v>
      </c>
      <c r="E128" s="2">
        <v>0.46400000000000002</v>
      </c>
      <c r="F128" s="2">
        <v>0.26400000000000001</v>
      </c>
      <c r="G128" s="8">
        <v>0.52600000000000002</v>
      </c>
      <c r="H128" s="7">
        <f t="shared" si="40"/>
        <v>-0.27899999999999991</v>
      </c>
      <c r="I128" s="7">
        <f t="shared" si="41"/>
        <v>-0.32199999999999995</v>
      </c>
      <c r="J128" s="7">
        <f t="shared" si="42"/>
        <v>-0.26599999999999996</v>
      </c>
      <c r="K128" s="7">
        <f t="shared" si="43"/>
        <v>-0.32416047155478195</v>
      </c>
      <c r="L128" s="7">
        <f t="shared" si="44"/>
        <v>-0.17194300410752</v>
      </c>
      <c r="M128" s="10">
        <f t="shared" si="45"/>
        <v>-0.27200000000000002</v>
      </c>
      <c r="N128" s="1">
        <f t="shared" si="46"/>
        <v>-0.33333333333333326</v>
      </c>
      <c r="O128" s="1">
        <f t="shared" si="47"/>
        <v>-0.39077669902912615</v>
      </c>
      <c r="P128" s="1">
        <f t="shared" si="48"/>
        <v>-0.45626072041166377</v>
      </c>
      <c r="Q128" s="1">
        <f t="shared" si="49"/>
        <v>-0.41128740054080576</v>
      </c>
      <c r="R128" s="1">
        <f t="shared" si="50"/>
        <v>-0.39441624819631782</v>
      </c>
      <c r="S128" s="1">
        <f t="shared" si="51"/>
        <v>-0.34085213032581452</v>
      </c>
      <c r="T128" s="3"/>
    </row>
    <row r="129" spans="1:20">
      <c r="A129" t="s">
        <v>125</v>
      </c>
      <c r="B129" s="2">
        <v>0.751</v>
      </c>
      <c r="C129" s="2">
        <v>0.72699999999999998</v>
      </c>
      <c r="D129" s="2">
        <v>0.48399999999999999</v>
      </c>
      <c r="E129" s="2">
        <v>0.68700000000000006</v>
      </c>
      <c r="F129" s="2">
        <v>0.42499999999999999</v>
      </c>
      <c r="G129" s="8">
        <v>0.71399999999999997</v>
      </c>
      <c r="H129" s="7">
        <f t="shared" si="40"/>
        <v>-8.5999999999999965E-2</v>
      </c>
      <c r="I129" s="7">
        <f t="shared" si="41"/>
        <v>-9.6999999999999975E-2</v>
      </c>
      <c r="J129" s="7">
        <f t="shared" si="42"/>
        <v>-9.8999999999999977E-2</v>
      </c>
      <c r="K129" s="7">
        <f t="shared" si="43"/>
        <v>-0.10116047155478192</v>
      </c>
      <c r="L129" s="7">
        <f t="shared" si="44"/>
        <v>-1.0943004107520027E-2</v>
      </c>
      <c r="M129" s="10">
        <f t="shared" si="45"/>
        <v>-8.4000000000000075E-2</v>
      </c>
      <c r="N129" s="1">
        <f t="shared" si="46"/>
        <v>-0.10274790919952206</v>
      </c>
      <c r="O129" s="1">
        <f t="shared" si="47"/>
        <v>-0.11771844660194172</v>
      </c>
      <c r="P129" s="1">
        <f t="shared" si="48"/>
        <v>-0.16981132075471694</v>
      </c>
      <c r="Q129" s="1">
        <f t="shared" si="49"/>
        <v>-0.12835009519727056</v>
      </c>
      <c r="R129" s="1">
        <f t="shared" si="50"/>
        <v>-2.5101914709981372E-2</v>
      </c>
      <c r="S129" s="1">
        <f t="shared" si="51"/>
        <v>-0.10526315789473693</v>
      </c>
      <c r="T129" s="3"/>
    </row>
    <row r="130" spans="1:20">
      <c r="A130" t="s">
        <v>127</v>
      </c>
      <c r="B130" s="2">
        <v>0.79400000000000004</v>
      </c>
      <c r="C130" s="2">
        <v>0.78200000000000003</v>
      </c>
      <c r="D130" s="2">
        <v>0.56100000000000005</v>
      </c>
      <c r="E130" s="2">
        <v>0.754</v>
      </c>
      <c r="F130" s="2">
        <v>0.499</v>
      </c>
      <c r="G130" s="8">
        <v>0.77200000000000002</v>
      </c>
      <c r="H130" s="7">
        <f t="shared" ref="H130:H144" si="52">B130-V$2</f>
        <v>-4.2999999999999927E-2</v>
      </c>
      <c r="I130" s="7">
        <f t="shared" ref="I130:I144" si="53">C130-W$2</f>
        <v>-4.1999999999999926E-2</v>
      </c>
      <c r="J130" s="7">
        <f t="shared" ref="J130:J144" si="54">D130-X$2</f>
        <v>-2.1999999999999909E-2</v>
      </c>
      <c r="K130" s="7">
        <f t="shared" ref="K130:K144" si="55">E130-Y$2</f>
        <v>-3.4160471554781968E-2</v>
      </c>
      <c r="L130" s="7">
        <f t="shared" ref="L130:L144" si="56">F130-Z$2</f>
        <v>6.3056995892479983E-2</v>
      </c>
      <c r="M130" s="10">
        <f t="shared" ref="M130:M144" si="57">G130-AA$2</f>
        <v>-2.6000000000000023E-2</v>
      </c>
      <c r="N130" s="1">
        <f t="shared" ref="N130:N144" si="58">(B130-V$2)/V$2</f>
        <v>-5.137395459976097E-2</v>
      </c>
      <c r="O130" s="1">
        <f t="shared" ref="O130:O144" si="59">(C130-W$2)/W$2</f>
        <v>-5.0970873786407682E-2</v>
      </c>
      <c r="P130" s="1">
        <f t="shared" ref="P130:P144" si="60">(D130-X$2)/X$2</f>
        <v>-3.7735849056603619E-2</v>
      </c>
      <c r="Q130" s="1">
        <f t="shared" ref="Q130:Q144" si="61">(E130-Y$2)/Y$2</f>
        <v>-4.3342025878809386E-2</v>
      </c>
      <c r="R130" s="1">
        <f t="shared" ref="R130:R144" si="62">(F130-Z$2)/Z$2</f>
        <v>0.14464504602286896</v>
      </c>
      <c r="S130" s="1">
        <f t="shared" ref="S130:S144" si="63">(G130-AA$2)/AA$2</f>
        <v>-3.2581453634085239E-2</v>
      </c>
      <c r="T130" s="3"/>
    </row>
    <row r="131" spans="1:20">
      <c r="A131" t="s">
        <v>128</v>
      </c>
      <c r="B131" s="2">
        <v>0.56399999999999995</v>
      </c>
      <c r="C131" s="2">
        <v>0.51500000000000001</v>
      </c>
      <c r="D131" s="2">
        <v>0.34599999999999997</v>
      </c>
      <c r="E131" s="2">
        <v>0.495</v>
      </c>
      <c r="F131" s="2">
        <v>0.309</v>
      </c>
      <c r="G131" s="8">
        <v>0.55900000000000005</v>
      </c>
      <c r="H131" s="7">
        <f t="shared" si="52"/>
        <v>-0.27300000000000002</v>
      </c>
      <c r="I131" s="7">
        <f t="shared" si="53"/>
        <v>-0.30899999999999994</v>
      </c>
      <c r="J131" s="7">
        <f t="shared" si="54"/>
        <v>-0.23699999999999999</v>
      </c>
      <c r="K131" s="7">
        <f t="shared" si="55"/>
        <v>-0.29316047155478198</v>
      </c>
      <c r="L131" s="7">
        <f t="shared" si="56"/>
        <v>-0.12694300410752002</v>
      </c>
      <c r="M131" s="10">
        <f t="shared" si="57"/>
        <v>-0.23899999999999999</v>
      </c>
      <c r="N131" s="1">
        <f t="shared" si="58"/>
        <v>-0.32616487455197135</v>
      </c>
      <c r="O131" s="1">
        <f t="shared" si="59"/>
        <v>-0.37499999999999994</v>
      </c>
      <c r="P131" s="1">
        <f t="shared" si="60"/>
        <v>-0.40651801029159518</v>
      </c>
      <c r="Q131" s="1">
        <f t="shared" si="61"/>
        <v>-0.37195530876659239</v>
      </c>
      <c r="R131" s="1">
        <f t="shared" si="62"/>
        <v>-0.29119174504796291</v>
      </c>
      <c r="S131" s="1">
        <f t="shared" si="63"/>
        <v>-0.29949874686716788</v>
      </c>
      <c r="T131" s="3"/>
    </row>
    <row r="132" spans="1:20">
      <c r="A132" s="4" t="s">
        <v>129</v>
      </c>
      <c r="B132" s="2">
        <v>0.80300000000000005</v>
      </c>
      <c r="C132" s="2">
        <v>0.79300000000000004</v>
      </c>
      <c r="D132" s="2">
        <v>0.56499999999999995</v>
      </c>
      <c r="E132" s="2">
        <v>0.76700000000000002</v>
      </c>
      <c r="F132" s="2">
        <v>0.495</v>
      </c>
      <c r="G132" s="8">
        <v>0.78700000000000003</v>
      </c>
      <c r="H132" s="7">
        <f t="shared" si="52"/>
        <v>-3.3999999999999919E-2</v>
      </c>
      <c r="I132" s="7">
        <f t="shared" si="53"/>
        <v>-3.0999999999999917E-2</v>
      </c>
      <c r="J132" s="7">
        <f t="shared" si="54"/>
        <v>-1.8000000000000016E-2</v>
      </c>
      <c r="K132" s="7">
        <f t="shared" si="55"/>
        <v>-2.1160471554781957E-2</v>
      </c>
      <c r="L132" s="7">
        <f t="shared" si="56"/>
        <v>5.905699589247998E-2</v>
      </c>
      <c r="M132" s="10">
        <f t="shared" si="57"/>
        <v>-1.100000000000001E-2</v>
      </c>
      <c r="N132" s="1">
        <f t="shared" si="58"/>
        <v>-4.0621266427717947E-2</v>
      </c>
      <c r="O132" s="1">
        <f t="shared" si="59"/>
        <v>-3.7621359223300871E-2</v>
      </c>
      <c r="P132" s="1">
        <f t="shared" si="60"/>
        <v>-3.0874785591766752E-2</v>
      </c>
      <c r="Q132" s="1">
        <f t="shared" si="61"/>
        <v>-2.6847922876719877E-2</v>
      </c>
      <c r="R132" s="1">
        <f t="shared" si="62"/>
        <v>0.13546953463190406</v>
      </c>
      <c r="S132" s="1">
        <f t="shared" si="63"/>
        <v>-1.3784461152882217E-2</v>
      </c>
      <c r="T132" s="3"/>
    </row>
    <row r="133" spans="1:20">
      <c r="A133" t="s">
        <v>144</v>
      </c>
      <c r="B133" s="2">
        <v>0.76400000000000001</v>
      </c>
      <c r="C133" s="2">
        <v>0.74199999999999999</v>
      </c>
      <c r="D133" s="2">
        <v>0.50700000000000001</v>
      </c>
      <c r="E133" s="2">
        <v>0.71099999999999997</v>
      </c>
      <c r="F133" s="2">
        <v>0.45100000000000001</v>
      </c>
      <c r="G133" s="8">
        <v>0.73</v>
      </c>
      <c r="H133" s="7">
        <f t="shared" si="52"/>
        <v>-7.2999999999999954E-2</v>
      </c>
      <c r="I133" s="7">
        <f t="shared" si="53"/>
        <v>-8.1999999999999962E-2</v>
      </c>
      <c r="J133" s="7">
        <f t="shared" si="54"/>
        <v>-7.5999999999999956E-2</v>
      </c>
      <c r="K133" s="7">
        <f t="shared" si="55"/>
        <v>-7.7160471554782006E-2</v>
      </c>
      <c r="L133" s="7">
        <f t="shared" si="56"/>
        <v>1.5056995892479996E-2</v>
      </c>
      <c r="M133" s="10">
        <f t="shared" si="57"/>
        <v>-6.800000000000006E-2</v>
      </c>
      <c r="N133" s="1">
        <f t="shared" si="58"/>
        <v>-8.7216248506571031E-2</v>
      </c>
      <c r="O133" s="1">
        <f t="shared" si="59"/>
        <v>-9.9514563106796072E-2</v>
      </c>
      <c r="P133" s="1">
        <f t="shared" si="60"/>
        <v>-0.13036020583190389</v>
      </c>
      <c r="Q133" s="1">
        <f t="shared" si="61"/>
        <v>-9.7899443501105451E-2</v>
      </c>
      <c r="R133" s="1">
        <f t="shared" si="62"/>
        <v>3.4538909331290411E-2</v>
      </c>
      <c r="S133" s="1">
        <f t="shared" si="63"/>
        <v>-8.5213032581453699E-2</v>
      </c>
      <c r="T133" s="3"/>
    </row>
    <row r="134" spans="1:20">
      <c r="A134" t="s">
        <v>142</v>
      </c>
      <c r="B134" s="2">
        <v>0.55600000000000005</v>
      </c>
      <c r="C134" s="2">
        <v>0.49199999999999999</v>
      </c>
      <c r="D134" s="2">
        <v>0.312</v>
      </c>
      <c r="E134" s="2">
        <v>0.45100000000000001</v>
      </c>
      <c r="F134" s="2">
        <v>0.25700000000000001</v>
      </c>
      <c r="G134" s="8">
        <v>0.52200000000000002</v>
      </c>
      <c r="H134" s="7">
        <f t="shared" si="52"/>
        <v>-0.28099999999999992</v>
      </c>
      <c r="I134" s="7">
        <f t="shared" si="53"/>
        <v>-0.33199999999999996</v>
      </c>
      <c r="J134" s="7">
        <f t="shared" si="54"/>
        <v>-0.27099999999999996</v>
      </c>
      <c r="K134" s="7">
        <f t="shared" si="55"/>
        <v>-0.33716047155478196</v>
      </c>
      <c r="L134" s="7">
        <f t="shared" si="56"/>
        <v>-0.17894300410752001</v>
      </c>
      <c r="M134" s="10">
        <f t="shared" si="57"/>
        <v>-0.27600000000000002</v>
      </c>
      <c r="N134" s="1">
        <f t="shared" si="58"/>
        <v>-0.33572281959378725</v>
      </c>
      <c r="O134" s="1">
        <f t="shared" si="59"/>
        <v>-0.40291262135922329</v>
      </c>
      <c r="P134" s="1">
        <f t="shared" si="60"/>
        <v>-0.46483704974271006</v>
      </c>
      <c r="Q134" s="1">
        <f t="shared" si="61"/>
        <v>-0.42778150354289524</v>
      </c>
      <c r="R134" s="1">
        <f t="shared" si="62"/>
        <v>-0.41047339313050635</v>
      </c>
      <c r="S134" s="1">
        <f t="shared" si="63"/>
        <v>-0.34586466165413537</v>
      </c>
      <c r="T134" s="3"/>
    </row>
    <row r="135" spans="1:20">
      <c r="A135" t="s">
        <v>143</v>
      </c>
      <c r="B135" s="2">
        <v>0.77100000000000002</v>
      </c>
      <c r="C135" s="2">
        <v>0.74299999999999999</v>
      </c>
      <c r="D135" s="2">
        <v>0.51100000000000001</v>
      </c>
      <c r="E135" s="2">
        <v>0.71</v>
      </c>
      <c r="F135" s="2">
        <v>0.45200000000000001</v>
      </c>
      <c r="G135" s="8">
        <v>0.73899999999999999</v>
      </c>
      <c r="H135" s="7">
        <f t="shared" si="52"/>
        <v>-6.5999999999999948E-2</v>
      </c>
      <c r="I135" s="7">
        <f t="shared" si="53"/>
        <v>-8.0999999999999961E-2</v>
      </c>
      <c r="J135" s="7">
        <f t="shared" si="54"/>
        <v>-7.1999999999999953E-2</v>
      </c>
      <c r="K135" s="7">
        <f t="shared" si="55"/>
        <v>-7.8160471554782007E-2</v>
      </c>
      <c r="L135" s="7">
        <f t="shared" si="56"/>
        <v>1.6056995892479997E-2</v>
      </c>
      <c r="M135" s="10">
        <f t="shared" si="57"/>
        <v>-5.9000000000000052E-2</v>
      </c>
      <c r="N135" s="1">
        <f t="shared" si="58"/>
        <v>-7.8853046594982018E-2</v>
      </c>
      <c r="O135" s="1">
        <f t="shared" si="59"/>
        <v>-9.8300970873786364E-2</v>
      </c>
      <c r="P135" s="1">
        <f t="shared" si="60"/>
        <v>-0.12349914236706683</v>
      </c>
      <c r="Q135" s="1">
        <f t="shared" si="61"/>
        <v>-9.9168220655112341E-2</v>
      </c>
      <c r="R135" s="1">
        <f t="shared" si="62"/>
        <v>3.6832787179031629E-2</v>
      </c>
      <c r="S135" s="1">
        <f t="shared" si="63"/>
        <v>-7.3934837092731895E-2</v>
      </c>
      <c r="T135" s="3"/>
    </row>
    <row r="136" spans="1:20">
      <c r="A136" t="s">
        <v>145</v>
      </c>
      <c r="B136" s="2">
        <v>0.79500000000000004</v>
      </c>
      <c r="C136" s="2">
        <v>0.77900000000000003</v>
      </c>
      <c r="D136" s="2">
        <v>0.55800000000000005</v>
      </c>
      <c r="E136" s="2">
        <v>0.75</v>
      </c>
      <c r="F136" s="2">
        <v>0.495</v>
      </c>
      <c r="G136" s="8">
        <v>0.77100000000000002</v>
      </c>
      <c r="H136" s="7">
        <f t="shared" si="52"/>
        <v>-4.1999999999999926E-2</v>
      </c>
      <c r="I136" s="7">
        <f t="shared" si="53"/>
        <v>-4.4999999999999929E-2</v>
      </c>
      <c r="J136" s="7">
        <f t="shared" si="54"/>
        <v>-2.4999999999999911E-2</v>
      </c>
      <c r="K136" s="7">
        <f t="shared" si="55"/>
        <v>-3.8160471554781972E-2</v>
      </c>
      <c r="L136" s="7">
        <f t="shared" si="56"/>
        <v>5.905699589247998E-2</v>
      </c>
      <c r="M136" s="10">
        <f t="shared" si="57"/>
        <v>-2.7000000000000024E-2</v>
      </c>
      <c r="N136" s="1">
        <f t="shared" si="58"/>
        <v>-5.0179211469533962E-2</v>
      </c>
      <c r="O136" s="1">
        <f t="shared" si="59"/>
        <v>-5.4611650485436813E-2</v>
      </c>
      <c r="P136" s="1">
        <f t="shared" si="60"/>
        <v>-4.2881646655231413E-2</v>
      </c>
      <c r="Q136" s="1">
        <f t="shared" si="61"/>
        <v>-4.8417134494836929E-2</v>
      </c>
      <c r="R136" s="1">
        <f t="shared" si="62"/>
        <v>0.13546953463190406</v>
      </c>
      <c r="S136" s="1">
        <f t="shared" si="63"/>
        <v>-3.3834586466165439E-2</v>
      </c>
      <c r="T136" s="3"/>
    </row>
    <row r="137" spans="1:20">
      <c r="A137" t="s">
        <v>146</v>
      </c>
      <c r="B137" s="2">
        <v>0.56899999999999995</v>
      </c>
      <c r="C137" s="2">
        <v>0.52200000000000002</v>
      </c>
      <c r="D137" s="2">
        <v>0.34300000000000003</v>
      </c>
      <c r="E137" s="2">
        <v>0.499</v>
      </c>
      <c r="F137" s="2">
        <v>0.30399999999999999</v>
      </c>
      <c r="G137" s="8">
        <v>0.55800000000000005</v>
      </c>
      <c r="H137" s="7">
        <f t="shared" si="52"/>
        <v>-0.26800000000000002</v>
      </c>
      <c r="I137" s="7">
        <f t="shared" si="53"/>
        <v>-0.30199999999999994</v>
      </c>
      <c r="J137" s="7">
        <f t="shared" si="54"/>
        <v>-0.23999999999999994</v>
      </c>
      <c r="K137" s="7">
        <f t="shared" si="55"/>
        <v>-0.28916047155478197</v>
      </c>
      <c r="L137" s="7">
        <f t="shared" si="56"/>
        <v>-0.13194300410752002</v>
      </c>
      <c r="M137" s="10">
        <f t="shared" si="57"/>
        <v>-0.24</v>
      </c>
      <c r="N137" s="1">
        <f t="shared" si="58"/>
        <v>-0.32019115890083633</v>
      </c>
      <c r="O137" s="1">
        <f t="shared" si="59"/>
        <v>-0.36650485436893199</v>
      </c>
      <c r="P137" s="1">
        <f t="shared" si="60"/>
        <v>-0.41166380789022289</v>
      </c>
      <c r="Q137" s="1">
        <f t="shared" si="61"/>
        <v>-0.36688020015056483</v>
      </c>
      <c r="R137" s="1">
        <f t="shared" si="62"/>
        <v>-0.30266113428666902</v>
      </c>
      <c r="S137" s="1">
        <f t="shared" si="63"/>
        <v>-0.3007518796992481</v>
      </c>
      <c r="T137" s="3"/>
    </row>
    <row r="138" spans="1:20">
      <c r="A138" s="4" t="s">
        <v>147</v>
      </c>
      <c r="B138" s="2">
        <v>0.80500000000000005</v>
      </c>
      <c r="C138" s="2">
        <v>0.79400000000000004</v>
      </c>
      <c r="D138" s="2">
        <v>0.55800000000000005</v>
      </c>
      <c r="E138" s="2">
        <v>0.76500000000000001</v>
      </c>
      <c r="F138" s="2">
        <v>0.48599999999999999</v>
      </c>
      <c r="G138" s="8">
        <v>0.78300000000000003</v>
      </c>
      <c r="H138" s="7">
        <f t="shared" si="52"/>
        <v>-3.1999999999999917E-2</v>
      </c>
      <c r="I138" s="7">
        <f t="shared" si="53"/>
        <v>-2.9999999999999916E-2</v>
      </c>
      <c r="J138" s="7">
        <f t="shared" si="54"/>
        <v>-2.4999999999999911E-2</v>
      </c>
      <c r="K138" s="7">
        <f t="shared" si="55"/>
        <v>-2.3160471554781958E-2</v>
      </c>
      <c r="L138" s="7">
        <f t="shared" si="56"/>
        <v>5.0056995892479972E-2</v>
      </c>
      <c r="M138" s="10">
        <f t="shared" si="57"/>
        <v>-1.5000000000000013E-2</v>
      </c>
      <c r="N138" s="1">
        <f t="shared" si="58"/>
        <v>-3.8231780167263939E-2</v>
      </c>
      <c r="O138" s="1">
        <f t="shared" si="59"/>
        <v>-3.6407766990291163E-2</v>
      </c>
      <c r="P138" s="1">
        <f t="shared" si="60"/>
        <v>-4.2881646655231413E-2</v>
      </c>
      <c r="Q138" s="1">
        <f t="shared" si="61"/>
        <v>-2.9385477184733649E-2</v>
      </c>
      <c r="R138" s="1">
        <f t="shared" si="62"/>
        <v>0.11482463400223307</v>
      </c>
      <c r="S138" s="1">
        <f t="shared" si="63"/>
        <v>-1.8796992481203024E-2</v>
      </c>
      <c r="T138" s="3"/>
    </row>
    <row r="139" spans="1:20">
      <c r="A139" t="s">
        <v>138</v>
      </c>
      <c r="B139" s="2">
        <v>0.76700000000000002</v>
      </c>
      <c r="C139" s="2">
        <v>0.74299999999999999</v>
      </c>
      <c r="D139" s="2">
        <v>0.50900000000000001</v>
      </c>
      <c r="E139" s="2">
        <v>0.71</v>
      </c>
      <c r="F139" s="2">
        <v>0.44900000000000001</v>
      </c>
      <c r="G139" s="8">
        <v>0.73499999999999999</v>
      </c>
      <c r="H139" s="7">
        <f t="shared" si="52"/>
        <v>-6.9999999999999951E-2</v>
      </c>
      <c r="I139" s="7">
        <f t="shared" si="53"/>
        <v>-8.0999999999999961E-2</v>
      </c>
      <c r="J139" s="7">
        <f t="shared" si="54"/>
        <v>-7.3999999999999955E-2</v>
      </c>
      <c r="K139" s="7">
        <f t="shared" si="55"/>
        <v>-7.8160471554782007E-2</v>
      </c>
      <c r="L139" s="7">
        <f t="shared" si="56"/>
        <v>1.3056995892479994E-2</v>
      </c>
      <c r="M139" s="10">
        <f t="shared" si="57"/>
        <v>-6.3000000000000056E-2</v>
      </c>
      <c r="N139" s="1">
        <f t="shared" si="58"/>
        <v>-8.3632019115890036E-2</v>
      </c>
      <c r="O139" s="1">
        <f t="shared" si="59"/>
        <v>-9.8300970873786364E-2</v>
      </c>
      <c r="P139" s="1">
        <f t="shared" si="60"/>
        <v>-0.12692967409948536</v>
      </c>
      <c r="Q139" s="1">
        <f t="shared" si="61"/>
        <v>-9.9168220655112341E-2</v>
      </c>
      <c r="R139" s="1">
        <f t="shared" si="62"/>
        <v>2.9951153635807963E-2</v>
      </c>
      <c r="S139" s="1">
        <f t="shared" si="63"/>
        <v>-7.8947368421052697E-2</v>
      </c>
      <c r="T139" s="3"/>
    </row>
    <row r="140" spans="1:20">
      <c r="A140" t="s">
        <v>136</v>
      </c>
      <c r="B140" s="2">
        <v>0.55500000000000005</v>
      </c>
      <c r="C140" s="2">
        <v>0.49299999999999999</v>
      </c>
      <c r="D140" s="2">
        <v>0.314</v>
      </c>
      <c r="E140" s="2">
        <v>0.45</v>
      </c>
      <c r="F140" s="2">
        <v>0.25900000000000001</v>
      </c>
      <c r="G140" s="8">
        <v>0.52200000000000002</v>
      </c>
      <c r="H140" s="7">
        <f t="shared" si="52"/>
        <v>-0.28199999999999992</v>
      </c>
      <c r="I140" s="7">
        <f t="shared" si="53"/>
        <v>-0.33099999999999996</v>
      </c>
      <c r="J140" s="7">
        <f t="shared" si="54"/>
        <v>-0.26899999999999996</v>
      </c>
      <c r="K140" s="7">
        <f t="shared" si="55"/>
        <v>-0.33816047155478196</v>
      </c>
      <c r="L140" s="7">
        <f t="shared" si="56"/>
        <v>-0.17694300410752001</v>
      </c>
      <c r="M140" s="10">
        <f t="shared" si="57"/>
        <v>-0.27600000000000002</v>
      </c>
      <c r="N140" s="1">
        <f t="shared" si="58"/>
        <v>-0.33691756272401424</v>
      </c>
      <c r="O140" s="1">
        <f t="shared" si="59"/>
        <v>-0.40169902912621358</v>
      </c>
      <c r="P140" s="1">
        <f t="shared" si="60"/>
        <v>-0.46140651801029153</v>
      </c>
      <c r="Q140" s="1">
        <f t="shared" si="61"/>
        <v>-0.42905028069690215</v>
      </c>
      <c r="R140" s="1">
        <f t="shared" si="62"/>
        <v>-0.40588563743502393</v>
      </c>
      <c r="S140" s="1">
        <f t="shared" si="63"/>
        <v>-0.34586466165413537</v>
      </c>
      <c r="T140" s="3"/>
    </row>
    <row r="141" spans="1:20">
      <c r="A141" t="s">
        <v>137</v>
      </c>
      <c r="B141" s="2">
        <v>0.76300000000000001</v>
      </c>
      <c r="C141" s="2">
        <v>0.74399999999999999</v>
      </c>
      <c r="D141" s="2">
        <v>0.51200000000000001</v>
      </c>
      <c r="E141" s="2">
        <v>0.71399999999999997</v>
      </c>
      <c r="F141" s="2">
        <v>0.45400000000000001</v>
      </c>
      <c r="G141" s="8">
        <v>0.73699999999999999</v>
      </c>
      <c r="H141" s="7">
        <f t="shared" si="52"/>
        <v>-7.3999999999999955E-2</v>
      </c>
      <c r="I141" s="7">
        <f t="shared" si="53"/>
        <v>-7.999999999999996E-2</v>
      </c>
      <c r="J141" s="7">
        <f t="shared" si="54"/>
        <v>-7.0999999999999952E-2</v>
      </c>
      <c r="K141" s="7">
        <f t="shared" si="55"/>
        <v>-7.4160471554782004E-2</v>
      </c>
      <c r="L141" s="7">
        <f t="shared" si="56"/>
        <v>1.8056995892479999E-2</v>
      </c>
      <c r="M141" s="10">
        <f t="shared" si="57"/>
        <v>-6.1000000000000054E-2</v>
      </c>
      <c r="N141" s="1">
        <f t="shared" si="58"/>
        <v>-8.8410991636798039E-2</v>
      </c>
      <c r="O141" s="1">
        <f t="shared" si="59"/>
        <v>-9.7087378640776656E-2</v>
      </c>
      <c r="P141" s="1">
        <f t="shared" si="60"/>
        <v>-0.12178387650085756</v>
      </c>
      <c r="Q141" s="1">
        <f t="shared" si="61"/>
        <v>-9.4093112039084797E-2</v>
      </c>
      <c r="R141" s="1">
        <f t="shared" si="62"/>
        <v>4.1420542874514077E-2</v>
      </c>
      <c r="S141" s="1">
        <f t="shared" si="63"/>
        <v>-7.6441102756892296E-2</v>
      </c>
      <c r="T141" s="3"/>
    </row>
    <row r="142" spans="1:20">
      <c r="A142" t="s">
        <v>139</v>
      </c>
      <c r="B142" s="2">
        <v>0.79400000000000004</v>
      </c>
      <c r="C142" s="2">
        <v>0.78200000000000003</v>
      </c>
      <c r="D142" s="2">
        <v>0.56100000000000005</v>
      </c>
      <c r="E142" s="2">
        <v>0.754</v>
      </c>
      <c r="F142" s="2">
        <v>0.499</v>
      </c>
      <c r="G142" s="8">
        <v>0.77200000000000002</v>
      </c>
      <c r="H142" s="7">
        <f t="shared" si="52"/>
        <v>-4.2999999999999927E-2</v>
      </c>
      <c r="I142" s="7">
        <f t="shared" si="53"/>
        <v>-4.1999999999999926E-2</v>
      </c>
      <c r="J142" s="7">
        <f t="shared" si="54"/>
        <v>-2.1999999999999909E-2</v>
      </c>
      <c r="K142" s="7">
        <f t="shared" si="55"/>
        <v>-3.4160471554781968E-2</v>
      </c>
      <c r="L142" s="7">
        <f t="shared" si="56"/>
        <v>6.3056995892479983E-2</v>
      </c>
      <c r="M142" s="10">
        <f t="shared" si="57"/>
        <v>-2.6000000000000023E-2</v>
      </c>
      <c r="N142" s="1">
        <f t="shared" si="58"/>
        <v>-5.137395459976097E-2</v>
      </c>
      <c r="O142" s="1">
        <f t="shared" si="59"/>
        <v>-5.0970873786407682E-2</v>
      </c>
      <c r="P142" s="1">
        <f t="shared" si="60"/>
        <v>-3.7735849056603619E-2</v>
      </c>
      <c r="Q142" s="1">
        <f t="shared" si="61"/>
        <v>-4.3342025878809386E-2</v>
      </c>
      <c r="R142" s="1">
        <f t="shared" si="62"/>
        <v>0.14464504602286896</v>
      </c>
      <c r="S142" s="1">
        <f t="shared" si="63"/>
        <v>-3.2581453634085239E-2</v>
      </c>
      <c r="T142" s="3"/>
    </row>
    <row r="143" spans="1:20">
      <c r="A143" t="s">
        <v>140</v>
      </c>
      <c r="B143" s="2">
        <v>0.56100000000000005</v>
      </c>
      <c r="C143" s="2">
        <v>0.52200000000000002</v>
      </c>
      <c r="D143" s="2">
        <v>0.34100000000000003</v>
      </c>
      <c r="E143" s="2">
        <v>0.496</v>
      </c>
      <c r="F143" s="2">
        <v>0.29899999999999999</v>
      </c>
      <c r="G143" s="8">
        <v>0.54900000000000004</v>
      </c>
      <c r="H143" s="7">
        <f t="shared" si="52"/>
        <v>-0.27599999999999991</v>
      </c>
      <c r="I143" s="7">
        <f t="shared" si="53"/>
        <v>-0.30199999999999994</v>
      </c>
      <c r="J143" s="7">
        <f t="shared" si="54"/>
        <v>-0.24199999999999994</v>
      </c>
      <c r="K143" s="7">
        <f t="shared" si="55"/>
        <v>-0.29216047155478198</v>
      </c>
      <c r="L143" s="7">
        <f t="shared" si="56"/>
        <v>-0.13694300410752003</v>
      </c>
      <c r="M143" s="10">
        <f t="shared" si="57"/>
        <v>-0.249</v>
      </c>
      <c r="N143" s="1">
        <f t="shared" si="58"/>
        <v>-0.32974910394265222</v>
      </c>
      <c r="O143" s="1">
        <f t="shared" si="59"/>
        <v>-0.36650485436893199</v>
      </c>
      <c r="P143" s="1">
        <f t="shared" si="60"/>
        <v>-0.41509433962264142</v>
      </c>
      <c r="Q143" s="1">
        <f t="shared" si="61"/>
        <v>-0.37068653161258547</v>
      </c>
      <c r="R143" s="1">
        <f t="shared" si="62"/>
        <v>-0.31413052352537513</v>
      </c>
      <c r="S143" s="1">
        <f t="shared" si="63"/>
        <v>-0.31203007518796988</v>
      </c>
      <c r="T143" s="3"/>
    </row>
    <row r="144" spans="1:20">
      <c r="A144" s="4" t="s">
        <v>141</v>
      </c>
      <c r="B144" s="2">
        <v>0.80400000000000005</v>
      </c>
      <c r="C144" s="2">
        <v>0.79400000000000004</v>
      </c>
      <c r="D144" s="2">
        <v>0.55800000000000005</v>
      </c>
      <c r="E144" s="2">
        <v>0.76500000000000001</v>
      </c>
      <c r="F144" s="2">
        <v>0.48699999999999999</v>
      </c>
      <c r="G144" s="8">
        <v>0.78400000000000003</v>
      </c>
      <c r="H144" s="7">
        <f t="shared" si="52"/>
        <v>-3.2999999999999918E-2</v>
      </c>
      <c r="I144" s="7">
        <f t="shared" si="53"/>
        <v>-2.9999999999999916E-2</v>
      </c>
      <c r="J144" s="7">
        <f t="shared" si="54"/>
        <v>-2.4999999999999911E-2</v>
      </c>
      <c r="K144" s="7">
        <f t="shared" si="55"/>
        <v>-2.3160471554781958E-2</v>
      </c>
      <c r="L144" s="7">
        <f t="shared" si="56"/>
        <v>5.1056995892479973E-2</v>
      </c>
      <c r="M144" s="10">
        <f t="shared" si="57"/>
        <v>-1.4000000000000012E-2</v>
      </c>
      <c r="N144" s="1">
        <f t="shared" si="58"/>
        <v>-3.9426523297490947E-2</v>
      </c>
      <c r="O144" s="1">
        <f t="shared" si="59"/>
        <v>-3.6407766990291163E-2</v>
      </c>
      <c r="P144" s="1">
        <f t="shared" si="60"/>
        <v>-4.2881646655231413E-2</v>
      </c>
      <c r="Q144" s="1">
        <f t="shared" si="61"/>
        <v>-2.9385477184733649E-2</v>
      </c>
      <c r="R144" s="1">
        <f t="shared" si="62"/>
        <v>0.11711851184997429</v>
      </c>
      <c r="S144" s="1">
        <f t="shared" si="63"/>
        <v>-1.7543859649122823E-2</v>
      </c>
      <c r="T144" s="3"/>
    </row>
  </sheetData>
  <autoFilter ref="A1:G144">
    <filterColumn colId="4"/>
    <filterColumn colId="5"/>
    <sortState ref="A2:G144">
      <sortCondition descending="1" ref="G2:G144"/>
      <sortCondition descending="1" ref="B2:B144"/>
    </sortState>
  </autoFilter>
  <sortState ref="A2:S144">
    <sortCondition ref="A2:A14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A144"/>
  <sheetViews>
    <sheetView tabSelected="1" topLeftCell="A28" workbookViewId="0">
      <selection activeCell="A41" sqref="A41:A52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6" width="12.3984375" style="2" customWidth="1"/>
    <col min="7" max="7" width="11.09765625" style="2" bestFit="1" customWidth="1"/>
    <col min="8" max="8" width="9" customWidth="1"/>
  </cols>
  <sheetData>
    <row r="1" spans="1:27">
      <c r="A1" t="s">
        <v>0</v>
      </c>
      <c r="B1" s="2" t="s">
        <v>1</v>
      </c>
      <c r="C1" s="2" t="s">
        <v>162</v>
      </c>
      <c r="D1" s="2" t="s">
        <v>163</v>
      </c>
      <c r="E1" s="2" t="s">
        <v>164</v>
      </c>
      <c r="F1" s="2" t="s">
        <v>165</v>
      </c>
      <c r="G1" s="8" t="s">
        <v>4</v>
      </c>
      <c r="H1" t="str">
        <f>CONCATENATE("r",B1)</f>
        <v>rBox-F1</v>
      </c>
      <c r="I1" t="str">
        <f t="shared" ref="I1:M1" si="0">CONCATENATE("r",C1)</f>
        <v>rB-mAP50</v>
      </c>
      <c r="J1" t="str">
        <f t="shared" si="0"/>
        <v>rB-mAP50-95</v>
      </c>
      <c r="K1" t="str">
        <f t="shared" si="0"/>
        <v>rM-mAP50</v>
      </c>
      <c r="L1" t="str">
        <f t="shared" si="0"/>
        <v>rM-mAP50-95</v>
      </c>
      <c r="M1" s="9" t="str">
        <f t="shared" si="0"/>
        <v>rMask-F1</v>
      </c>
      <c r="N1" t="str">
        <f>CONCATENATE("d",B1)</f>
        <v>dBox-F1</v>
      </c>
      <c r="O1" t="str">
        <f t="shared" ref="O1:R1" si="1">CONCATENATE("d",C1)</f>
        <v>dB-mAP50</v>
      </c>
      <c r="P1" t="str">
        <f t="shared" si="1"/>
        <v>dB-mAP50-95</v>
      </c>
      <c r="Q1" t="str">
        <f t="shared" si="1"/>
        <v>dM-mAP50</v>
      </c>
      <c r="R1" t="str">
        <f t="shared" si="1"/>
        <v>dM-mAP50-95</v>
      </c>
      <c r="S1" t="str">
        <f>CONCATENATE("d",G1)</f>
        <v>dMask-F1</v>
      </c>
      <c r="V1" s="2" t="s">
        <v>1</v>
      </c>
      <c r="W1" s="2" t="s">
        <v>162</v>
      </c>
      <c r="X1" s="2" t="s">
        <v>163</v>
      </c>
      <c r="Y1" s="2" t="s">
        <v>164</v>
      </c>
      <c r="Z1" s="2" t="s">
        <v>165</v>
      </c>
      <c r="AA1" s="2" t="s">
        <v>4</v>
      </c>
    </row>
    <row r="2" spans="1:27">
      <c r="A2" t="s">
        <v>5</v>
      </c>
      <c r="B2" s="2">
        <v>0.96799999999999997</v>
      </c>
      <c r="C2" s="2">
        <v>0.97199999999999998</v>
      </c>
      <c r="D2" s="2">
        <v>0.70799999999999996</v>
      </c>
      <c r="E2" s="2">
        <v>0</v>
      </c>
      <c r="F2" s="2">
        <v>0</v>
      </c>
      <c r="G2" s="8">
        <v>0</v>
      </c>
      <c r="H2" s="7">
        <f t="shared" ref="H2:H33" si="2">B2-V$2</f>
        <v>0.90799999999999992</v>
      </c>
      <c r="I2" s="7">
        <f t="shared" ref="I2:I33" si="3">C2-W$2</f>
        <v>0.93499999999999994</v>
      </c>
      <c r="J2" s="7">
        <f t="shared" ref="J2:J33" si="4">D2-X$2</f>
        <v>0.70399999999999996</v>
      </c>
      <c r="K2" s="7">
        <f t="shared" ref="K2:K33" si="5">E2-Y$2</f>
        <v>0</v>
      </c>
      <c r="L2" s="7">
        <f t="shared" ref="L2:L33" si="6">F2-Z$2</f>
        <v>0</v>
      </c>
      <c r="M2" s="10">
        <f t="shared" ref="M2:M33" si="7">G2-AA$2</f>
        <v>0</v>
      </c>
      <c r="N2" s="1">
        <f t="shared" ref="N2:N33" si="8">(B2-V$2)/V$2</f>
        <v>15.133333333333333</v>
      </c>
      <c r="O2" s="1">
        <f t="shared" ref="O2:O33" si="9">(C2-W$2)/W$2</f>
        <v>25.27027027027027</v>
      </c>
      <c r="P2" s="1">
        <f t="shared" ref="P2:P33" si="10">(D2-X$2)/X$2</f>
        <v>176</v>
      </c>
      <c r="Q2" s="1" t="e">
        <f t="shared" ref="Q2:Q33" si="11">(E2-Y$2)/Y$2</f>
        <v>#DIV/0!</v>
      </c>
      <c r="R2" s="1" t="e">
        <f t="shared" ref="R2:R33" si="12">(F2-Z$2)/Z$2</f>
        <v>#DIV/0!</v>
      </c>
      <c r="S2" s="1" t="e">
        <f t="shared" ref="S2:S33" si="13">(G2-AA$2)/AA$2</f>
        <v>#DIV/0!</v>
      </c>
      <c r="U2" t="s">
        <v>161</v>
      </c>
      <c r="V2">
        <v>0.06</v>
      </c>
      <c r="W2">
        <v>3.6999999999999998E-2</v>
      </c>
      <c r="X2">
        <v>4.0000000000000001E-3</v>
      </c>
      <c r="Y2">
        <v>0</v>
      </c>
      <c r="Z2">
        <v>0</v>
      </c>
      <c r="AA2">
        <v>0</v>
      </c>
    </row>
    <row r="3" spans="1:27">
      <c r="A3" t="s">
        <v>6</v>
      </c>
      <c r="B3" s="2">
        <v>0.995</v>
      </c>
      <c r="C3" s="2">
        <v>0.995</v>
      </c>
      <c r="D3" s="2">
        <v>0.79100000000000004</v>
      </c>
      <c r="E3" s="2">
        <v>0.995</v>
      </c>
      <c r="F3" s="2">
        <v>0.72499999999999998</v>
      </c>
      <c r="G3" s="8">
        <v>0.995</v>
      </c>
      <c r="H3" s="7">
        <f t="shared" si="2"/>
        <v>0.93500000000000005</v>
      </c>
      <c r="I3" s="7">
        <f t="shared" si="3"/>
        <v>0.95799999999999996</v>
      </c>
      <c r="J3" s="7">
        <f t="shared" si="4"/>
        <v>0.78700000000000003</v>
      </c>
      <c r="K3" s="7">
        <f t="shared" si="5"/>
        <v>0.995</v>
      </c>
      <c r="L3" s="7">
        <f t="shared" si="6"/>
        <v>0.72499999999999998</v>
      </c>
      <c r="M3" s="10">
        <f t="shared" si="7"/>
        <v>0.995</v>
      </c>
      <c r="N3" s="1">
        <f t="shared" si="8"/>
        <v>15.583333333333334</v>
      </c>
      <c r="O3" s="1">
        <f t="shared" si="9"/>
        <v>25.891891891891891</v>
      </c>
      <c r="P3" s="1">
        <f t="shared" si="10"/>
        <v>196.75</v>
      </c>
      <c r="Q3" s="1" t="e">
        <f t="shared" si="11"/>
        <v>#DIV/0!</v>
      </c>
      <c r="R3" s="1" t="e">
        <f t="shared" si="12"/>
        <v>#DIV/0!</v>
      </c>
      <c r="S3" s="1" t="e">
        <f t="shared" si="13"/>
        <v>#DIV/0!</v>
      </c>
    </row>
    <row r="4" spans="1:27">
      <c r="A4" t="s">
        <v>7</v>
      </c>
      <c r="B4" s="2">
        <v>0.86299999999999999</v>
      </c>
      <c r="C4" s="2">
        <v>0.89800000000000002</v>
      </c>
      <c r="D4" s="2">
        <v>0.48</v>
      </c>
      <c r="E4" s="2">
        <v>0</v>
      </c>
      <c r="F4" s="2">
        <v>0</v>
      </c>
      <c r="G4" s="8">
        <v>0</v>
      </c>
      <c r="H4" s="7">
        <f t="shared" si="2"/>
        <v>0.80299999999999994</v>
      </c>
      <c r="I4" s="7">
        <f t="shared" si="3"/>
        <v>0.86099999999999999</v>
      </c>
      <c r="J4" s="7">
        <f t="shared" si="4"/>
        <v>0.47599999999999998</v>
      </c>
      <c r="K4" s="7">
        <f t="shared" si="5"/>
        <v>0</v>
      </c>
      <c r="L4" s="7">
        <f t="shared" si="6"/>
        <v>0</v>
      </c>
      <c r="M4" s="10">
        <f t="shared" si="7"/>
        <v>0</v>
      </c>
      <c r="N4" s="1">
        <f t="shared" si="8"/>
        <v>13.383333333333333</v>
      </c>
      <c r="O4" s="1">
        <f t="shared" si="9"/>
        <v>23.27027027027027</v>
      </c>
      <c r="P4" s="1">
        <f t="shared" si="10"/>
        <v>118.99999999999999</v>
      </c>
      <c r="Q4" s="1" t="e">
        <f t="shared" si="11"/>
        <v>#DIV/0!</v>
      </c>
      <c r="R4" s="1" t="e">
        <f t="shared" si="12"/>
        <v>#DIV/0!</v>
      </c>
      <c r="S4" s="1" t="e">
        <f t="shared" si="13"/>
        <v>#DIV/0!</v>
      </c>
    </row>
    <row r="5" spans="1:27">
      <c r="A5" t="s">
        <v>8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8">
        <v>0</v>
      </c>
      <c r="H5" s="7">
        <f t="shared" si="2"/>
        <v>-0.06</v>
      </c>
      <c r="I5" s="7">
        <f t="shared" si="3"/>
        <v>-3.6999999999999998E-2</v>
      </c>
      <c r="J5" s="7">
        <f t="shared" si="4"/>
        <v>-4.0000000000000001E-3</v>
      </c>
      <c r="K5" s="7">
        <f t="shared" si="5"/>
        <v>0</v>
      </c>
      <c r="L5" s="7">
        <f t="shared" si="6"/>
        <v>0</v>
      </c>
      <c r="M5" s="10">
        <f t="shared" si="7"/>
        <v>0</v>
      </c>
      <c r="N5" s="1">
        <f t="shared" si="8"/>
        <v>-1</v>
      </c>
      <c r="O5" s="1">
        <f t="shared" si="9"/>
        <v>-1</v>
      </c>
      <c r="P5" s="1">
        <f t="shared" si="10"/>
        <v>-1</v>
      </c>
      <c r="Q5" s="1" t="e">
        <f t="shared" si="11"/>
        <v>#DIV/0!</v>
      </c>
      <c r="R5" s="1" t="e">
        <f t="shared" si="12"/>
        <v>#DIV/0!</v>
      </c>
      <c r="S5" s="1" t="e">
        <f t="shared" si="13"/>
        <v>#DIV/0!</v>
      </c>
    </row>
    <row r="6" spans="1:27">
      <c r="A6" t="s">
        <v>9</v>
      </c>
      <c r="B6" s="2">
        <v>0.95499999999999996</v>
      </c>
      <c r="C6" s="2">
        <v>0.95899999999999996</v>
      </c>
      <c r="D6" s="2">
        <v>0.60199999999999998</v>
      </c>
      <c r="E6" s="2">
        <v>0</v>
      </c>
      <c r="F6" s="2">
        <v>0</v>
      </c>
      <c r="G6" s="8">
        <v>0</v>
      </c>
      <c r="H6" s="7">
        <f t="shared" si="2"/>
        <v>0.89500000000000002</v>
      </c>
      <c r="I6" s="7">
        <f t="shared" si="3"/>
        <v>0.92199999999999993</v>
      </c>
      <c r="J6" s="7">
        <f t="shared" si="4"/>
        <v>0.59799999999999998</v>
      </c>
      <c r="K6" s="7">
        <f t="shared" si="5"/>
        <v>0</v>
      </c>
      <c r="L6" s="7">
        <f t="shared" si="6"/>
        <v>0</v>
      </c>
      <c r="M6" s="10">
        <f t="shared" si="7"/>
        <v>0</v>
      </c>
      <c r="N6" s="1">
        <f t="shared" si="8"/>
        <v>14.916666666666668</v>
      </c>
      <c r="O6" s="1">
        <f t="shared" si="9"/>
        <v>24.918918918918919</v>
      </c>
      <c r="P6" s="1">
        <f t="shared" si="10"/>
        <v>149.5</v>
      </c>
      <c r="Q6" s="1" t="e">
        <f t="shared" si="11"/>
        <v>#DIV/0!</v>
      </c>
      <c r="R6" s="1" t="e">
        <f t="shared" si="12"/>
        <v>#DIV/0!</v>
      </c>
      <c r="S6" s="1" t="e">
        <f t="shared" si="13"/>
        <v>#DIV/0!</v>
      </c>
    </row>
    <row r="7" spans="1:27">
      <c r="A7" t="s">
        <v>10</v>
      </c>
      <c r="B7" s="2">
        <v>0.995</v>
      </c>
      <c r="C7" s="2">
        <v>0.995</v>
      </c>
      <c r="D7" s="2">
        <v>0.75</v>
      </c>
      <c r="E7" s="2">
        <v>0.995</v>
      </c>
      <c r="F7" s="2">
        <v>0.67700000000000005</v>
      </c>
      <c r="G7" s="8">
        <v>0.995</v>
      </c>
      <c r="H7" s="7">
        <f t="shared" si="2"/>
        <v>0.93500000000000005</v>
      </c>
      <c r="I7" s="7">
        <f t="shared" si="3"/>
        <v>0.95799999999999996</v>
      </c>
      <c r="J7" s="7">
        <f t="shared" si="4"/>
        <v>0.746</v>
      </c>
      <c r="K7" s="7">
        <f t="shared" si="5"/>
        <v>0.995</v>
      </c>
      <c r="L7" s="7">
        <f t="shared" si="6"/>
        <v>0.67700000000000005</v>
      </c>
      <c r="M7" s="10">
        <f t="shared" si="7"/>
        <v>0.995</v>
      </c>
      <c r="N7" s="1">
        <f t="shared" si="8"/>
        <v>15.583333333333334</v>
      </c>
      <c r="O7" s="1">
        <f t="shared" si="9"/>
        <v>25.891891891891891</v>
      </c>
      <c r="P7" s="1">
        <f t="shared" si="10"/>
        <v>186.5</v>
      </c>
      <c r="Q7" s="1" t="e">
        <f t="shared" si="11"/>
        <v>#DIV/0!</v>
      </c>
      <c r="R7" s="1" t="e">
        <f t="shared" si="12"/>
        <v>#DIV/0!</v>
      </c>
      <c r="S7" s="1" t="e">
        <f t="shared" si="13"/>
        <v>#DIV/0!</v>
      </c>
    </row>
    <row r="8" spans="1:27">
      <c r="A8" t="s">
        <v>14</v>
      </c>
      <c r="B8" s="2">
        <v>0.98399999999999999</v>
      </c>
      <c r="C8" s="2">
        <v>0.99199999999999999</v>
      </c>
      <c r="D8" s="2">
        <v>0.68100000000000005</v>
      </c>
      <c r="E8" s="2">
        <v>0</v>
      </c>
      <c r="F8" s="2">
        <v>0</v>
      </c>
      <c r="G8" s="8">
        <v>0</v>
      </c>
      <c r="H8" s="7">
        <f t="shared" si="2"/>
        <v>0.92399999999999993</v>
      </c>
      <c r="I8" s="7">
        <f t="shared" si="3"/>
        <v>0.95499999999999996</v>
      </c>
      <c r="J8" s="7">
        <f t="shared" si="4"/>
        <v>0.67700000000000005</v>
      </c>
      <c r="K8" s="7">
        <f t="shared" si="5"/>
        <v>0</v>
      </c>
      <c r="L8" s="7">
        <f t="shared" si="6"/>
        <v>0</v>
      </c>
      <c r="M8" s="10">
        <f t="shared" si="7"/>
        <v>0</v>
      </c>
      <c r="N8" s="1">
        <f t="shared" si="8"/>
        <v>15.399999999999999</v>
      </c>
      <c r="O8" s="1">
        <f t="shared" si="9"/>
        <v>25.810810810810811</v>
      </c>
      <c r="P8" s="1">
        <f t="shared" si="10"/>
        <v>169.25</v>
      </c>
      <c r="Q8" s="1" t="e">
        <f t="shared" si="11"/>
        <v>#DIV/0!</v>
      </c>
      <c r="R8" s="1" t="e">
        <f t="shared" si="12"/>
        <v>#DIV/0!</v>
      </c>
      <c r="S8" s="1" t="e">
        <f t="shared" si="13"/>
        <v>#DIV/0!</v>
      </c>
    </row>
    <row r="9" spans="1:27">
      <c r="A9" t="s">
        <v>15</v>
      </c>
      <c r="B9" s="2">
        <v>0.995</v>
      </c>
      <c r="C9" s="2">
        <v>0.995</v>
      </c>
      <c r="D9" s="2">
        <v>0.83399999999999996</v>
      </c>
      <c r="E9" s="2">
        <v>0.995</v>
      </c>
      <c r="F9" s="2">
        <v>0.73</v>
      </c>
      <c r="G9" s="8">
        <v>0.995</v>
      </c>
      <c r="H9" s="7">
        <f t="shared" si="2"/>
        <v>0.93500000000000005</v>
      </c>
      <c r="I9" s="7">
        <f t="shared" si="3"/>
        <v>0.95799999999999996</v>
      </c>
      <c r="J9" s="7">
        <f t="shared" si="4"/>
        <v>0.83</v>
      </c>
      <c r="K9" s="7">
        <f t="shared" si="5"/>
        <v>0.995</v>
      </c>
      <c r="L9" s="7">
        <f t="shared" si="6"/>
        <v>0.73</v>
      </c>
      <c r="M9" s="10">
        <f t="shared" si="7"/>
        <v>0.995</v>
      </c>
      <c r="N9" s="1">
        <f t="shared" si="8"/>
        <v>15.583333333333334</v>
      </c>
      <c r="O9" s="1">
        <f t="shared" si="9"/>
        <v>25.891891891891891</v>
      </c>
      <c r="P9" s="1">
        <f t="shared" si="10"/>
        <v>207.49999999999997</v>
      </c>
      <c r="Q9" s="1" t="e">
        <f t="shared" si="11"/>
        <v>#DIV/0!</v>
      </c>
      <c r="R9" s="1" t="e">
        <f t="shared" si="12"/>
        <v>#DIV/0!</v>
      </c>
      <c r="S9" s="1" t="e">
        <f t="shared" si="13"/>
        <v>#DIV/0!</v>
      </c>
    </row>
    <row r="10" spans="1:27">
      <c r="A10" t="s">
        <v>16</v>
      </c>
      <c r="B10" s="2">
        <v>0.90800000000000003</v>
      </c>
      <c r="C10" s="2">
        <v>0.92400000000000004</v>
      </c>
      <c r="D10" s="2">
        <v>0.50700000000000001</v>
      </c>
      <c r="E10" s="2">
        <v>0</v>
      </c>
      <c r="F10" s="2">
        <v>0</v>
      </c>
      <c r="G10" s="8">
        <v>0</v>
      </c>
      <c r="H10" s="7">
        <f t="shared" si="2"/>
        <v>0.84800000000000009</v>
      </c>
      <c r="I10" s="7">
        <f t="shared" si="3"/>
        <v>0.88700000000000001</v>
      </c>
      <c r="J10" s="7">
        <f t="shared" si="4"/>
        <v>0.503</v>
      </c>
      <c r="K10" s="7">
        <f t="shared" si="5"/>
        <v>0</v>
      </c>
      <c r="L10" s="7">
        <f t="shared" si="6"/>
        <v>0</v>
      </c>
      <c r="M10" s="10">
        <f t="shared" si="7"/>
        <v>0</v>
      </c>
      <c r="N10" s="1">
        <f t="shared" si="8"/>
        <v>14.133333333333335</v>
      </c>
      <c r="O10" s="1">
        <f t="shared" si="9"/>
        <v>23.972972972972975</v>
      </c>
      <c r="P10" s="1">
        <f t="shared" si="10"/>
        <v>125.75</v>
      </c>
      <c r="Q10" s="1" t="e">
        <f t="shared" si="11"/>
        <v>#DIV/0!</v>
      </c>
      <c r="R10" s="1" t="e">
        <f t="shared" si="12"/>
        <v>#DIV/0!</v>
      </c>
      <c r="S10" s="1" t="e">
        <f t="shared" si="13"/>
        <v>#DIV/0!</v>
      </c>
    </row>
    <row r="11" spans="1:27">
      <c r="A11" t="s">
        <v>17</v>
      </c>
      <c r="B11" s="2">
        <v>2E-3</v>
      </c>
      <c r="C11" s="2">
        <v>0.03</v>
      </c>
      <c r="D11" s="2">
        <v>8.9999999999999993E-3</v>
      </c>
      <c r="E11" s="2">
        <v>1.11E-2</v>
      </c>
      <c r="F11" s="2">
        <v>2.0400000000000001E-3</v>
      </c>
      <c r="G11" s="8">
        <v>1E-3</v>
      </c>
      <c r="H11" s="7">
        <f t="shared" si="2"/>
        <v>-5.7999999999999996E-2</v>
      </c>
      <c r="I11" s="7">
        <f t="shared" si="3"/>
        <v>-6.9999999999999993E-3</v>
      </c>
      <c r="J11" s="7">
        <f t="shared" si="4"/>
        <v>4.9999999999999992E-3</v>
      </c>
      <c r="K11" s="7">
        <f t="shared" si="5"/>
        <v>1.11E-2</v>
      </c>
      <c r="L11" s="7">
        <f t="shared" si="6"/>
        <v>2.0400000000000001E-3</v>
      </c>
      <c r="M11" s="10">
        <f t="shared" si="7"/>
        <v>1E-3</v>
      </c>
      <c r="N11" s="1">
        <f t="shared" si="8"/>
        <v>-0.96666666666666667</v>
      </c>
      <c r="O11" s="1">
        <f t="shared" si="9"/>
        <v>-0.18918918918918917</v>
      </c>
      <c r="P11" s="1">
        <f t="shared" si="10"/>
        <v>1.2499999999999998</v>
      </c>
      <c r="Q11" s="1" t="e">
        <f t="shared" si="11"/>
        <v>#DIV/0!</v>
      </c>
      <c r="R11" s="1" t="e">
        <f t="shared" si="12"/>
        <v>#DIV/0!</v>
      </c>
      <c r="S11" s="1" t="e">
        <f t="shared" si="13"/>
        <v>#DIV/0!</v>
      </c>
    </row>
    <row r="12" spans="1:27">
      <c r="A12" t="s">
        <v>18</v>
      </c>
      <c r="B12" s="2">
        <v>0.95699999999999996</v>
      </c>
      <c r="C12" s="2">
        <v>0.96399999999999997</v>
      </c>
      <c r="D12" s="2">
        <v>0.58599999999999997</v>
      </c>
      <c r="E12" s="2">
        <v>0</v>
      </c>
      <c r="F12" s="2">
        <v>0</v>
      </c>
      <c r="G12" s="8">
        <v>0</v>
      </c>
      <c r="H12" s="7">
        <f t="shared" si="2"/>
        <v>0.89700000000000002</v>
      </c>
      <c r="I12" s="7">
        <f t="shared" si="3"/>
        <v>0.92699999999999994</v>
      </c>
      <c r="J12" s="7">
        <f t="shared" si="4"/>
        <v>0.58199999999999996</v>
      </c>
      <c r="K12" s="7">
        <f t="shared" si="5"/>
        <v>0</v>
      </c>
      <c r="L12" s="7">
        <f t="shared" si="6"/>
        <v>0</v>
      </c>
      <c r="M12" s="10">
        <f t="shared" si="7"/>
        <v>0</v>
      </c>
      <c r="N12" s="1">
        <f t="shared" si="8"/>
        <v>14.950000000000001</v>
      </c>
      <c r="O12" s="1">
        <f t="shared" si="9"/>
        <v>25.054054054054053</v>
      </c>
      <c r="P12" s="1">
        <f t="shared" si="10"/>
        <v>145.5</v>
      </c>
      <c r="Q12" s="1" t="e">
        <f t="shared" si="11"/>
        <v>#DIV/0!</v>
      </c>
      <c r="R12" s="1" t="e">
        <f t="shared" si="12"/>
        <v>#DIV/0!</v>
      </c>
      <c r="S12" s="1" t="e">
        <f t="shared" si="13"/>
        <v>#DIV/0!</v>
      </c>
    </row>
    <row r="13" spans="1:27">
      <c r="A13" t="s">
        <v>19</v>
      </c>
      <c r="B13" s="2">
        <v>0.995</v>
      </c>
      <c r="C13" s="2">
        <v>0.995</v>
      </c>
      <c r="D13" s="2">
        <v>0.72799999999999998</v>
      </c>
      <c r="E13" s="2">
        <v>0.995</v>
      </c>
      <c r="F13" s="2">
        <v>0.65700000000000003</v>
      </c>
      <c r="G13" s="8">
        <v>0.995</v>
      </c>
      <c r="H13" s="7">
        <f t="shared" si="2"/>
        <v>0.93500000000000005</v>
      </c>
      <c r="I13" s="7">
        <f t="shared" si="3"/>
        <v>0.95799999999999996</v>
      </c>
      <c r="J13" s="7">
        <f t="shared" si="4"/>
        <v>0.72399999999999998</v>
      </c>
      <c r="K13" s="7">
        <f t="shared" si="5"/>
        <v>0.995</v>
      </c>
      <c r="L13" s="7">
        <f t="shared" si="6"/>
        <v>0.65700000000000003</v>
      </c>
      <c r="M13" s="10">
        <f t="shared" si="7"/>
        <v>0.995</v>
      </c>
      <c r="N13" s="1">
        <f t="shared" si="8"/>
        <v>15.583333333333334</v>
      </c>
      <c r="O13" s="1">
        <f t="shared" si="9"/>
        <v>25.891891891891891</v>
      </c>
      <c r="P13" s="1">
        <f t="shared" si="10"/>
        <v>181</v>
      </c>
      <c r="Q13" s="1" t="e">
        <f t="shared" si="11"/>
        <v>#DIV/0!</v>
      </c>
      <c r="R13" s="1" t="e">
        <f t="shared" si="12"/>
        <v>#DIV/0!</v>
      </c>
      <c r="S13" s="1" t="e">
        <f t="shared" si="13"/>
        <v>#DIV/0!</v>
      </c>
    </row>
    <row r="14" spans="1:27">
      <c r="A14" t="s">
        <v>11</v>
      </c>
      <c r="B14" s="2">
        <v>0.95199999999999996</v>
      </c>
      <c r="C14" s="2">
        <v>0.98199999999999998</v>
      </c>
      <c r="D14" s="2">
        <v>0.65700000000000003</v>
      </c>
      <c r="G14" s="8">
        <v>0.94299999999999995</v>
      </c>
      <c r="H14" s="7">
        <f t="shared" si="2"/>
        <v>0.8919999999999999</v>
      </c>
      <c r="I14" s="7">
        <f t="shared" si="3"/>
        <v>0.94499999999999995</v>
      </c>
      <c r="J14" s="7">
        <f t="shared" si="4"/>
        <v>0.65300000000000002</v>
      </c>
      <c r="K14" s="7">
        <f t="shared" si="5"/>
        <v>0</v>
      </c>
      <c r="L14" s="7">
        <f t="shared" si="6"/>
        <v>0</v>
      </c>
      <c r="M14" s="10">
        <f t="shared" si="7"/>
        <v>0.94299999999999995</v>
      </c>
      <c r="N14" s="1">
        <f t="shared" si="8"/>
        <v>14.866666666666665</v>
      </c>
      <c r="O14" s="1">
        <f t="shared" si="9"/>
        <v>25.54054054054054</v>
      </c>
      <c r="P14" s="1">
        <f t="shared" si="10"/>
        <v>163.25</v>
      </c>
      <c r="Q14" s="1" t="e">
        <f t="shared" si="11"/>
        <v>#DIV/0!</v>
      </c>
      <c r="R14" s="1" t="e">
        <f t="shared" si="12"/>
        <v>#DIV/0!</v>
      </c>
      <c r="S14" s="1" t="e">
        <f t="shared" si="13"/>
        <v>#DIV/0!</v>
      </c>
    </row>
    <row r="15" spans="1:27">
      <c r="A15" t="s">
        <v>12</v>
      </c>
      <c r="B15" s="2">
        <v>0.995</v>
      </c>
      <c r="C15" s="2">
        <v>0.995</v>
      </c>
      <c r="D15" s="2">
        <v>0.72799999999999998</v>
      </c>
      <c r="G15" s="8">
        <v>0.995</v>
      </c>
      <c r="H15" s="7">
        <f t="shared" si="2"/>
        <v>0.93500000000000005</v>
      </c>
      <c r="I15" s="7">
        <f t="shared" si="3"/>
        <v>0.95799999999999996</v>
      </c>
      <c r="J15" s="7">
        <f t="shared" si="4"/>
        <v>0.72399999999999998</v>
      </c>
      <c r="K15" s="7">
        <f t="shared" si="5"/>
        <v>0</v>
      </c>
      <c r="L15" s="7">
        <f t="shared" si="6"/>
        <v>0</v>
      </c>
      <c r="M15" s="10">
        <f t="shared" si="7"/>
        <v>0.995</v>
      </c>
      <c r="N15" s="1">
        <f t="shared" si="8"/>
        <v>15.583333333333334</v>
      </c>
      <c r="O15" s="1">
        <f t="shared" si="9"/>
        <v>25.891891891891891</v>
      </c>
      <c r="P15" s="1">
        <f t="shared" si="10"/>
        <v>181</v>
      </c>
      <c r="Q15" s="1" t="e">
        <f t="shared" si="11"/>
        <v>#DIV/0!</v>
      </c>
      <c r="R15" s="1" t="e">
        <f t="shared" si="12"/>
        <v>#DIV/0!</v>
      </c>
      <c r="S15" s="1" t="e">
        <f t="shared" si="13"/>
        <v>#DIV/0!</v>
      </c>
    </row>
    <row r="16" spans="1:27">
      <c r="A16" t="s">
        <v>13</v>
      </c>
      <c r="B16" s="2">
        <v>0.995</v>
      </c>
      <c r="C16" s="2">
        <v>0.995</v>
      </c>
      <c r="D16" s="2">
        <v>0.73899999999999999</v>
      </c>
      <c r="G16" s="8">
        <v>0.995</v>
      </c>
      <c r="H16" s="7">
        <f t="shared" si="2"/>
        <v>0.93500000000000005</v>
      </c>
      <c r="I16" s="7">
        <f t="shared" si="3"/>
        <v>0.95799999999999996</v>
      </c>
      <c r="J16" s="7">
        <f t="shared" si="4"/>
        <v>0.73499999999999999</v>
      </c>
      <c r="K16" s="7">
        <f t="shared" si="5"/>
        <v>0</v>
      </c>
      <c r="L16" s="7">
        <f t="shared" si="6"/>
        <v>0</v>
      </c>
      <c r="M16" s="10">
        <f t="shared" si="7"/>
        <v>0.995</v>
      </c>
      <c r="N16" s="1">
        <f t="shared" si="8"/>
        <v>15.583333333333334</v>
      </c>
      <c r="O16" s="1">
        <f t="shared" si="9"/>
        <v>25.891891891891891</v>
      </c>
      <c r="P16" s="1">
        <f t="shared" si="10"/>
        <v>183.75</v>
      </c>
      <c r="Q16" s="1" t="e">
        <f t="shared" si="11"/>
        <v>#DIV/0!</v>
      </c>
      <c r="R16" s="1" t="e">
        <f t="shared" si="12"/>
        <v>#DIV/0!</v>
      </c>
      <c r="S16" s="1" t="e">
        <f t="shared" si="13"/>
        <v>#DIV/0!</v>
      </c>
    </row>
    <row r="17" spans="1:19">
      <c r="A17" t="s">
        <v>20</v>
      </c>
      <c r="B17" s="2">
        <v>0.96899999999999997</v>
      </c>
      <c r="C17" s="2">
        <v>0.97099999999999997</v>
      </c>
      <c r="D17" s="2">
        <v>0.65300000000000002</v>
      </c>
      <c r="E17" s="2">
        <v>0</v>
      </c>
      <c r="F17" s="2">
        <v>0</v>
      </c>
      <c r="G17" s="8">
        <v>0</v>
      </c>
      <c r="H17" s="7">
        <f t="shared" si="2"/>
        <v>0.90900000000000003</v>
      </c>
      <c r="I17" s="7">
        <f t="shared" si="3"/>
        <v>0.93399999999999994</v>
      </c>
      <c r="J17" s="7">
        <f t="shared" si="4"/>
        <v>0.64900000000000002</v>
      </c>
      <c r="K17" s="7">
        <f t="shared" si="5"/>
        <v>0</v>
      </c>
      <c r="L17" s="7">
        <f t="shared" si="6"/>
        <v>0</v>
      </c>
      <c r="M17" s="10">
        <f t="shared" si="7"/>
        <v>0</v>
      </c>
      <c r="N17" s="1">
        <f t="shared" si="8"/>
        <v>15.15</v>
      </c>
      <c r="O17" s="1">
        <f t="shared" si="9"/>
        <v>25.243243243243242</v>
      </c>
      <c r="P17" s="1">
        <f t="shared" si="10"/>
        <v>162.25</v>
      </c>
      <c r="Q17" s="1" t="e">
        <f t="shared" si="11"/>
        <v>#DIV/0!</v>
      </c>
      <c r="R17" s="1" t="e">
        <f t="shared" si="12"/>
        <v>#DIV/0!</v>
      </c>
      <c r="S17" s="1" t="e">
        <f t="shared" si="13"/>
        <v>#DIV/0!</v>
      </c>
    </row>
    <row r="18" spans="1:19">
      <c r="A18" t="s">
        <v>21</v>
      </c>
      <c r="B18" s="2">
        <v>0.995</v>
      </c>
      <c r="C18" s="2">
        <v>0.995</v>
      </c>
      <c r="D18" s="2">
        <v>0.80900000000000005</v>
      </c>
      <c r="E18" s="2">
        <v>0.995</v>
      </c>
      <c r="F18" s="2">
        <v>0.7</v>
      </c>
      <c r="G18" s="8">
        <v>0.995</v>
      </c>
      <c r="H18" s="7">
        <f t="shared" si="2"/>
        <v>0.93500000000000005</v>
      </c>
      <c r="I18" s="7">
        <f t="shared" si="3"/>
        <v>0.95799999999999996</v>
      </c>
      <c r="J18" s="7">
        <f t="shared" si="4"/>
        <v>0.80500000000000005</v>
      </c>
      <c r="K18" s="7">
        <f t="shared" si="5"/>
        <v>0.995</v>
      </c>
      <c r="L18" s="7">
        <f t="shared" si="6"/>
        <v>0.7</v>
      </c>
      <c r="M18" s="10">
        <f t="shared" si="7"/>
        <v>0.995</v>
      </c>
      <c r="N18" s="1">
        <f t="shared" si="8"/>
        <v>15.583333333333334</v>
      </c>
      <c r="O18" s="1">
        <f t="shared" si="9"/>
        <v>25.891891891891891</v>
      </c>
      <c r="P18" s="1">
        <f t="shared" si="10"/>
        <v>201.25</v>
      </c>
      <c r="Q18" s="1" t="e">
        <f t="shared" si="11"/>
        <v>#DIV/0!</v>
      </c>
      <c r="R18" s="1" t="e">
        <f t="shared" si="12"/>
        <v>#DIV/0!</v>
      </c>
      <c r="S18" s="1" t="e">
        <f t="shared" si="13"/>
        <v>#DIV/0!</v>
      </c>
    </row>
    <row r="19" spans="1:19">
      <c r="A19" t="s">
        <v>22</v>
      </c>
      <c r="B19" s="2">
        <v>0.88700000000000001</v>
      </c>
      <c r="C19" s="2">
        <v>0.94</v>
      </c>
      <c r="D19" s="2">
        <v>0.47599999999999998</v>
      </c>
      <c r="E19" s="2">
        <v>0</v>
      </c>
      <c r="F19" s="2">
        <v>0</v>
      </c>
      <c r="G19" s="8">
        <v>0</v>
      </c>
      <c r="H19" s="7">
        <f t="shared" si="2"/>
        <v>0.82699999999999996</v>
      </c>
      <c r="I19" s="7">
        <f t="shared" si="3"/>
        <v>0.90299999999999991</v>
      </c>
      <c r="J19" s="7">
        <f t="shared" si="4"/>
        <v>0.47199999999999998</v>
      </c>
      <c r="K19" s="7">
        <f t="shared" si="5"/>
        <v>0</v>
      </c>
      <c r="L19" s="7">
        <f t="shared" si="6"/>
        <v>0</v>
      </c>
      <c r="M19" s="10">
        <f t="shared" si="7"/>
        <v>0</v>
      </c>
      <c r="N19" s="1">
        <f t="shared" si="8"/>
        <v>13.783333333333333</v>
      </c>
      <c r="O19" s="1">
        <f t="shared" si="9"/>
        <v>24.405405405405403</v>
      </c>
      <c r="P19" s="1">
        <f t="shared" si="10"/>
        <v>117.99999999999999</v>
      </c>
      <c r="Q19" s="1" t="e">
        <f t="shared" si="11"/>
        <v>#DIV/0!</v>
      </c>
      <c r="R19" s="1" t="e">
        <f t="shared" si="12"/>
        <v>#DIV/0!</v>
      </c>
      <c r="S19" s="1" t="e">
        <f t="shared" si="13"/>
        <v>#DIV/0!</v>
      </c>
    </row>
    <row r="20" spans="1:19">
      <c r="A20" t="s">
        <v>23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8">
        <v>0</v>
      </c>
      <c r="H20" s="7">
        <f t="shared" si="2"/>
        <v>-0.06</v>
      </c>
      <c r="I20" s="7">
        <f t="shared" si="3"/>
        <v>-3.6999999999999998E-2</v>
      </c>
      <c r="J20" s="7">
        <f t="shared" si="4"/>
        <v>-4.0000000000000001E-3</v>
      </c>
      <c r="K20" s="7">
        <f t="shared" si="5"/>
        <v>0</v>
      </c>
      <c r="L20" s="7">
        <f t="shared" si="6"/>
        <v>0</v>
      </c>
      <c r="M20" s="10">
        <f t="shared" si="7"/>
        <v>0</v>
      </c>
      <c r="N20" s="1">
        <f t="shared" si="8"/>
        <v>-1</v>
      </c>
      <c r="O20" s="1">
        <f t="shared" si="9"/>
        <v>-1</v>
      </c>
      <c r="P20" s="1">
        <f t="shared" si="10"/>
        <v>-1</v>
      </c>
      <c r="Q20" s="1" t="e">
        <f t="shared" si="11"/>
        <v>#DIV/0!</v>
      </c>
      <c r="R20" s="1" t="e">
        <f t="shared" si="12"/>
        <v>#DIV/0!</v>
      </c>
      <c r="S20" s="1" t="e">
        <f t="shared" si="13"/>
        <v>#DIV/0!</v>
      </c>
    </row>
    <row r="21" spans="1:19">
      <c r="A21" t="s">
        <v>24</v>
      </c>
      <c r="B21" s="2">
        <v>0.95</v>
      </c>
      <c r="C21" s="2">
        <v>0.95499999999999996</v>
      </c>
      <c r="D21" s="2">
        <v>0.59299999999999997</v>
      </c>
      <c r="E21" s="2">
        <v>0</v>
      </c>
      <c r="F21" s="2">
        <v>0</v>
      </c>
      <c r="G21" s="8">
        <v>0</v>
      </c>
      <c r="H21" s="7">
        <f t="shared" si="2"/>
        <v>0.8899999999999999</v>
      </c>
      <c r="I21" s="7">
        <f t="shared" si="3"/>
        <v>0.91799999999999993</v>
      </c>
      <c r="J21" s="7">
        <f t="shared" si="4"/>
        <v>0.58899999999999997</v>
      </c>
      <c r="K21" s="7">
        <f t="shared" si="5"/>
        <v>0</v>
      </c>
      <c r="L21" s="7">
        <f t="shared" si="6"/>
        <v>0</v>
      </c>
      <c r="M21" s="10">
        <f t="shared" si="7"/>
        <v>0</v>
      </c>
      <c r="N21" s="1">
        <f t="shared" si="8"/>
        <v>14.833333333333332</v>
      </c>
      <c r="O21" s="1">
        <f t="shared" si="9"/>
        <v>24.810810810810811</v>
      </c>
      <c r="P21" s="1">
        <f t="shared" si="10"/>
        <v>147.25</v>
      </c>
      <c r="Q21" s="1" t="e">
        <f t="shared" si="11"/>
        <v>#DIV/0!</v>
      </c>
      <c r="R21" s="1" t="e">
        <f t="shared" si="12"/>
        <v>#DIV/0!</v>
      </c>
      <c r="S21" s="1" t="e">
        <f t="shared" si="13"/>
        <v>#DIV/0!</v>
      </c>
    </row>
    <row r="22" spans="1:19">
      <c r="A22" t="s">
        <v>25</v>
      </c>
      <c r="B22" s="2">
        <v>0.995</v>
      </c>
      <c r="C22" s="2">
        <v>0.995</v>
      </c>
      <c r="D22" s="2">
        <v>0.72199999999999998</v>
      </c>
      <c r="E22" s="2">
        <v>0.995</v>
      </c>
      <c r="F22" s="2">
        <v>0.67200000000000004</v>
      </c>
      <c r="G22" s="8">
        <v>0.995</v>
      </c>
      <c r="H22" s="7">
        <f t="shared" si="2"/>
        <v>0.93500000000000005</v>
      </c>
      <c r="I22" s="7">
        <f t="shared" si="3"/>
        <v>0.95799999999999996</v>
      </c>
      <c r="J22" s="7">
        <f t="shared" si="4"/>
        <v>0.71799999999999997</v>
      </c>
      <c r="K22" s="7">
        <f t="shared" si="5"/>
        <v>0.995</v>
      </c>
      <c r="L22" s="7">
        <f t="shared" si="6"/>
        <v>0.67200000000000004</v>
      </c>
      <c r="M22" s="10">
        <f t="shared" si="7"/>
        <v>0.995</v>
      </c>
      <c r="N22" s="1">
        <f t="shared" si="8"/>
        <v>15.583333333333334</v>
      </c>
      <c r="O22" s="1">
        <f t="shared" si="9"/>
        <v>25.891891891891891</v>
      </c>
      <c r="P22" s="1">
        <f t="shared" si="10"/>
        <v>179.5</v>
      </c>
      <c r="Q22" s="1" t="e">
        <f t="shared" si="11"/>
        <v>#DIV/0!</v>
      </c>
      <c r="R22" s="1" t="e">
        <f t="shared" si="12"/>
        <v>#DIV/0!</v>
      </c>
      <c r="S22" s="1" t="e">
        <f t="shared" si="13"/>
        <v>#DIV/0!</v>
      </c>
    </row>
    <row r="23" spans="1:19">
      <c r="A23" t="s">
        <v>26</v>
      </c>
      <c r="B23" s="2">
        <v>0.97699999999999998</v>
      </c>
      <c r="C23" s="2">
        <v>0.97899999999999998</v>
      </c>
      <c r="D23" s="2">
        <v>0.63500000000000001</v>
      </c>
      <c r="E23" s="2">
        <v>0</v>
      </c>
      <c r="F23" s="2">
        <v>0</v>
      </c>
      <c r="G23" s="8">
        <v>0</v>
      </c>
      <c r="H23" s="7">
        <f t="shared" si="2"/>
        <v>0.91700000000000004</v>
      </c>
      <c r="I23" s="7">
        <f t="shared" si="3"/>
        <v>0.94199999999999995</v>
      </c>
      <c r="J23" s="7">
        <f t="shared" si="4"/>
        <v>0.63100000000000001</v>
      </c>
      <c r="K23" s="7">
        <f t="shared" si="5"/>
        <v>0</v>
      </c>
      <c r="L23" s="7">
        <f t="shared" si="6"/>
        <v>0</v>
      </c>
      <c r="M23" s="10">
        <f t="shared" si="7"/>
        <v>0</v>
      </c>
      <c r="N23" s="1">
        <f t="shared" si="8"/>
        <v>15.283333333333335</v>
      </c>
      <c r="O23" s="1">
        <f t="shared" si="9"/>
        <v>25.45945945945946</v>
      </c>
      <c r="P23" s="1">
        <f t="shared" si="10"/>
        <v>157.75</v>
      </c>
      <c r="Q23" s="1" t="e">
        <f t="shared" si="11"/>
        <v>#DIV/0!</v>
      </c>
      <c r="R23" s="1" t="e">
        <f t="shared" si="12"/>
        <v>#DIV/0!</v>
      </c>
      <c r="S23" s="1" t="e">
        <f t="shared" si="13"/>
        <v>#DIV/0!</v>
      </c>
    </row>
    <row r="24" spans="1:19">
      <c r="A24" t="s">
        <v>27</v>
      </c>
      <c r="B24" s="2">
        <v>0.99099999999999999</v>
      </c>
      <c r="C24" s="2">
        <v>0.995</v>
      </c>
      <c r="D24" s="2">
        <v>0.77300000000000002</v>
      </c>
      <c r="E24" s="2">
        <v>0.995</v>
      </c>
      <c r="F24" s="2">
        <v>0.7</v>
      </c>
      <c r="G24" s="8">
        <v>0.99099999999999999</v>
      </c>
      <c r="H24" s="7">
        <f t="shared" si="2"/>
        <v>0.93100000000000005</v>
      </c>
      <c r="I24" s="7">
        <f t="shared" si="3"/>
        <v>0.95799999999999996</v>
      </c>
      <c r="J24" s="7">
        <f t="shared" si="4"/>
        <v>0.76900000000000002</v>
      </c>
      <c r="K24" s="7">
        <f t="shared" si="5"/>
        <v>0.995</v>
      </c>
      <c r="L24" s="7">
        <f t="shared" si="6"/>
        <v>0.7</v>
      </c>
      <c r="M24" s="10">
        <f t="shared" si="7"/>
        <v>0.99099999999999999</v>
      </c>
      <c r="N24" s="1">
        <f t="shared" si="8"/>
        <v>15.516666666666667</v>
      </c>
      <c r="O24" s="1">
        <f t="shared" si="9"/>
        <v>25.891891891891891</v>
      </c>
      <c r="P24" s="1">
        <f t="shared" si="10"/>
        <v>192.25</v>
      </c>
      <c r="Q24" s="1" t="e">
        <f t="shared" si="11"/>
        <v>#DIV/0!</v>
      </c>
      <c r="R24" s="1" t="e">
        <f t="shared" si="12"/>
        <v>#DIV/0!</v>
      </c>
      <c r="S24" s="1" t="e">
        <f t="shared" si="13"/>
        <v>#DIV/0!</v>
      </c>
    </row>
    <row r="25" spans="1:19">
      <c r="A25" t="s">
        <v>28</v>
      </c>
      <c r="B25" s="2">
        <v>0.873</v>
      </c>
      <c r="C25" s="2">
        <v>0.90600000000000003</v>
      </c>
      <c r="D25" s="2">
        <v>0.45</v>
      </c>
      <c r="E25" s="2">
        <v>0</v>
      </c>
      <c r="F25" s="2">
        <v>0</v>
      </c>
      <c r="G25" s="8">
        <v>0</v>
      </c>
      <c r="H25" s="7">
        <f t="shared" si="2"/>
        <v>0.81299999999999994</v>
      </c>
      <c r="I25" s="7">
        <f t="shared" si="3"/>
        <v>0.86899999999999999</v>
      </c>
      <c r="J25" s="7">
        <f t="shared" si="4"/>
        <v>0.44600000000000001</v>
      </c>
      <c r="K25" s="7">
        <f t="shared" si="5"/>
        <v>0</v>
      </c>
      <c r="L25" s="7">
        <f t="shared" si="6"/>
        <v>0</v>
      </c>
      <c r="M25" s="10">
        <f t="shared" si="7"/>
        <v>0</v>
      </c>
      <c r="N25" s="1">
        <f t="shared" si="8"/>
        <v>13.549999999999999</v>
      </c>
      <c r="O25" s="1">
        <f t="shared" si="9"/>
        <v>23.486486486486488</v>
      </c>
      <c r="P25" s="1">
        <f t="shared" si="10"/>
        <v>111.5</v>
      </c>
      <c r="Q25" s="1" t="e">
        <f t="shared" si="11"/>
        <v>#DIV/0!</v>
      </c>
      <c r="R25" s="1" t="e">
        <f t="shared" si="12"/>
        <v>#DIV/0!</v>
      </c>
      <c r="S25" s="1" t="e">
        <f t="shared" si="13"/>
        <v>#DIV/0!</v>
      </c>
    </row>
    <row r="26" spans="1:19">
      <c r="A26" t="s">
        <v>29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8">
        <v>0</v>
      </c>
      <c r="H26" s="7">
        <f t="shared" si="2"/>
        <v>-0.06</v>
      </c>
      <c r="I26" s="7">
        <f t="shared" si="3"/>
        <v>-3.6999999999999998E-2</v>
      </c>
      <c r="J26" s="7">
        <f t="shared" si="4"/>
        <v>-4.0000000000000001E-3</v>
      </c>
      <c r="K26" s="7">
        <f t="shared" si="5"/>
        <v>0</v>
      </c>
      <c r="L26" s="7">
        <f t="shared" si="6"/>
        <v>0</v>
      </c>
      <c r="M26" s="10">
        <f t="shared" si="7"/>
        <v>0</v>
      </c>
      <c r="N26" s="1">
        <f t="shared" si="8"/>
        <v>-1</v>
      </c>
      <c r="O26" s="1">
        <f t="shared" si="9"/>
        <v>-1</v>
      </c>
      <c r="P26" s="1">
        <f t="shared" si="10"/>
        <v>-1</v>
      </c>
      <c r="Q26" s="1" t="e">
        <f t="shared" si="11"/>
        <v>#DIV/0!</v>
      </c>
      <c r="R26" s="1" t="e">
        <f t="shared" si="12"/>
        <v>#DIV/0!</v>
      </c>
      <c r="S26" s="1" t="e">
        <f t="shared" si="13"/>
        <v>#DIV/0!</v>
      </c>
    </row>
    <row r="27" spans="1:19">
      <c r="A27" t="s">
        <v>30</v>
      </c>
      <c r="B27" s="2">
        <v>0.96899999999999997</v>
      </c>
      <c r="C27" s="2">
        <v>0.97099999999999997</v>
      </c>
      <c r="D27" s="2">
        <v>0.55000000000000004</v>
      </c>
      <c r="E27" s="2">
        <v>0</v>
      </c>
      <c r="F27" s="2">
        <v>0</v>
      </c>
      <c r="G27" s="8">
        <v>0</v>
      </c>
      <c r="H27" s="7">
        <f t="shared" si="2"/>
        <v>0.90900000000000003</v>
      </c>
      <c r="I27" s="7">
        <f t="shared" si="3"/>
        <v>0.93399999999999994</v>
      </c>
      <c r="J27" s="7">
        <f t="shared" si="4"/>
        <v>0.54600000000000004</v>
      </c>
      <c r="K27" s="7">
        <f t="shared" si="5"/>
        <v>0</v>
      </c>
      <c r="L27" s="7">
        <f t="shared" si="6"/>
        <v>0</v>
      </c>
      <c r="M27" s="10">
        <f t="shared" si="7"/>
        <v>0</v>
      </c>
      <c r="N27" s="1">
        <f t="shared" si="8"/>
        <v>15.15</v>
      </c>
      <c r="O27" s="1">
        <f t="shared" si="9"/>
        <v>25.243243243243242</v>
      </c>
      <c r="P27" s="1">
        <f t="shared" si="10"/>
        <v>136.5</v>
      </c>
      <c r="Q27" s="1" t="e">
        <f t="shared" si="11"/>
        <v>#DIV/0!</v>
      </c>
      <c r="R27" s="1" t="e">
        <f t="shared" si="12"/>
        <v>#DIV/0!</v>
      </c>
      <c r="S27" s="1" t="e">
        <f t="shared" si="13"/>
        <v>#DIV/0!</v>
      </c>
    </row>
    <row r="28" spans="1:19">
      <c r="A28" t="s">
        <v>31</v>
      </c>
      <c r="B28" s="2">
        <v>0.995</v>
      </c>
      <c r="C28" s="2">
        <v>0.995</v>
      </c>
      <c r="D28" s="2">
        <v>0.70599999999999996</v>
      </c>
      <c r="E28" s="2">
        <v>0.995</v>
      </c>
      <c r="F28" s="2">
        <v>0.63600000000000001</v>
      </c>
      <c r="G28" s="8">
        <v>0.995</v>
      </c>
      <c r="H28" s="7">
        <f t="shared" si="2"/>
        <v>0.93500000000000005</v>
      </c>
      <c r="I28" s="7">
        <f t="shared" si="3"/>
        <v>0.95799999999999996</v>
      </c>
      <c r="J28" s="7">
        <f t="shared" si="4"/>
        <v>0.70199999999999996</v>
      </c>
      <c r="K28" s="7">
        <f t="shared" si="5"/>
        <v>0.995</v>
      </c>
      <c r="L28" s="7">
        <f t="shared" si="6"/>
        <v>0.63600000000000001</v>
      </c>
      <c r="M28" s="10">
        <f t="shared" si="7"/>
        <v>0.995</v>
      </c>
      <c r="N28" s="1">
        <f t="shared" si="8"/>
        <v>15.583333333333334</v>
      </c>
      <c r="O28" s="1">
        <f t="shared" si="9"/>
        <v>25.891891891891891</v>
      </c>
      <c r="P28" s="1">
        <f t="shared" si="10"/>
        <v>175.49999999999997</v>
      </c>
      <c r="Q28" s="1" t="e">
        <f t="shared" si="11"/>
        <v>#DIV/0!</v>
      </c>
      <c r="R28" s="1" t="e">
        <f t="shared" si="12"/>
        <v>#DIV/0!</v>
      </c>
      <c r="S28" s="1" t="e">
        <f t="shared" si="13"/>
        <v>#DIV/0!</v>
      </c>
    </row>
    <row r="29" spans="1:19">
      <c r="A29" t="s">
        <v>32</v>
      </c>
      <c r="B29" s="2">
        <v>0.45300000000000001</v>
      </c>
      <c r="C29" s="2">
        <v>0.41099999999999998</v>
      </c>
      <c r="D29" s="2">
        <v>0.16700000000000001</v>
      </c>
      <c r="E29" s="2">
        <v>0</v>
      </c>
      <c r="F29" s="2">
        <v>0</v>
      </c>
      <c r="G29" s="8">
        <v>0</v>
      </c>
      <c r="H29" s="7">
        <f t="shared" si="2"/>
        <v>0.39300000000000002</v>
      </c>
      <c r="I29" s="7">
        <f t="shared" si="3"/>
        <v>0.374</v>
      </c>
      <c r="J29" s="7">
        <f t="shared" si="4"/>
        <v>0.16300000000000001</v>
      </c>
      <c r="K29" s="7">
        <f t="shared" si="5"/>
        <v>0</v>
      </c>
      <c r="L29" s="7">
        <f t="shared" si="6"/>
        <v>0</v>
      </c>
      <c r="M29" s="10">
        <f t="shared" si="7"/>
        <v>0</v>
      </c>
      <c r="N29" s="1">
        <f t="shared" si="8"/>
        <v>6.5500000000000007</v>
      </c>
      <c r="O29" s="1">
        <f t="shared" si="9"/>
        <v>10.108108108108109</v>
      </c>
      <c r="P29" s="1">
        <f t="shared" si="10"/>
        <v>40.75</v>
      </c>
      <c r="Q29" s="1" t="e">
        <f t="shared" si="11"/>
        <v>#DIV/0!</v>
      </c>
      <c r="R29" s="1" t="e">
        <f t="shared" si="12"/>
        <v>#DIV/0!</v>
      </c>
      <c r="S29" s="1" t="e">
        <f t="shared" si="13"/>
        <v>#DIV/0!</v>
      </c>
    </row>
    <row r="30" spans="1:19">
      <c r="A30" t="s">
        <v>33</v>
      </c>
      <c r="B30" s="2">
        <v>0.995</v>
      </c>
      <c r="C30" s="2">
        <v>0.995</v>
      </c>
      <c r="D30" s="2">
        <v>0.79300000000000004</v>
      </c>
      <c r="E30" s="2">
        <v>0.995</v>
      </c>
      <c r="F30" s="2">
        <v>0.69599999999999995</v>
      </c>
      <c r="G30" s="8">
        <v>0.995</v>
      </c>
      <c r="H30" s="7">
        <f t="shared" si="2"/>
        <v>0.93500000000000005</v>
      </c>
      <c r="I30" s="7">
        <f t="shared" si="3"/>
        <v>0.95799999999999996</v>
      </c>
      <c r="J30" s="7">
        <f t="shared" si="4"/>
        <v>0.78900000000000003</v>
      </c>
      <c r="K30" s="7">
        <f t="shared" si="5"/>
        <v>0.995</v>
      </c>
      <c r="L30" s="7">
        <f t="shared" si="6"/>
        <v>0.69599999999999995</v>
      </c>
      <c r="M30" s="10">
        <f t="shared" si="7"/>
        <v>0.995</v>
      </c>
      <c r="N30" s="1">
        <f t="shared" si="8"/>
        <v>15.583333333333334</v>
      </c>
      <c r="O30" s="1">
        <f t="shared" si="9"/>
        <v>25.891891891891891</v>
      </c>
      <c r="P30" s="1">
        <f t="shared" si="10"/>
        <v>197.25</v>
      </c>
      <c r="Q30" s="1" t="e">
        <f t="shared" si="11"/>
        <v>#DIV/0!</v>
      </c>
      <c r="R30" s="1" t="e">
        <f t="shared" si="12"/>
        <v>#DIV/0!</v>
      </c>
      <c r="S30" s="1" t="e">
        <f t="shared" si="13"/>
        <v>#DIV/0!</v>
      </c>
    </row>
    <row r="31" spans="1:19">
      <c r="A31" t="s">
        <v>34</v>
      </c>
      <c r="B31" s="2">
        <v>0.81599999999999995</v>
      </c>
      <c r="C31" s="2">
        <v>0.88700000000000001</v>
      </c>
      <c r="D31" s="2">
        <v>0.45300000000000001</v>
      </c>
      <c r="E31" s="2">
        <v>0</v>
      </c>
      <c r="F31" s="2">
        <v>0</v>
      </c>
      <c r="G31" s="8">
        <v>0</v>
      </c>
      <c r="H31" s="7">
        <f t="shared" si="2"/>
        <v>0.75600000000000001</v>
      </c>
      <c r="I31" s="7">
        <f t="shared" si="3"/>
        <v>0.85</v>
      </c>
      <c r="J31" s="7">
        <f t="shared" si="4"/>
        <v>0.44900000000000001</v>
      </c>
      <c r="K31" s="7">
        <f t="shared" si="5"/>
        <v>0</v>
      </c>
      <c r="L31" s="7">
        <f t="shared" si="6"/>
        <v>0</v>
      </c>
      <c r="M31" s="10">
        <f t="shared" si="7"/>
        <v>0</v>
      </c>
      <c r="N31" s="1">
        <f t="shared" si="8"/>
        <v>12.600000000000001</v>
      </c>
      <c r="O31" s="1">
        <f t="shared" si="9"/>
        <v>22.972972972972972</v>
      </c>
      <c r="P31" s="1">
        <f t="shared" si="10"/>
        <v>112.25</v>
      </c>
      <c r="Q31" s="1" t="e">
        <f t="shared" si="11"/>
        <v>#DIV/0!</v>
      </c>
      <c r="R31" s="1" t="e">
        <f t="shared" si="12"/>
        <v>#DIV/0!</v>
      </c>
      <c r="S31" s="1" t="e">
        <f t="shared" si="13"/>
        <v>#DIV/0!</v>
      </c>
    </row>
    <row r="32" spans="1:19">
      <c r="A32" t="s">
        <v>35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8">
        <v>0</v>
      </c>
      <c r="H32" s="7">
        <f t="shared" si="2"/>
        <v>-0.06</v>
      </c>
      <c r="I32" s="7">
        <f t="shared" si="3"/>
        <v>-3.6999999999999998E-2</v>
      </c>
      <c r="J32" s="7">
        <f t="shared" si="4"/>
        <v>-4.0000000000000001E-3</v>
      </c>
      <c r="K32" s="7">
        <f t="shared" si="5"/>
        <v>0</v>
      </c>
      <c r="L32" s="7">
        <f t="shared" si="6"/>
        <v>0</v>
      </c>
      <c r="M32" s="10">
        <f t="shared" si="7"/>
        <v>0</v>
      </c>
      <c r="N32" s="1">
        <f t="shared" si="8"/>
        <v>-1</v>
      </c>
      <c r="O32" s="1">
        <f t="shared" si="9"/>
        <v>-1</v>
      </c>
      <c r="P32" s="1">
        <f t="shared" si="10"/>
        <v>-1</v>
      </c>
      <c r="Q32" s="1" t="e">
        <f t="shared" si="11"/>
        <v>#DIV/0!</v>
      </c>
      <c r="R32" s="1" t="e">
        <f t="shared" si="12"/>
        <v>#DIV/0!</v>
      </c>
      <c r="S32" s="1" t="e">
        <f t="shared" si="13"/>
        <v>#DIV/0!</v>
      </c>
    </row>
    <row r="33" spans="1:19">
      <c r="A33" t="s">
        <v>36</v>
      </c>
      <c r="B33" s="2">
        <v>0.72</v>
      </c>
      <c r="C33" s="2">
        <v>0.71</v>
      </c>
      <c r="D33" s="2">
        <v>0.307</v>
      </c>
      <c r="E33" s="2">
        <v>0</v>
      </c>
      <c r="F33" s="2">
        <v>0</v>
      </c>
      <c r="G33" s="8">
        <v>0</v>
      </c>
      <c r="H33" s="7">
        <f t="shared" si="2"/>
        <v>0.65999999999999992</v>
      </c>
      <c r="I33" s="7">
        <f t="shared" si="3"/>
        <v>0.67299999999999993</v>
      </c>
      <c r="J33" s="7">
        <f t="shared" si="4"/>
        <v>0.30299999999999999</v>
      </c>
      <c r="K33" s="7">
        <f t="shared" si="5"/>
        <v>0</v>
      </c>
      <c r="L33" s="7">
        <f t="shared" si="6"/>
        <v>0</v>
      </c>
      <c r="M33" s="10">
        <f t="shared" si="7"/>
        <v>0</v>
      </c>
      <c r="N33" s="1">
        <f t="shared" si="8"/>
        <v>10.999999999999998</v>
      </c>
      <c r="O33" s="1">
        <f t="shared" si="9"/>
        <v>18.189189189189189</v>
      </c>
      <c r="P33" s="1">
        <f t="shared" si="10"/>
        <v>75.75</v>
      </c>
      <c r="Q33" s="1" t="e">
        <f t="shared" si="11"/>
        <v>#DIV/0!</v>
      </c>
      <c r="R33" s="1" t="e">
        <f t="shared" si="12"/>
        <v>#DIV/0!</v>
      </c>
      <c r="S33" s="1" t="e">
        <f t="shared" si="13"/>
        <v>#DIV/0!</v>
      </c>
    </row>
    <row r="34" spans="1:19">
      <c r="A34" t="s">
        <v>37</v>
      </c>
      <c r="B34" s="2">
        <v>0.995</v>
      </c>
      <c r="C34" s="2">
        <v>0.995</v>
      </c>
      <c r="D34" s="2">
        <v>0.59399999999999997</v>
      </c>
      <c r="E34" s="2">
        <v>0.995</v>
      </c>
      <c r="F34" s="2">
        <v>0.48099999999999998</v>
      </c>
      <c r="G34" s="8">
        <v>0.995</v>
      </c>
      <c r="H34" s="7">
        <f t="shared" ref="H34:H65" si="14">B34-V$2</f>
        <v>0.93500000000000005</v>
      </c>
      <c r="I34" s="7">
        <f t="shared" ref="I34:I65" si="15">C34-W$2</f>
        <v>0.95799999999999996</v>
      </c>
      <c r="J34" s="7">
        <f t="shared" ref="J34:J65" si="16">D34-X$2</f>
        <v>0.59</v>
      </c>
      <c r="K34" s="7">
        <f t="shared" ref="K34:K65" si="17">E34-Y$2</f>
        <v>0.995</v>
      </c>
      <c r="L34" s="7">
        <f t="shared" ref="L34:L65" si="18">F34-Z$2</f>
        <v>0.48099999999999998</v>
      </c>
      <c r="M34" s="10">
        <f t="shared" ref="M34:M65" si="19">G34-AA$2</f>
        <v>0.995</v>
      </c>
      <c r="N34" s="1">
        <f t="shared" ref="N34:N65" si="20">(B34-V$2)/V$2</f>
        <v>15.583333333333334</v>
      </c>
      <c r="O34" s="1">
        <f t="shared" ref="O34:O65" si="21">(C34-W$2)/W$2</f>
        <v>25.891891891891891</v>
      </c>
      <c r="P34" s="1">
        <f t="shared" ref="P34:P65" si="22">(D34-X$2)/X$2</f>
        <v>147.5</v>
      </c>
      <c r="Q34" s="1" t="e">
        <f t="shared" ref="Q34:Q65" si="23">(E34-Y$2)/Y$2</f>
        <v>#DIV/0!</v>
      </c>
      <c r="R34" s="1" t="e">
        <f t="shared" ref="R34:R65" si="24">(F34-Z$2)/Z$2</f>
        <v>#DIV/0!</v>
      </c>
      <c r="S34" s="1" t="e">
        <f t="shared" ref="S34:S65" si="25">(G34-AA$2)/AA$2</f>
        <v>#DIV/0!</v>
      </c>
    </row>
    <row r="35" spans="1:19">
      <c r="A35" t="s">
        <v>38</v>
      </c>
      <c r="B35" s="2">
        <v>0.51100000000000001</v>
      </c>
      <c r="C35" s="2">
        <v>0.46899999999999997</v>
      </c>
      <c r="D35" s="2">
        <v>0.19800000000000001</v>
      </c>
      <c r="E35" s="2">
        <v>0</v>
      </c>
      <c r="F35" s="2">
        <v>0</v>
      </c>
      <c r="G35" s="8">
        <v>0</v>
      </c>
      <c r="H35" s="7">
        <f t="shared" si="14"/>
        <v>0.45100000000000001</v>
      </c>
      <c r="I35" s="7">
        <f t="shared" si="15"/>
        <v>0.432</v>
      </c>
      <c r="J35" s="7">
        <f t="shared" si="16"/>
        <v>0.19400000000000001</v>
      </c>
      <c r="K35" s="7">
        <f t="shared" si="17"/>
        <v>0</v>
      </c>
      <c r="L35" s="7">
        <f t="shared" si="18"/>
        <v>0</v>
      </c>
      <c r="M35" s="10">
        <f t="shared" si="19"/>
        <v>0</v>
      </c>
      <c r="N35" s="1">
        <f t="shared" si="20"/>
        <v>7.5166666666666675</v>
      </c>
      <c r="O35" s="1">
        <f t="shared" si="21"/>
        <v>11.675675675675675</v>
      </c>
      <c r="P35" s="1">
        <f t="shared" si="22"/>
        <v>48.5</v>
      </c>
      <c r="Q35" s="1" t="e">
        <f t="shared" si="23"/>
        <v>#DIV/0!</v>
      </c>
      <c r="R35" s="1" t="e">
        <f t="shared" si="24"/>
        <v>#DIV/0!</v>
      </c>
      <c r="S35" s="1" t="e">
        <f t="shared" si="25"/>
        <v>#DIV/0!</v>
      </c>
    </row>
    <row r="36" spans="1:19">
      <c r="A36" t="s">
        <v>39</v>
      </c>
      <c r="B36" s="2">
        <v>0.995</v>
      </c>
      <c r="C36" s="2">
        <v>0.995</v>
      </c>
      <c r="D36" s="2">
        <v>0.74399999999999999</v>
      </c>
      <c r="E36" s="2">
        <v>0.995</v>
      </c>
      <c r="F36" s="2">
        <v>0.68300000000000005</v>
      </c>
      <c r="G36" s="8">
        <v>0.995</v>
      </c>
      <c r="H36" s="7">
        <f t="shared" si="14"/>
        <v>0.93500000000000005</v>
      </c>
      <c r="I36" s="7">
        <f t="shared" si="15"/>
        <v>0.95799999999999996</v>
      </c>
      <c r="J36" s="7">
        <f t="shared" si="16"/>
        <v>0.74</v>
      </c>
      <c r="K36" s="7">
        <f t="shared" si="17"/>
        <v>0.995</v>
      </c>
      <c r="L36" s="7">
        <f t="shared" si="18"/>
        <v>0.68300000000000005</v>
      </c>
      <c r="M36" s="10">
        <f t="shared" si="19"/>
        <v>0.995</v>
      </c>
      <c r="N36" s="1">
        <f t="shared" si="20"/>
        <v>15.583333333333334</v>
      </c>
      <c r="O36" s="1">
        <f t="shared" si="21"/>
        <v>25.891891891891891</v>
      </c>
      <c r="P36" s="1">
        <f t="shared" si="22"/>
        <v>185</v>
      </c>
      <c r="Q36" s="1" t="e">
        <f t="shared" si="23"/>
        <v>#DIV/0!</v>
      </c>
      <c r="R36" s="1" t="e">
        <f t="shared" si="24"/>
        <v>#DIV/0!</v>
      </c>
      <c r="S36" s="1" t="e">
        <f t="shared" si="25"/>
        <v>#DIV/0!</v>
      </c>
    </row>
    <row r="37" spans="1:19">
      <c r="A37" t="s">
        <v>40</v>
      </c>
      <c r="B37" s="2">
        <v>0.74299999999999999</v>
      </c>
      <c r="C37" s="2">
        <v>0.79100000000000004</v>
      </c>
      <c r="D37" s="2">
        <v>0.35699999999999998</v>
      </c>
      <c r="E37" s="2">
        <v>0</v>
      </c>
      <c r="F37" s="2">
        <v>0</v>
      </c>
      <c r="G37" s="8">
        <v>0</v>
      </c>
      <c r="H37" s="7">
        <f t="shared" si="14"/>
        <v>0.68300000000000005</v>
      </c>
      <c r="I37" s="7">
        <f t="shared" si="15"/>
        <v>0.754</v>
      </c>
      <c r="J37" s="7">
        <f t="shared" si="16"/>
        <v>0.35299999999999998</v>
      </c>
      <c r="K37" s="7">
        <f t="shared" si="17"/>
        <v>0</v>
      </c>
      <c r="L37" s="7">
        <f t="shared" si="18"/>
        <v>0</v>
      </c>
      <c r="M37" s="10">
        <f t="shared" si="19"/>
        <v>0</v>
      </c>
      <c r="N37" s="1">
        <f t="shared" si="20"/>
        <v>11.383333333333335</v>
      </c>
      <c r="O37" s="1">
        <f t="shared" si="21"/>
        <v>20.378378378378379</v>
      </c>
      <c r="P37" s="1">
        <f t="shared" si="22"/>
        <v>88.25</v>
      </c>
      <c r="Q37" s="1" t="e">
        <f t="shared" si="23"/>
        <v>#DIV/0!</v>
      </c>
      <c r="R37" s="1" t="e">
        <f t="shared" si="24"/>
        <v>#DIV/0!</v>
      </c>
      <c r="S37" s="1" t="e">
        <f t="shared" si="25"/>
        <v>#DIV/0!</v>
      </c>
    </row>
    <row r="38" spans="1:19">
      <c r="A38" t="s">
        <v>41</v>
      </c>
      <c r="B38" s="2">
        <v>6.0000000000000001E-3</v>
      </c>
      <c r="C38" s="2">
        <v>0.94099999999999995</v>
      </c>
      <c r="D38" s="2">
        <v>0.51800000000000002</v>
      </c>
      <c r="E38" s="2">
        <v>0.96299999999999997</v>
      </c>
      <c r="F38" s="2">
        <v>0.29399999999999998</v>
      </c>
      <c r="G38" s="8">
        <v>7.0000000000000001E-3</v>
      </c>
      <c r="H38" s="7">
        <f t="shared" si="14"/>
        <v>-5.3999999999999999E-2</v>
      </c>
      <c r="I38" s="7">
        <f t="shared" si="15"/>
        <v>0.90399999999999991</v>
      </c>
      <c r="J38" s="7">
        <f t="shared" si="16"/>
        <v>0.51400000000000001</v>
      </c>
      <c r="K38" s="7">
        <f t="shared" si="17"/>
        <v>0.96299999999999997</v>
      </c>
      <c r="L38" s="7">
        <f t="shared" si="18"/>
        <v>0.29399999999999998</v>
      </c>
      <c r="M38" s="10">
        <f t="shared" si="19"/>
        <v>7.0000000000000001E-3</v>
      </c>
      <c r="N38" s="1">
        <f t="shared" si="20"/>
        <v>-0.9</v>
      </c>
      <c r="O38" s="1">
        <f t="shared" si="21"/>
        <v>24.432432432432432</v>
      </c>
      <c r="P38" s="1">
        <f t="shared" si="22"/>
        <v>128.5</v>
      </c>
      <c r="Q38" s="1" t="e">
        <f t="shared" si="23"/>
        <v>#DIV/0!</v>
      </c>
      <c r="R38" s="1" t="e">
        <f t="shared" si="24"/>
        <v>#DIV/0!</v>
      </c>
      <c r="S38" s="1" t="e">
        <f t="shared" si="25"/>
        <v>#DIV/0!</v>
      </c>
    </row>
    <row r="39" spans="1:19">
      <c r="A39" t="s">
        <v>42</v>
      </c>
      <c r="B39" s="2">
        <v>0.68500000000000005</v>
      </c>
      <c r="C39" s="2">
        <v>0.64900000000000002</v>
      </c>
      <c r="D39" s="2">
        <v>0.26900000000000002</v>
      </c>
      <c r="E39" s="2">
        <v>0</v>
      </c>
      <c r="F39" s="2">
        <v>0</v>
      </c>
      <c r="G39" s="8">
        <v>0</v>
      </c>
      <c r="H39" s="7">
        <f t="shared" si="14"/>
        <v>0.625</v>
      </c>
      <c r="I39" s="7">
        <f t="shared" si="15"/>
        <v>0.61199999999999999</v>
      </c>
      <c r="J39" s="7">
        <f t="shared" si="16"/>
        <v>0.26500000000000001</v>
      </c>
      <c r="K39" s="7">
        <f t="shared" si="17"/>
        <v>0</v>
      </c>
      <c r="L39" s="7">
        <f t="shared" si="18"/>
        <v>0</v>
      </c>
      <c r="M39" s="10">
        <f t="shared" si="19"/>
        <v>0</v>
      </c>
      <c r="N39" s="1">
        <f t="shared" si="20"/>
        <v>10.416666666666668</v>
      </c>
      <c r="O39" s="1">
        <f t="shared" si="21"/>
        <v>16.54054054054054</v>
      </c>
      <c r="P39" s="1">
        <f t="shared" si="22"/>
        <v>66.25</v>
      </c>
      <c r="Q39" s="1" t="e">
        <f t="shared" si="23"/>
        <v>#DIV/0!</v>
      </c>
      <c r="R39" s="1" t="e">
        <f t="shared" si="24"/>
        <v>#DIV/0!</v>
      </c>
      <c r="S39" s="1" t="e">
        <f t="shared" si="25"/>
        <v>#DIV/0!</v>
      </c>
    </row>
    <row r="40" spans="1:19">
      <c r="A40" t="s">
        <v>43</v>
      </c>
      <c r="B40" s="2">
        <v>0.995</v>
      </c>
      <c r="C40" s="2">
        <v>0.995</v>
      </c>
      <c r="D40" s="2">
        <v>0.61299999999999999</v>
      </c>
      <c r="E40" s="2">
        <v>0.995</v>
      </c>
      <c r="F40" s="2">
        <v>0.49099999999999999</v>
      </c>
      <c r="G40" s="8">
        <v>0.995</v>
      </c>
      <c r="H40" s="7">
        <f t="shared" si="14"/>
        <v>0.93500000000000005</v>
      </c>
      <c r="I40" s="7">
        <f t="shared" si="15"/>
        <v>0.95799999999999996</v>
      </c>
      <c r="J40" s="7">
        <f t="shared" si="16"/>
        <v>0.60899999999999999</v>
      </c>
      <c r="K40" s="7">
        <f t="shared" si="17"/>
        <v>0.995</v>
      </c>
      <c r="L40" s="7">
        <f t="shared" si="18"/>
        <v>0.49099999999999999</v>
      </c>
      <c r="M40" s="10">
        <f t="shared" si="19"/>
        <v>0.995</v>
      </c>
      <c r="N40" s="1">
        <f t="shared" si="20"/>
        <v>15.583333333333334</v>
      </c>
      <c r="O40" s="1">
        <f t="shared" si="21"/>
        <v>25.891891891891891</v>
      </c>
      <c r="P40" s="1">
        <f t="shared" si="22"/>
        <v>152.25</v>
      </c>
      <c r="Q40" s="1" t="e">
        <f t="shared" si="23"/>
        <v>#DIV/0!</v>
      </c>
      <c r="R40" s="1" t="e">
        <f t="shared" si="24"/>
        <v>#DIV/0!</v>
      </c>
      <c r="S40" s="1" t="e">
        <f t="shared" si="25"/>
        <v>#DIV/0!</v>
      </c>
    </row>
    <row r="41" spans="1:19">
      <c r="A41" t="s">
        <v>44</v>
      </c>
      <c r="B41" s="2">
        <v>0.995</v>
      </c>
      <c r="C41" s="2">
        <v>0.995</v>
      </c>
      <c r="D41" s="2">
        <v>0.82199999999999995</v>
      </c>
      <c r="G41" s="8">
        <v>0.995</v>
      </c>
      <c r="H41" s="7">
        <f t="shared" si="14"/>
        <v>0.93500000000000005</v>
      </c>
      <c r="I41" s="7">
        <f t="shared" si="15"/>
        <v>0.95799999999999996</v>
      </c>
      <c r="J41" s="7">
        <f t="shared" si="16"/>
        <v>0.81799999999999995</v>
      </c>
      <c r="K41" s="7">
        <f t="shared" si="17"/>
        <v>0</v>
      </c>
      <c r="L41" s="7">
        <f t="shared" si="18"/>
        <v>0</v>
      </c>
      <c r="M41" s="10">
        <f t="shared" si="19"/>
        <v>0.995</v>
      </c>
      <c r="N41" s="1">
        <f t="shared" si="20"/>
        <v>15.583333333333334</v>
      </c>
      <c r="O41" s="1">
        <f t="shared" si="21"/>
        <v>25.891891891891891</v>
      </c>
      <c r="P41" s="1">
        <f t="shared" si="22"/>
        <v>204.49999999999997</v>
      </c>
      <c r="Q41" s="1" t="e">
        <f t="shared" si="23"/>
        <v>#DIV/0!</v>
      </c>
      <c r="R41" s="1" t="e">
        <f t="shared" si="24"/>
        <v>#DIV/0!</v>
      </c>
      <c r="S41" s="1" t="e">
        <f t="shared" si="25"/>
        <v>#DIV/0!</v>
      </c>
    </row>
    <row r="42" spans="1:19">
      <c r="A42" t="s">
        <v>45</v>
      </c>
      <c r="B42" s="2">
        <v>0.98599999999999999</v>
      </c>
      <c r="C42" s="2">
        <v>0.99299999999999999</v>
      </c>
      <c r="D42" s="2">
        <v>0.68899999999999995</v>
      </c>
      <c r="G42" s="8">
        <v>0.98599999999999999</v>
      </c>
      <c r="H42" s="7">
        <f t="shared" si="14"/>
        <v>0.92599999999999993</v>
      </c>
      <c r="I42" s="7">
        <f t="shared" si="15"/>
        <v>0.95599999999999996</v>
      </c>
      <c r="J42" s="7">
        <f t="shared" si="16"/>
        <v>0.68499999999999994</v>
      </c>
      <c r="K42" s="7">
        <f t="shared" si="17"/>
        <v>0</v>
      </c>
      <c r="L42" s="7">
        <f t="shared" si="18"/>
        <v>0</v>
      </c>
      <c r="M42" s="10">
        <f t="shared" si="19"/>
        <v>0.98599999999999999</v>
      </c>
      <c r="N42" s="1">
        <f t="shared" si="20"/>
        <v>15.433333333333334</v>
      </c>
      <c r="O42" s="1">
        <f t="shared" si="21"/>
        <v>25.837837837837839</v>
      </c>
      <c r="P42" s="1">
        <f t="shared" si="22"/>
        <v>171.24999999999997</v>
      </c>
      <c r="Q42" s="1" t="e">
        <f t="shared" si="23"/>
        <v>#DIV/0!</v>
      </c>
      <c r="R42" s="1" t="e">
        <f t="shared" si="24"/>
        <v>#DIV/0!</v>
      </c>
      <c r="S42" s="1" t="e">
        <f t="shared" si="25"/>
        <v>#DIV/0!</v>
      </c>
    </row>
    <row r="43" spans="1:19">
      <c r="A43" t="s">
        <v>46</v>
      </c>
      <c r="B43" s="2">
        <v>0.995</v>
      </c>
      <c r="C43" s="2">
        <v>0.995</v>
      </c>
      <c r="D43" s="2">
        <v>0.74299999999999999</v>
      </c>
      <c r="G43" s="8">
        <v>0.995</v>
      </c>
      <c r="H43" s="7">
        <f t="shared" si="14"/>
        <v>0.93500000000000005</v>
      </c>
      <c r="I43" s="7">
        <f t="shared" si="15"/>
        <v>0.95799999999999996</v>
      </c>
      <c r="J43" s="7">
        <f t="shared" si="16"/>
        <v>0.73899999999999999</v>
      </c>
      <c r="K43" s="7">
        <f t="shared" si="17"/>
        <v>0</v>
      </c>
      <c r="L43" s="7">
        <f t="shared" si="18"/>
        <v>0</v>
      </c>
      <c r="M43" s="10">
        <f t="shared" si="19"/>
        <v>0.995</v>
      </c>
      <c r="N43" s="1">
        <f t="shared" si="20"/>
        <v>15.583333333333334</v>
      </c>
      <c r="O43" s="1">
        <f t="shared" si="21"/>
        <v>25.891891891891891</v>
      </c>
      <c r="P43" s="1">
        <f t="shared" si="22"/>
        <v>184.75</v>
      </c>
      <c r="Q43" s="1" t="e">
        <f t="shared" si="23"/>
        <v>#DIV/0!</v>
      </c>
      <c r="R43" s="1" t="e">
        <f t="shared" si="24"/>
        <v>#DIV/0!</v>
      </c>
      <c r="S43" s="1" t="e">
        <f t="shared" si="25"/>
        <v>#DIV/0!</v>
      </c>
    </row>
    <row r="44" spans="1:19">
      <c r="A44" t="s">
        <v>47</v>
      </c>
      <c r="B44" s="2">
        <v>0.95699999999999996</v>
      </c>
      <c r="C44" s="2">
        <v>0.98199999999999998</v>
      </c>
      <c r="D44" s="2">
        <v>0.69099999999999995</v>
      </c>
      <c r="G44" s="8">
        <v>0.95</v>
      </c>
      <c r="H44" s="7">
        <f t="shared" si="14"/>
        <v>0.89700000000000002</v>
      </c>
      <c r="I44" s="7">
        <f t="shared" si="15"/>
        <v>0.94499999999999995</v>
      </c>
      <c r="J44" s="7">
        <f t="shared" si="16"/>
        <v>0.68699999999999994</v>
      </c>
      <c r="K44" s="7">
        <f t="shared" si="17"/>
        <v>0</v>
      </c>
      <c r="L44" s="7">
        <f t="shared" si="18"/>
        <v>0</v>
      </c>
      <c r="M44" s="10">
        <f t="shared" si="19"/>
        <v>0.95</v>
      </c>
      <c r="N44" s="1">
        <f t="shared" si="20"/>
        <v>14.950000000000001</v>
      </c>
      <c r="O44" s="1">
        <f t="shared" si="21"/>
        <v>25.54054054054054</v>
      </c>
      <c r="P44" s="1">
        <f t="shared" si="22"/>
        <v>171.74999999999997</v>
      </c>
      <c r="Q44" s="1" t="e">
        <f t="shared" si="23"/>
        <v>#DIV/0!</v>
      </c>
      <c r="R44" s="1" t="e">
        <f t="shared" si="24"/>
        <v>#DIV/0!</v>
      </c>
      <c r="S44" s="1" t="e">
        <f t="shared" si="25"/>
        <v>#DIV/0!</v>
      </c>
    </row>
    <row r="45" spans="1:19">
      <c r="A45" t="s">
        <v>48</v>
      </c>
      <c r="B45" s="2">
        <v>0.99099999999999999</v>
      </c>
      <c r="C45" s="2">
        <v>0.995</v>
      </c>
      <c r="D45" s="2">
        <v>0.84699999999999998</v>
      </c>
      <c r="E45" s="2">
        <v>0.995</v>
      </c>
      <c r="F45" s="2">
        <v>0.77377537640055405</v>
      </c>
      <c r="G45" s="8">
        <v>0.99099999999999999</v>
      </c>
      <c r="H45" s="7">
        <f t="shared" si="14"/>
        <v>0.93100000000000005</v>
      </c>
      <c r="I45" s="7">
        <f t="shared" si="15"/>
        <v>0.95799999999999996</v>
      </c>
      <c r="J45" s="7">
        <f t="shared" si="16"/>
        <v>0.84299999999999997</v>
      </c>
      <c r="K45" s="7">
        <f t="shared" si="17"/>
        <v>0.995</v>
      </c>
      <c r="L45" s="7">
        <f t="shared" si="18"/>
        <v>0.77377537640055405</v>
      </c>
      <c r="M45" s="10">
        <f t="shared" si="19"/>
        <v>0.99099999999999999</v>
      </c>
      <c r="N45" s="1">
        <f t="shared" si="20"/>
        <v>15.516666666666667</v>
      </c>
      <c r="O45" s="1">
        <f t="shared" si="21"/>
        <v>25.891891891891891</v>
      </c>
      <c r="P45" s="1">
        <f t="shared" si="22"/>
        <v>210.75</v>
      </c>
      <c r="Q45" s="1" t="e">
        <f t="shared" si="23"/>
        <v>#DIV/0!</v>
      </c>
      <c r="R45" s="1" t="e">
        <f t="shared" si="24"/>
        <v>#DIV/0!</v>
      </c>
      <c r="S45" s="1" t="e">
        <f t="shared" si="25"/>
        <v>#DIV/0!</v>
      </c>
    </row>
    <row r="46" spans="1:19">
      <c r="A46" t="s">
        <v>49</v>
      </c>
      <c r="B46" s="2">
        <v>0.98599999999999999</v>
      </c>
      <c r="C46" s="2">
        <v>0.99299999999999999</v>
      </c>
      <c r="D46" s="2">
        <v>0.64400000000000002</v>
      </c>
      <c r="G46" s="8">
        <v>0.98599999999999999</v>
      </c>
      <c r="H46" s="7">
        <f t="shared" si="14"/>
        <v>0.92599999999999993</v>
      </c>
      <c r="I46" s="7">
        <f t="shared" si="15"/>
        <v>0.95599999999999996</v>
      </c>
      <c r="J46" s="7">
        <f t="shared" si="16"/>
        <v>0.64</v>
      </c>
      <c r="K46" s="7">
        <f t="shared" si="17"/>
        <v>0</v>
      </c>
      <c r="L46" s="7">
        <f t="shared" si="18"/>
        <v>0</v>
      </c>
      <c r="M46" s="10">
        <f t="shared" si="19"/>
        <v>0.98599999999999999</v>
      </c>
      <c r="N46" s="1">
        <f t="shared" si="20"/>
        <v>15.433333333333334</v>
      </c>
      <c r="O46" s="1">
        <f t="shared" si="21"/>
        <v>25.837837837837839</v>
      </c>
      <c r="P46" s="1">
        <f t="shared" si="22"/>
        <v>160</v>
      </c>
      <c r="Q46" s="1" t="e">
        <f t="shared" si="23"/>
        <v>#DIV/0!</v>
      </c>
      <c r="R46" s="1" t="e">
        <f t="shared" si="24"/>
        <v>#DIV/0!</v>
      </c>
      <c r="S46" s="1" t="e">
        <f t="shared" si="25"/>
        <v>#DIV/0!</v>
      </c>
    </row>
    <row r="47" spans="1:19">
      <c r="A47" t="s">
        <v>50</v>
      </c>
      <c r="B47" s="2">
        <v>0.995</v>
      </c>
      <c r="C47" s="2">
        <v>0.995</v>
      </c>
      <c r="D47" s="2">
        <v>0.71299999999999997</v>
      </c>
      <c r="G47" s="8">
        <v>0.995</v>
      </c>
      <c r="H47" s="7">
        <f t="shared" si="14"/>
        <v>0.93500000000000005</v>
      </c>
      <c r="I47" s="7">
        <f t="shared" si="15"/>
        <v>0.95799999999999996</v>
      </c>
      <c r="J47" s="7">
        <f t="shared" si="16"/>
        <v>0.70899999999999996</v>
      </c>
      <c r="K47" s="7">
        <f t="shared" si="17"/>
        <v>0</v>
      </c>
      <c r="L47" s="7">
        <f t="shared" si="18"/>
        <v>0</v>
      </c>
      <c r="M47" s="10">
        <f t="shared" si="19"/>
        <v>0.995</v>
      </c>
      <c r="N47" s="1">
        <f t="shared" si="20"/>
        <v>15.583333333333334</v>
      </c>
      <c r="O47" s="1">
        <f t="shared" si="21"/>
        <v>25.891891891891891</v>
      </c>
      <c r="P47" s="1">
        <f t="shared" si="22"/>
        <v>177.25</v>
      </c>
      <c r="Q47" s="1" t="e">
        <f t="shared" si="23"/>
        <v>#DIV/0!</v>
      </c>
      <c r="R47" s="1" t="e">
        <f t="shared" si="24"/>
        <v>#DIV/0!</v>
      </c>
      <c r="S47" s="1" t="e">
        <f t="shared" si="25"/>
        <v>#DIV/0!</v>
      </c>
    </row>
    <row r="48" spans="1:19">
      <c r="A48" t="s">
        <v>51</v>
      </c>
      <c r="B48" s="2">
        <v>0.95399999999999996</v>
      </c>
      <c r="C48" s="2">
        <v>0.97799999999999998</v>
      </c>
      <c r="D48" s="2">
        <v>0.629</v>
      </c>
      <c r="G48" s="8">
        <v>0.93600000000000005</v>
      </c>
      <c r="H48" s="7">
        <f t="shared" si="14"/>
        <v>0.89399999999999991</v>
      </c>
      <c r="I48" s="7">
        <f t="shared" si="15"/>
        <v>0.94099999999999995</v>
      </c>
      <c r="J48" s="7">
        <f t="shared" si="16"/>
        <v>0.625</v>
      </c>
      <c r="K48" s="7">
        <f t="shared" si="17"/>
        <v>0</v>
      </c>
      <c r="L48" s="7">
        <f t="shared" si="18"/>
        <v>0</v>
      </c>
      <c r="M48" s="10">
        <f t="shared" si="19"/>
        <v>0.93600000000000005</v>
      </c>
      <c r="N48" s="1">
        <f t="shared" si="20"/>
        <v>14.899999999999999</v>
      </c>
      <c r="O48" s="1">
        <f t="shared" si="21"/>
        <v>25.432432432432432</v>
      </c>
      <c r="P48" s="1">
        <f t="shared" si="22"/>
        <v>156.25</v>
      </c>
      <c r="Q48" s="1" t="e">
        <f t="shared" si="23"/>
        <v>#DIV/0!</v>
      </c>
      <c r="R48" s="1" t="e">
        <f t="shared" si="24"/>
        <v>#DIV/0!</v>
      </c>
      <c r="S48" s="1" t="e">
        <f t="shared" si="25"/>
        <v>#DIV/0!</v>
      </c>
    </row>
    <row r="49" spans="1:19">
      <c r="A49" t="s">
        <v>52</v>
      </c>
      <c r="B49" s="2">
        <v>0.995</v>
      </c>
      <c r="C49" s="2">
        <v>0.995</v>
      </c>
      <c r="D49" s="2">
        <v>0.81200000000000006</v>
      </c>
      <c r="G49" s="8">
        <v>0.995</v>
      </c>
      <c r="H49" s="7">
        <f t="shared" si="14"/>
        <v>0.93500000000000005</v>
      </c>
      <c r="I49" s="7">
        <f t="shared" si="15"/>
        <v>0.95799999999999996</v>
      </c>
      <c r="J49" s="7">
        <f t="shared" si="16"/>
        <v>0.80800000000000005</v>
      </c>
      <c r="K49" s="7">
        <f t="shared" si="17"/>
        <v>0</v>
      </c>
      <c r="L49" s="7">
        <f t="shared" si="18"/>
        <v>0</v>
      </c>
      <c r="M49" s="10">
        <f t="shared" si="19"/>
        <v>0.995</v>
      </c>
      <c r="N49" s="1">
        <f t="shared" si="20"/>
        <v>15.583333333333334</v>
      </c>
      <c r="O49" s="1">
        <f t="shared" si="21"/>
        <v>25.891891891891891</v>
      </c>
      <c r="P49" s="1">
        <f t="shared" si="22"/>
        <v>202</v>
      </c>
      <c r="Q49" s="1" t="e">
        <f t="shared" si="23"/>
        <v>#DIV/0!</v>
      </c>
      <c r="R49" s="1" t="e">
        <f t="shared" si="24"/>
        <v>#DIV/0!</v>
      </c>
      <c r="S49" s="1" t="e">
        <f t="shared" si="25"/>
        <v>#DIV/0!</v>
      </c>
    </row>
    <row r="50" spans="1:19">
      <c r="A50" t="s">
        <v>53</v>
      </c>
      <c r="B50" s="2">
        <v>0.99</v>
      </c>
      <c r="C50" s="2">
        <v>0.98599999999999999</v>
      </c>
      <c r="D50" s="2">
        <v>0.63200000000000001</v>
      </c>
      <c r="G50" s="8">
        <v>0.98099999999999998</v>
      </c>
      <c r="H50" s="7">
        <f t="shared" si="14"/>
        <v>0.92999999999999994</v>
      </c>
      <c r="I50" s="7">
        <f t="shared" si="15"/>
        <v>0.94899999999999995</v>
      </c>
      <c r="J50" s="7">
        <f t="shared" si="16"/>
        <v>0.628</v>
      </c>
      <c r="K50" s="7">
        <f t="shared" si="17"/>
        <v>0</v>
      </c>
      <c r="L50" s="7">
        <f t="shared" si="18"/>
        <v>0</v>
      </c>
      <c r="M50" s="10">
        <f t="shared" si="19"/>
        <v>0.98099999999999998</v>
      </c>
      <c r="N50" s="1">
        <f t="shared" si="20"/>
        <v>15.5</v>
      </c>
      <c r="O50" s="1">
        <f t="shared" si="21"/>
        <v>25.648648648648649</v>
      </c>
      <c r="P50" s="1">
        <f t="shared" si="22"/>
        <v>157</v>
      </c>
      <c r="Q50" s="1" t="e">
        <f t="shared" si="23"/>
        <v>#DIV/0!</v>
      </c>
      <c r="R50" s="1" t="e">
        <f t="shared" si="24"/>
        <v>#DIV/0!</v>
      </c>
      <c r="S50" s="1" t="e">
        <f t="shared" si="25"/>
        <v>#DIV/0!</v>
      </c>
    </row>
    <row r="51" spans="1:19">
      <c r="A51" t="s">
        <v>54</v>
      </c>
      <c r="B51" s="2">
        <v>0.995</v>
      </c>
      <c r="C51" s="2">
        <v>0.995</v>
      </c>
      <c r="D51" s="2">
        <v>0.72899999999999998</v>
      </c>
      <c r="G51" s="8">
        <v>0.995</v>
      </c>
      <c r="H51" s="7">
        <f t="shared" si="14"/>
        <v>0.93500000000000005</v>
      </c>
      <c r="I51" s="7">
        <f t="shared" si="15"/>
        <v>0.95799999999999996</v>
      </c>
      <c r="J51" s="7">
        <f t="shared" si="16"/>
        <v>0.72499999999999998</v>
      </c>
      <c r="K51" s="7">
        <f t="shared" si="17"/>
        <v>0</v>
      </c>
      <c r="L51" s="7">
        <f t="shared" si="18"/>
        <v>0</v>
      </c>
      <c r="M51" s="10">
        <f t="shared" si="19"/>
        <v>0.995</v>
      </c>
      <c r="N51" s="1">
        <f t="shared" si="20"/>
        <v>15.583333333333334</v>
      </c>
      <c r="O51" s="1">
        <f t="shared" si="21"/>
        <v>25.891891891891891</v>
      </c>
      <c r="P51" s="1">
        <f t="shared" si="22"/>
        <v>181.25</v>
      </c>
      <c r="Q51" s="1" t="e">
        <f t="shared" si="23"/>
        <v>#DIV/0!</v>
      </c>
      <c r="R51" s="1" t="e">
        <f t="shared" si="24"/>
        <v>#DIV/0!</v>
      </c>
      <c r="S51" s="1" t="e">
        <f t="shared" si="25"/>
        <v>#DIV/0!</v>
      </c>
    </row>
    <row r="52" spans="1:19">
      <c r="A52" t="s">
        <v>55</v>
      </c>
      <c r="B52" s="2">
        <v>0.95299999999999996</v>
      </c>
      <c r="C52" s="2">
        <v>0.98299999999999998</v>
      </c>
      <c r="D52" s="2">
        <v>0.66200000000000003</v>
      </c>
      <c r="G52" s="8">
        <v>0.94599999999999995</v>
      </c>
      <c r="H52" s="7">
        <f t="shared" si="14"/>
        <v>0.89300000000000002</v>
      </c>
      <c r="I52" s="7">
        <f t="shared" si="15"/>
        <v>0.94599999999999995</v>
      </c>
      <c r="J52" s="7">
        <f t="shared" si="16"/>
        <v>0.65800000000000003</v>
      </c>
      <c r="K52" s="7">
        <f t="shared" si="17"/>
        <v>0</v>
      </c>
      <c r="L52" s="7">
        <f t="shared" si="18"/>
        <v>0</v>
      </c>
      <c r="M52" s="10">
        <f t="shared" si="19"/>
        <v>0.94599999999999995</v>
      </c>
      <c r="N52" s="1">
        <f t="shared" si="20"/>
        <v>14.883333333333335</v>
      </c>
      <c r="O52" s="1">
        <f t="shared" si="21"/>
        <v>25.567567567567568</v>
      </c>
      <c r="P52" s="1">
        <f t="shared" si="22"/>
        <v>164.5</v>
      </c>
      <c r="Q52" s="1" t="e">
        <f t="shared" si="23"/>
        <v>#DIV/0!</v>
      </c>
      <c r="R52" s="1" t="e">
        <f t="shared" si="24"/>
        <v>#DIV/0!</v>
      </c>
      <c r="S52" s="1" t="e">
        <f t="shared" si="25"/>
        <v>#DIV/0!</v>
      </c>
    </row>
    <row r="53" spans="1:19">
      <c r="A53" t="s">
        <v>56</v>
      </c>
      <c r="B53" s="2">
        <v>0.99299999999999999</v>
      </c>
      <c r="C53" s="2">
        <v>0.995</v>
      </c>
      <c r="D53" s="2">
        <v>0.79700000000000004</v>
      </c>
      <c r="E53" s="2">
        <v>0.99482608695652097</v>
      </c>
      <c r="F53" s="2">
        <v>0.758249632598195</v>
      </c>
      <c r="G53" s="8">
        <v>0.99299999999999999</v>
      </c>
      <c r="H53" s="7">
        <f t="shared" si="14"/>
        <v>0.93300000000000005</v>
      </c>
      <c r="I53" s="7">
        <f t="shared" si="15"/>
        <v>0.95799999999999996</v>
      </c>
      <c r="J53" s="7">
        <f t="shared" si="16"/>
        <v>0.79300000000000004</v>
      </c>
      <c r="K53" s="7">
        <f t="shared" si="17"/>
        <v>0.99482608695652097</v>
      </c>
      <c r="L53" s="7">
        <f t="shared" si="18"/>
        <v>0.758249632598195</v>
      </c>
      <c r="M53" s="10">
        <f t="shared" si="19"/>
        <v>0.99299999999999999</v>
      </c>
      <c r="N53" s="1">
        <f t="shared" si="20"/>
        <v>15.55</v>
      </c>
      <c r="O53" s="1">
        <f t="shared" si="21"/>
        <v>25.891891891891891</v>
      </c>
      <c r="P53" s="1">
        <f t="shared" si="22"/>
        <v>198.25</v>
      </c>
      <c r="Q53" s="1" t="e">
        <f t="shared" si="23"/>
        <v>#DIV/0!</v>
      </c>
      <c r="R53" s="1" t="e">
        <f t="shared" si="24"/>
        <v>#DIV/0!</v>
      </c>
      <c r="S53" s="1" t="e">
        <f t="shared" si="25"/>
        <v>#DIV/0!</v>
      </c>
    </row>
    <row r="54" spans="1:19">
      <c r="A54" t="s">
        <v>57</v>
      </c>
      <c r="B54" s="2">
        <v>0.98599999999999999</v>
      </c>
      <c r="C54" s="2">
        <v>0.98599999999999999</v>
      </c>
      <c r="D54" s="2">
        <v>0.63700000000000001</v>
      </c>
      <c r="E54" s="2">
        <v>0.98596671103634903</v>
      </c>
      <c r="F54" s="2">
        <v>0.44535698302911803</v>
      </c>
      <c r="G54" s="8">
        <v>0.97699999999999998</v>
      </c>
      <c r="H54" s="7">
        <f t="shared" si="14"/>
        <v>0.92599999999999993</v>
      </c>
      <c r="I54" s="7">
        <f t="shared" si="15"/>
        <v>0.94899999999999995</v>
      </c>
      <c r="J54" s="7">
        <f t="shared" si="16"/>
        <v>0.63300000000000001</v>
      </c>
      <c r="K54" s="7">
        <f t="shared" si="17"/>
        <v>0.98596671103634903</v>
      </c>
      <c r="L54" s="7">
        <f t="shared" si="18"/>
        <v>0.44535698302911803</v>
      </c>
      <c r="M54" s="10">
        <f t="shared" si="19"/>
        <v>0.97699999999999998</v>
      </c>
      <c r="N54" s="1">
        <f t="shared" si="20"/>
        <v>15.433333333333334</v>
      </c>
      <c r="O54" s="1">
        <f t="shared" si="21"/>
        <v>25.648648648648649</v>
      </c>
      <c r="P54" s="1">
        <f t="shared" si="22"/>
        <v>158.25</v>
      </c>
      <c r="Q54" s="1" t="e">
        <f t="shared" si="23"/>
        <v>#DIV/0!</v>
      </c>
      <c r="R54" s="1" t="e">
        <f t="shared" si="24"/>
        <v>#DIV/0!</v>
      </c>
      <c r="S54" s="1" t="e">
        <f t="shared" si="25"/>
        <v>#DIV/0!</v>
      </c>
    </row>
    <row r="55" spans="1:19">
      <c r="A55" t="s">
        <v>58</v>
      </c>
      <c r="B55" s="2">
        <v>0.99399999999999999</v>
      </c>
      <c r="C55" s="2">
        <v>0.995</v>
      </c>
      <c r="D55" s="2">
        <v>0.629</v>
      </c>
      <c r="E55" s="2">
        <v>0.995</v>
      </c>
      <c r="F55" s="2">
        <v>0.49970665437741801</v>
      </c>
      <c r="G55" s="8">
        <v>0.99399999999999999</v>
      </c>
      <c r="H55" s="7">
        <f t="shared" si="14"/>
        <v>0.93399999999999994</v>
      </c>
      <c r="I55" s="7">
        <f t="shared" si="15"/>
        <v>0.95799999999999996</v>
      </c>
      <c r="J55" s="7">
        <f t="shared" si="16"/>
        <v>0.625</v>
      </c>
      <c r="K55" s="7">
        <f t="shared" si="17"/>
        <v>0.995</v>
      </c>
      <c r="L55" s="7">
        <f t="shared" si="18"/>
        <v>0.49970665437741801</v>
      </c>
      <c r="M55" s="10">
        <f t="shared" si="19"/>
        <v>0.99399999999999999</v>
      </c>
      <c r="N55" s="1">
        <f t="shared" si="20"/>
        <v>15.566666666666666</v>
      </c>
      <c r="O55" s="1">
        <f t="shared" si="21"/>
        <v>25.891891891891891</v>
      </c>
      <c r="P55" s="1">
        <f t="shared" si="22"/>
        <v>156.25</v>
      </c>
      <c r="Q55" s="1" t="e">
        <f t="shared" si="23"/>
        <v>#DIV/0!</v>
      </c>
      <c r="R55" s="1" t="e">
        <f t="shared" si="24"/>
        <v>#DIV/0!</v>
      </c>
      <c r="S55" s="1" t="e">
        <f t="shared" si="25"/>
        <v>#DIV/0!</v>
      </c>
    </row>
    <row r="56" spans="1:19">
      <c r="A56" t="s">
        <v>59</v>
      </c>
      <c r="B56" s="2">
        <v>0.872</v>
      </c>
      <c r="C56" s="2">
        <v>0.92600000000000005</v>
      </c>
      <c r="D56" s="2">
        <v>0.51500000000000001</v>
      </c>
      <c r="E56" s="2">
        <v>0.91718347013233203</v>
      </c>
      <c r="F56" s="2">
        <v>0.34533728605272901</v>
      </c>
      <c r="G56" s="8">
        <v>0.86299999999999999</v>
      </c>
      <c r="H56" s="7">
        <f t="shared" si="14"/>
        <v>0.81200000000000006</v>
      </c>
      <c r="I56" s="7">
        <f t="shared" si="15"/>
        <v>0.88900000000000001</v>
      </c>
      <c r="J56" s="7">
        <f t="shared" si="16"/>
        <v>0.51100000000000001</v>
      </c>
      <c r="K56" s="7">
        <f t="shared" si="17"/>
        <v>0.91718347013233203</v>
      </c>
      <c r="L56" s="7">
        <f t="shared" si="18"/>
        <v>0.34533728605272901</v>
      </c>
      <c r="M56" s="10">
        <f t="shared" si="19"/>
        <v>0.86299999999999999</v>
      </c>
      <c r="N56" s="1">
        <f t="shared" si="20"/>
        <v>13.533333333333335</v>
      </c>
      <c r="O56" s="1">
        <f t="shared" si="21"/>
        <v>24.027027027027028</v>
      </c>
      <c r="P56" s="1">
        <f t="shared" si="22"/>
        <v>127.75</v>
      </c>
      <c r="Q56" s="1" t="e">
        <f t="shared" si="23"/>
        <v>#DIV/0!</v>
      </c>
      <c r="R56" s="1" t="e">
        <f t="shared" si="24"/>
        <v>#DIV/0!</v>
      </c>
      <c r="S56" s="1" t="e">
        <f t="shared" si="25"/>
        <v>#DIV/0!</v>
      </c>
    </row>
    <row r="57" spans="1:19">
      <c r="A57" t="s">
        <v>60</v>
      </c>
      <c r="B57" s="2">
        <v>0.995</v>
      </c>
      <c r="C57" s="2">
        <v>0.995</v>
      </c>
      <c r="D57" s="2">
        <v>0.75800000000000001</v>
      </c>
      <c r="E57" s="2">
        <v>0.995</v>
      </c>
      <c r="F57" s="2">
        <v>0.671515033153535</v>
      </c>
      <c r="G57" s="8">
        <v>0.995</v>
      </c>
      <c r="H57" s="7">
        <f t="shared" si="14"/>
        <v>0.93500000000000005</v>
      </c>
      <c r="I57" s="7">
        <f t="shared" si="15"/>
        <v>0.95799999999999996</v>
      </c>
      <c r="J57" s="7">
        <f t="shared" si="16"/>
        <v>0.754</v>
      </c>
      <c r="K57" s="7">
        <f t="shared" si="17"/>
        <v>0.995</v>
      </c>
      <c r="L57" s="7">
        <f t="shared" si="18"/>
        <v>0.671515033153535</v>
      </c>
      <c r="M57" s="10">
        <f t="shared" si="19"/>
        <v>0.995</v>
      </c>
      <c r="N57" s="1">
        <f t="shared" si="20"/>
        <v>15.583333333333334</v>
      </c>
      <c r="O57" s="1">
        <f t="shared" si="21"/>
        <v>25.891891891891891</v>
      </c>
      <c r="P57" s="1">
        <f t="shared" si="22"/>
        <v>188.5</v>
      </c>
      <c r="Q57" s="1" t="e">
        <f t="shared" si="23"/>
        <v>#DIV/0!</v>
      </c>
      <c r="R57" s="1" t="e">
        <f t="shared" si="24"/>
        <v>#DIV/0!</v>
      </c>
      <c r="S57" s="1" t="e">
        <f t="shared" si="25"/>
        <v>#DIV/0!</v>
      </c>
    </row>
    <row r="58" spans="1:19">
      <c r="A58" t="s">
        <v>61</v>
      </c>
      <c r="B58" s="2">
        <v>0.96299999999999997</v>
      </c>
      <c r="C58" s="2">
        <v>0.98399999999999999</v>
      </c>
      <c r="D58" s="2">
        <v>0.55200000000000005</v>
      </c>
      <c r="E58" s="2">
        <v>0.98705627261270501</v>
      </c>
      <c r="F58" s="2">
        <v>0.46081182321094299</v>
      </c>
      <c r="G58" s="8">
        <v>0.96299999999999997</v>
      </c>
      <c r="H58" s="7">
        <f t="shared" si="14"/>
        <v>0.90300000000000002</v>
      </c>
      <c r="I58" s="7">
        <f t="shared" si="15"/>
        <v>0.94699999999999995</v>
      </c>
      <c r="J58" s="7">
        <f t="shared" si="16"/>
        <v>0.54800000000000004</v>
      </c>
      <c r="K58" s="7">
        <f t="shared" si="17"/>
        <v>0.98705627261270501</v>
      </c>
      <c r="L58" s="7">
        <f t="shared" si="18"/>
        <v>0.46081182321094299</v>
      </c>
      <c r="M58" s="10">
        <f t="shared" si="19"/>
        <v>0.96299999999999997</v>
      </c>
      <c r="N58" s="1">
        <f t="shared" si="20"/>
        <v>15.05</v>
      </c>
      <c r="O58" s="1">
        <f t="shared" si="21"/>
        <v>25.594594594594593</v>
      </c>
      <c r="P58" s="1">
        <f t="shared" si="22"/>
        <v>137</v>
      </c>
      <c r="Q58" s="1" t="e">
        <f t="shared" si="23"/>
        <v>#DIV/0!</v>
      </c>
      <c r="R58" s="1" t="e">
        <f t="shared" si="24"/>
        <v>#DIV/0!</v>
      </c>
      <c r="S58" s="1" t="e">
        <f t="shared" si="25"/>
        <v>#DIV/0!</v>
      </c>
    </row>
    <row r="59" spans="1:19">
      <c r="A59" t="s">
        <v>62</v>
      </c>
      <c r="B59" s="2">
        <v>0.98599999999999999</v>
      </c>
      <c r="C59" s="2">
        <v>0.995</v>
      </c>
      <c r="D59" s="2">
        <v>0.59599999999999997</v>
      </c>
      <c r="E59" s="2">
        <v>0.99465217391304295</v>
      </c>
      <c r="F59" s="2">
        <v>0.47564482088229898</v>
      </c>
      <c r="G59" s="8">
        <v>0.98599999999999999</v>
      </c>
      <c r="H59" s="7">
        <f t="shared" si="14"/>
        <v>0.92599999999999993</v>
      </c>
      <c r="I59" s="7">
        <f t="shared" si="15"/>
        <v>0.95799999999999996</v>
      </c>
      <c r="J59" s="7">
        <f t="shared" si="16"/>
        <v>0.59199999999999997</v>
      </c>
      <c r="K59" s="7">
        <f t="shared" si="17"/>
        <v>0.99465217391304295</v>
      </c>
      <c r="L59" s="7">
        <f t="shared" si="18"/>
        <v>0.47564482088229898</v>
      </c>
      <c r="M59" s="10">
        <f t="shared" si="19"/>
        <v>0.98599999999999999</v>
      </c>
      <c r="N59" s="1">
        <f t="shared" si="20"/>
        <v>15.433333333333334</v>
      </c>
      <c r="O59" s="1">
        <f t="shared" si="21"/>
        <v>25.891891891891891</v>
      </c>
      <c r="P59" s="1">
        <f t="shared" si="22"/>
        <v>148</v>
      </c>
      <c r="Q59" s="1" t="e">
        <f t="shared" si="23"/>
        <v>#DIV/0!</v>
      </c>
      <c r="R59" s="1" t="e">
        <f t="shared" si="24"/>
        <v>#DIV/0!</v>
      </c>
      <c r="S59" s="1" t="e">
        <f t="shared" si="25"/>
        <v>#DIV/0!</v>
      </c>
    </row>
    <row r="60" spans="1:19">
      <c r="A60" s="5" t="s">
        <v>63</v>
      </c>
      <c r="B60" s="2">
        <v>0.81799999999999995</v>
      </c>
      <c r="C60" s="2">
        <v>0.86499999999999999</v>
      </c>
      <c r="D60" s="2">
        <v>0.47099999999999997</v>
      </c>
      <c r="E60" s="2">
        <v>0.870704937874614</v>
      </c>
      <c r="F60" s="2">
        <v>0.28718930276318899</v>
      </c>
      <c r="G60" s="8">
        <v>0.81100000000000005</v>
      </c>
      <c r="H60" s="7">
        <f t="shared" si="14"/>
        <v>0.75800000000000001</v>
      </c>
      <c r="I60" s="7">
        <f t="shared" si="15"/>
        <v>0.82799999999999996</v>
      </c>
      <c r="J60" s="7">
        <f t="shared" si="16"/>
        <v>0.46699999999999997</v>
      </c>
      <c r="K60" s="7">
        <f t="shared" si="17"/>
        <v>0.870704937874614</v>
      </c>
      <c r="L60" s="7">
        <f t="shared" si="18"/>
        <v>0.28718930276318899</v>
      </c>
      <c r="M60" s="10">
        <f t="shared" si="19"/>
        <v>0.81100000000000005</v>
      </c>
      <c r="N60" s="1">
        <f t="shared" si="20"/>
        <v>12.633333333333335</v>
      </c>
      <c r="O60" s="1">
        <f t="shared" si="21"/>
        <v>22.378378378378379</v>
      </c>
      <c r="P60" s="1">
        <f t="shared" si="22"/>
        <v>116.74999999999999</v>
      </c>
      <c r="Q60" s="1" t="e">
        <f t="shared" si="23"/>
        <v>#DIV/0!</v>
      </c>
      <c r="R60" s="1" t="e">
        <f t="shared" si="24"/>
        <v>#DIV/0!</v>
      </c>
      <c r="S60" s="1" t="e">
        <f t="shared" si="25"/>
        <v>#DIV/0!</v>
      </c>
    </row>
    <row r="61" spans="1:19">
      <c r="A61" t="s">
        <v>64</v>
      </c>
      <c r="B61" s="2">
        <v>0.995</v>
      </c>
      <c r="C61" s="2">
        <v>0.995</v>
      </c>
      <c r="D61" s="2">
        <v>0.753</v>
      </c>
      <c r="E61" s="2">
        <v>0.995</v>
      </c>
      <c r="F61" s="2">
        <v>0.67992665293256105</v>
      </c>
      <c r="G61" s="8">
        <v>0.995</v>
      </c>
      <c r="H61" s="7">
        <f t="shared" si="14"/>
        <v>0.93500000000000005</v>
      </c>
      <c r="I61" s="7">
        <f t="shared" si="15"/>
        <v>0.95799999999999996</v>
      </c>
      <c r="J61" s="7">
        <f t="shared" si="16"/>
        <v>0.749</v>
      </c>
      <c r="K61" s="7">
        <f t="shared" si="17"/>
        <v>0.995</v>
      </c>
      <c r="L61" s="7">
        <f t="shared" si="18"/>
        <v>0.67992665293256105</v>
      </c>
      <c r="M61" s="10">
        <f t="shared" si="19"/>
        <v>0.995</v>
      </c>
      <c r="N61" s="1">
        <f t="shared" si="20"/>
        <v>15.583333333333334</v>
      </c>
      <c r="O61" s="1">
        <f t="shared" si="21"/>
        <v>25.891891891891891</v>
      </c>
      <c r="P61" s="1">
        <f t="shared" si="22"/>
        <v>187.25</v>
      </c>
      <c r="Q61" s="1" t="e">
        <f t="shared" si="23"/>
        <v>#DIV/0!</v>
      </c>
      <c r="R61" s="1" t="e">
        <f t="shared" si="24"/>
        <v>#DIV/0!</v>
      </c>
      <c r="S61" s="1" t="e">
        <f t="shared" si="25"/>
        <v>#DIV/0!</v>
      </c>
    </row>
    <row r="62" spans="1:19">
      <c r="A62" t="s">
        <v>65</v>
      </c>
      <c r="B62" s="2">
        <v>0.96899999999999997</v>
      </c>
      <c r="C62" s="2">
        <v>0.99099999999999999</v>
      </c>
      <c r="D62" s="2">
        <v>0.52600000000000002</v>
      </c>
      <c r="E62" s="2">
        <v>0.990441062334939</v>
      </c>
      <c r="F62" s="2">
        <v>0.45494333783123703</v>
      </c>
      <c r="G62" s="8">
        <v>0.96899999999999997</v>
      </c>
      <c r="H62" s="7">
        <f t="shared" si="14"/>
        <v>0.90900000000000003</v>
      </c>
      <c r="I62" s="7">
        <f t="shared" si="15"/>
        <v>0.95399999999999996</v>
      </c>
      <c r="J62" s="7">
        <f t="shared" si="16"/>
        <v>0.52200000000000002</v>
      </c>
      <c r="K62" s="7">
        <f t="shared" si="17"/>
        <v>0.990441062334939</v>
      </c>
      <c r="L62" s="7">
        <f t="shared" si="18"/>
        <v>0.45494333783123703</v>
      </c>
      <c r="M62" s="10">
        <f t="shared" si="19"/>
        <v>0.96899999999999997</v>
      </c>
      <c r="N62" s="1">
        <f t="shared" si="20"/>
        <v>15.15</v>
      </c>
      <c r="O62" s="1">
        <f t="shared" si="21"/>
        <v>25.783783783783782</v>
      </c>
      <c r="P62" s="1">
        <f t="shared" si="22"/>
        <v>130.5</v>
      </c>
      <c r="Q62" s="1" t="e">
        <f t="shared" si="23"/>
        <v>#DIV/0!</v>
      </c>
      <c r="R62" s="1" t="e">
        <f t="shared" si="24"/>
        <v>#DIV/0!</v>
      </c>
      <c r="S62" s="1" t="e">
        <f t="shared" si="25"/>
        <v>#DIV/0!</v>
      </c>
    </row>
    <row r="63" spans="1:19">
      <c r="A63" t="s">
        <v>66</v>
      </c>
      <c r="B63" s="2">
        <v>0.99299999999999999</v>
      </c>
      <c r="C63" s="2">
        <v>0.995</v>
      </c>
      <c r="D63" s="2">
        <v>0.60899999999999999</v>
      </c>
      <c r="E63" s="2">
        <v>0.995</v>
      </c>
      <c r="F63" s="2">
        <v>0.47947252062731799</v>
      </c>
      <c r="G63" s="8">
        <v>0.99299999999999999</v>
      </c>
      <c r="H63" s="7">
        <f t="shared" si="14"/>
        <v>0.93300000000000005</v>
      </c>
      <c r="I63" s="7">
        <f t="shared" si="15"/>
        <v>0.95799999999999996</v>
      </c>
      <c r="J63" s="7">
        <f t="shared" si="16"/>
        <v>0.60499999999999998</v>
      </c>
      <c r="K63" s="7">
        <f t="shared" si="17"/>
        <v>0.995</v>
      </c>
      <c r="L63" s="7">
        <f t="shared" si="18"/>
        <v>0.47947252062731799</v>
      </c>
      <c r="M63" s="10">
        <f t="shared" si="19"/>
        <v>0.99299999999999999</v>
      </c>
      <c r="N63" s="1">
        <f t="shared" si="20"/>
        <v>15.55</v>
      </c>
      <c r="O63" s="1">
        <f t="shared" si="21"/>
        <v>25.891891891891891</v>
      </c>
      <c r="P63" s="1">
        <f t="shared" si="22"/>
        <v>151.25</v>
      </c>
      <c r="Q63" s="1" t="e">
        <f t="shared" si="23"/>
        <v>#DIV/0!</v>
      </c>
      <c r="R63" s="1" t="e">
        <f t="shared" si="24"/>
        <v>#DIV/0!</v>
      </c>
      <c r="S63" s="1" t="e">
        <f t="shared" si="25"/>
        <v>#DIV/0!</v>
      </c>
    </row>
    <row r="64" spans="1:19">
      <c r="A64" s="5" t="s">
        <v>67</v>
      </c>
      <c r="B64" s="2">
        <v>0.81799999999999995</v>
      </c>
      <c r="C64" s="2">
        <v>0.89100000000000001</v>
      </c>
      <c r="D64" s="2">
        <v>0.48899999999999999</v>
      </c>
      <c r="E64" s="2">
        <v>0.87724899101919596</v>
      </c>
      <c r="F64" s="2">
        <v>0.29224335014938302</v>
      </c>
      <c r="G64" s="8">
        <v>0.80800000000000005</v>
      </c>
      <c r="H64" s="7">
        <f t="shared" si="14"/>
        <v>0.75800000000000001</v>
      </c>
      <c r="I64" s="7">
        <f t="shared" si="15"/>
        <v>0.85399999999999998</v>
      </c>
      <c r="J64" s="7">
        <f t="shared" si="16"/>
        <v>0.48499999999999999</v>
      </c>
      <c r="K64" s="7">
        <f t="shared" si="17"/>
        <v>0.87724899101919596</v>
      </c>
      <c r="L64" s="7">
        <f t="shared" si="18"/>
        <v>0.29224335014938302</v>
      </c>
      <c r="M64" s="10">
        <f t="shared" si="19"/>
        <v>0.80800000000000005</v>
      </c>
      <c r="N64" s="1">
        <f t="shared" si="20"/>
        <v>12.633333333333335</v>
      </c>
      <c r="O64" s="1">
        <f t="shared" si="21"/>
        <v>23.081081081081081</v>
      </c>
      <c r="P64" s="1">
        <f t="shared" si="22"/>
        <v>121.25</v>
      </c>
      <c r="Q64" s="1" t="e">
        <f t="shared" si="23"/>
        <v>#DIV/0!</v>
      </c>
      <c r="R64" s="1" t="e">
        <f t="shared" si="24"/>
        <v>#DIV/0!</v>
      </c>
      <c r="S64" s="1" t="e">
        <f t="shared" si="25"/>
        <v>#DIV/0!</v>
      </c>
    </row>
    <row r="65" spans="1:19">
      <c r="A65" t="s">
        <v>68</v>
      </c>
      <c r="B65" s="2">
        <v>0.99099999999999999</v>
      </c>
      <c r="C65" s="2">
        <v>0.995</v>
      </c>
      <c r="D65" s="2">
        <v>0.75700000000000001</v>
      </c>
      <c r="E65" s="2">
        <v>0.99491228070175397</v>
      </c>
      <c r="F65" s="2">
        <v>0.68513827649415504</v>
      </c>
      <c r="G65" s="8">
        <v>0.99099999999999999</v>
      </c>
      <c r="H65" s="7">
        <f t="shared" si="14"/>
        <v>0.93100000000000005</v>
      </c>
      <c r="I65" s="7">
        <f t="shared" si="15"/>
        <v>0.95799999999999996</v>
      </c>
      <c r="J65" s="7">
        <f t="shared" si="16"/>
        <v>0.753</v>
      </c>
      <c r="K65" s="7">
        <f t="shared" si="17"/>
        <v>0.99491228070175397</v>
      </c>
      <c r="L65" s="7">
        <f t="shared" si="18"/>
        <v>0.68513827649415504</v>
      </c>
      <c r="M65" s="10">
        <f t="shared" si="19"/>
        <v>0.99099999999999999</v>
      </c>
      <c r="N65" s="1">
        <f t="shared" si="20"/>
        <v>15.516666666666667</v>
      </c>
      <c r="O65" s="1">
        <f t="shared" si="21"/>
        <v>25.891891891891891</v>
      </c>
      <c r="P65" s="1">
        <f t="shared" si="22"/>
        <v>188.25</v>
      </c>
      <c r="Q65" s="1" t="e">
        <f t="shared" si="23"/>
        <v>#DIV/0!</v>
      </c>
      <c r="R65" s="1" t="e">
        <f t="shared" si="24"/>
        <v>#DIV/0!</v>
      </c>
      <c r="S65" s="1" t="e">
        <f t="shared" si="25"/>
        <v>#DIV/0!</v>
      </c>
    </row>
    <row r="66" spans="1:19">
      <c r="A66" t="s">
        <v>69</v>
      </c>
      <c r="B66" s="2">
        <v>0.96099999999999997</v>
      </c>
      <c r="C66" s="2">
        <v>0.97799999999999998</v>
      </c>
      <c r="D66" s="2">
        <v>0.56100000000000005</v>
      </c>
      <c r="E66" s="2">
        <v>0.97837861883434096</v>
      </c>
      <c r="F66" s="2">
        <v>0.42475989355015298</v>
      </c>
      <c r="G66" s="8">
        <v>0.96099999999999997</v>
      </c>
      <c r="H66" s="7">
        <f t="shared" ref="H66:H97" si="26">B66-V$2</f>
        <v>0.90100000000000002</v>
      </c>
      <c r="I66" s="7">
        <f t="shared" ref="I66:I97" si="27">C66-W$2</f>
        <v>0.94099999999999995</v>
      </c>
      <c r="J66" s="7">
        <f t="shared" ref="J66:J97" si="28">D66-X$2</f>
        <v>0.55700000000000005</v>
      </c>
      <c r="K66" s="7">
        <f t="shared" ref="K66:K97" si="29">E66-Y$2</f>
        <v>0.97837861883434096</v>
      </c>
      <c r="L66" s="7">
        <f t="shared" ref="L66:L97" si="30">F66-Z$2</f>
        <v>0.42475989355015298</v>
      </c>
      <c r="M66" s="10">
        <f t="shared" ref="M66:M97" si="31">G66-AA$2</f>
        <v>0.96099999999999997</v>
      </c>
      <c r="N66" s="1">
        <f t="shared" ref="N66:N97" si="32">(B66-V$2)/V$2</f>
        <v>15.016666666666667</v>
      </c>
      <c r="O66" s="1">
        <f t="shared" ref="O66:O97" si="33">(C66-W$2)/W$2</f>
        <v>25.432432432432432</v>
      </c>
      <c r="P66" s="1">
        <f t="shared" ref="P66:P97" si="34">(D66-X$2)/X$2</f>
        <v>139.25</v>
      </c>
      <c r="Q66" s="1" t="e">
        <f t="shared" ref="Q66:Q97" si="35">(E66-Y$2)/Y$2</f>
        <v>#DIV/0!</v>
      </c>
      <c r="R66" s="1" t="e">
        <f t="shared" ref="R66:R97" si="36">(F66-Z$2)/Z$2</f>
        <v>#DIV/0!</v>
      </c>
      <c r="S66" s="1" t="e">
        <f t="shared" ref="S66:S97" si="37">(G66-AA$2)/AA$2</f>
        <v>#DIV/0!</v>
      </c>
    </row>
    <row r="67" spans="1:19">
      <c r="A67" t="s">
        <v>70</v>
      </c>
      <c r="B67" s="2">
        <v>0.98699999999999999</v>
      </c>
      <c r="C67" s="2">
        <v>0.995</v>
      </c>
      <c r="D67" s="2">
        <v>0.624</v>
      </c>
      <c r="E67" s="2">
        <v>0.99412252964426795</v>
      </c>
      <c r="F67" s="2">
        <v>0.46440541928135798</v>
      </c>
      <c r="G67" s="8">
        <v>0.98699999999999999</v>
      </c>
      <c r="H67" s="7">
        <f t="shared" si="26"/>
        <v>0.92700000000000005</v>
      </c>
      <c r="I67" s="7">
        <f t="shared" si="27"/>
        <v>0.95799999999999996</v>
      </c>
      <c r="J67" s="7">
        <f t="shared" si="28"/>
        <v>0.62</v>
      </c>
      <c r="K67" s="7">
        <f t="shared" si="29"/>
        <v>0.99412252964426795</v>
      </c>
      <c r="L67" s="7">
        <f t="shared" si="30"/>
        <v>0.46440541928135798</v>
      </c>
      <c r="M67" s="10">
        <f t="shared" si="31"/>
        <v>0.98699999999999999</v>
      </c>
      <c r="N67" s="1">
        <f t="shared" si="32"/>
        <v>15.450000000000001</v>
      </c>
      <c r="O67" s="1">
        <f t="shared" si="33"/>
        <v>25.891891891891891</v>
      </c>
      <c r="P67" s="1">
        <f t="shared" si="34"/>
        <v>155</v>
      </c>
      <c r="Q67" s="1" t="e">
        <f t="shared" si="35"/>
        <v>#DIV/0!</v>
      </c>
      <c r="R67" s="1" t="e">
        <f t="shared" si="36"/>
        <v>#DIV/0!</v>
      </c>
      <c r="S67" s="1" t="e">
        <f t="shared" si="37"/>
        <v>#DIV/0!</v>
      </c>
    </row>
    <row r="68" spans="1:19">
      <c r="A68" s="5" t="s">
        <v>71</v>
      </c>
      <c r="B68" s="2">
        <v>0.83899999999999997</v>
      </c>
      <c r="C68" s="2">
        <v>0.89600000000000002</v>
      </c>
      <c r="D68" s="2">
        <v>0.501</v>
      </c>
      <c r="E68" s="2">
        <v>0.82822125695632698</v>
      </c>
      <c r="F68" s="2">
        <v>0.30578885924767601</v>
      </c>
      <c r="G68" s="8">
        <v>0.80500000000000005</v>
      </c>
      <c r="H68" s="7">
        <f t="shared" si="26"/>
        <v>0.77899999999999991</v>
      </c>
      <c r="I68" s="7">
        <f t="shared" si="27"/>
        <v>0.85899999999999999</v>
      </c>
      <c r="J68" s="7">
        <f t="shared" si="28"/>
        <v>0.497</v>
      </c>
      <c r="K68" s="7">
        <f t="shared" si="29"/>
        <v>0.82822125695632698</v>
      </c>
      <c r="L68" s="7">
        <f t="shared" si="30"/>
        <v>0.30578885924767601</v>
      </c>
      <c r="M68" s="10">
        <f t="shared" si="31"/>
        <v>0.80500000000000005</v>
      </c>
      <c r="N68" s="1">
        <f t="shared" si="32"/>
        <v>12.983333333333333</v>
      </c>
      <c r="O68" s="1">
        <f t="shared" si="33"/>
        <v>23.216216216216218</v>
      </c>
      <c r="P68" s="1">
        <f t="shared" si="34"/>
        <v>124.25</v>
      </c>
      <c r="Q68" s="1" t="e">
        <f t="shared" si="35"/>
        <v>#DIV/0!</v>
      </c>
      <c r="R68" s="1" t="e">
        <f t="shared" si="36"/>
        <v>#DIV/0!</v>
      </c>
      <c r="S68" s="1" t="e">
        <f t="shared" si="37"/>
        <v>#DIV/0!</v>
      </c>
    </row>
    <row r="69" spans="1:19">
      <c r="A69" t="s">
        <v>72</v>
      </c>
      <c r="B69" s="2">
        <v>0.97699999999999998</v>
      </c>
      <c r="C69" s="2">
        <v>0.98599999999999999</v>
      </c>
      <c r="D69" s="2">
        <v>0.75600000000000001</v>
      </c>
      <c r="E69" s="2">
        <v>0.99298268845681703</v>
      </c>
      <c r="F69" s="2">
        <v>0.675345561606987</v>
      </c>
      <c r="G69" s="8">
        <v>0.98099999999999998</v>
      </c>
      <c r="H69" s="7">
        <f t="shared" si="26"/>
        <v>0.91700000000000004</v>
      </c>
      <c r="I69" s="7">
        <f t="shared" si="27"/>
        <v>0.94899999999999995</v>
      </c>
      <c r="J69" s="7">
        <f t="shared" si="28"/>
        <v>0.752</v>
      </c>
      <c r="K69" s="7">
        <f t="shared" si="29"/>
        <v>0.99298268845681703</v>
      </c>
      <c r="L69" s="7">
        <f t="shared" si="30"/>
        <v>0.675345561606987</v>
      </c>
      <c r="M69" s="10">
        <f t="shared" si="31"/>
        <v>0.98099999999999998</v>
      </c>
      <c r="N69" s="1">
        <f t="shared" si="32"/>
        <v>15.283333333333335</v>
      </c>
      <c r="O69" s="1">
        <f t="shared" si="33"/>
        <v>25.648648648648649</v>
      </c>
      <c r="P69" s="1">
        <f t="shared" si="34"/>
        <v>188</v>
      </c>
      <c r="Q69" s="1" t="e">
        <f t="shared" si="35"/>
        <v>#DIV/0!</v>
      </c>
      <c r="R69" s="1" t="e">
        <f t="shared" si="36"/>
        <v>#DIV/0!</v>
      </c>
      <c r="S69" s="1" t="e">
        <f t="shared" si="37"/>
        <v>#DIV/0!</v>
      </c>
    </row>
    <row r="70" spans="1:19">
      <c r="A70" t="s">
        <v>73</v>
      </c>
      <c r="B70" s="2">
        <v>0.94599999999999995</v>
      </c>
      <c r="C70" s="2">
        <v>0.98399999999999999</v>
      </c>
      <c r="D70" s="2">
        <v>0.56999999999999995</v>
      </c>
      <c r="E70" s="2">
        <v>0.98431386446717495</v>
      </c>
      <c r="F70" s="2">
        <v>0.43495422983075399</v>
      </c>
      <c r="G70" s="8">
        <v>0.93899999999999995</v>
      </c>
      <c r="H70" s="7">
        <f t="shared" si="26"/>
        <v>0.8859999999999999</v>
      </c>
      <c r="I70" s="7">
        <f t="shared" si="27"/>
        <v>0.94699999999999995</v>
      </c>
      <c r="J70" s="7">
        <f t="shared" si="28"/>
        <v>0.56599999999999995</v>
      </c>
      <c r="K70" s="7">
        <f t="shared" si="29"/>
        <v>0.98431386446717495</v>
      </c>
      <c r="L70" s="7">
        <f t="shared" si="30"/>
        <v>0.43495422983075399</v>
      </c>
      <c r="M70" s="10">
        <f t="shared" si="31"/>
        <v>0.93899999999999995</v>
      </c>
      <c r="N70" s="1">
        <f t="shared" si="32"/>
        <v>14.766666666666666</v>
      </c>
      <c r="O70" s="1">
        <f t="shared" si="33"/>
        <v>25.594594594594593</v>
      </c>
      <c r="P70" s="1">
        <f t="shared" si="34"/>
        <v>141.49999999999997</v>
      </c>
      <c r="Q70" s="1" t="e">
        <f t="shared" si="35"/>
        <v>#DIV/0!</v>
      </c>
      <c r="R70" s="1" t="e">
        <f t="shared" si="36"/>
        <v>#DIV/0!</v>
      </c>
      <c r="S70" s="1" t="e">
        <f t="shared" si="37"/>
        <v>#DIV/0!</v>
      </c>
    </row>
    <row r="71" spans="1:19">
      <c r="A71" t="s">
        <v>74</v>
      </c>
      <c r="B71" s="2">
        <v>0.98499999999999999</v>
      </c>
      <c r="C71" s="2">
        <v>0.98299999999999998</v>
      </c>
      <c r="D71" s="2">
        <v>0.61699999999999999</v>
      </c>
      <c r="E71" s="2">
        <v>0.995</v>
      </c>
      <c r="F71" s="2">
        <v>0.49202024462317701</v>
      </c>
      <c r="G71" s="8">
        <v>0.99399999999999999</v>
      </c>
      <c r="H71" s="7">
        <f t="shared" si="26"/>
        <v>0.92500000000000004</v>
      </c>
      <c r="I71" s="7">
        <f t="shared" si="27"/>
        <v>0.94599999999999995</v>
      </c>
      <c r="J71" s="7">
        <f t="shared" si="28"/>
        <v>0.61299999999999999</v>
      </c>
      <c r="K71" s="7">
        <f t="shared" si="29"/>
        <v>0.995</v>
      </c>
      <c r="L71" s="7">
        <f t="shared" si="30"/>
        <v>0.49202024462317701</v>
      </c>
      <c r="M71" s="10">
        <f t="shared" si="31"/>
        <v>0.99399999999999999</v>
      </c>
      <c r="N71" s="1">
        <f t="shared" si="32"/>
        <v>15.416666666666668</v>
      </c>
      <c r="O71" s="1">
        <f t="shared" si="33"/>
        <v>25.567567567567568</v>
      </c>
      <c r="P71" s="1">
        <f t="shared" si="34"/>
        <v>153.25</v>
      </c>
      <c r="Q71" s="1" t="e">
        <f t="shared" si="35"/>
        <v>#DIV/0!</v>
      </c>
      <c r="R71" s="1" t="e">
        <f t="shared" si="36"/>
        <v>#DIV/0!</v>
      </c>
      <c r="S71" s="1" t="e">
        <f t="shared" si="37"/>
        <v>#DIV/0!</v>
      </c>
    </row>
    <row r="72" spans="1:19">
      <c r="A72" s="5" t="s">
        <v>75</v>
      </c>
      <c r="B72" s="2">
        <v>0.81299999999999994</v>
      </c>
      <c r="C72" s="2">
        <v>0.86199999999999999</v>
      </c>
      <c r="D72" s="2">
        <v>0.48099999999999998</v>
      </c>
      <c r="E72" s="2">
        <v>0.85318564923461104</v>
      </c>
      <c r="F72" s="2">
        <v>0.30232402246684198</v>
      </c>
      <c r="G72" s="8">
        <v>0.81100000000000005</v>
      </c>
      <c r="H72" s="7">
        <f t="shared" si="26"/>
        <v>0.75299999999999989</v>
      </c>
      <c r="I72" s="7">
        <f t="shared" si="27"/>
        <v>0.82499999999999996</v>
      </c>
      <c r="J72" s="7">
        <f t="shared" si="28"/>
        <v>0.47699999999999998</v>
      </c>
      <c r="K72" s="7">
        <f t="shared" si="29"/>
        <v>0.85318564923461104</v>
      </c>
      <c r="L72" s="7">
        <f t="shared" si="30"/>
        <v>0.30232402246684198</v>
      </c>
      <c r="M72" s="10">
        <f t="shared" si="31"/>
        <v>0.81100000000000005</v>
      </c>
      <c r="N72" s="1">
        <f t="shared" si="32"/>
        <v>12.549999999999999</v>
      </c>
      <c r="O72" s="1">
        <f t="shared" si="33"/>
        <v>22.297297297297298</v>
      </c>
      <c r="P72" s="1">
        <f t="shared" si="34"/>
        <v>119.24999999999999</v>
      </c>
      <c r="Q72" s="1" t="e">
        <f t="shared" si="35"/>
        <v>#DIV/0!</v>
      </c>
      <c r="R72" s="1" t="e">
        <f t="shared" si="36"/>
        <v>#DIV/0!</v>
      </c>
      <c r="S72" s="1" t="e">
        <f t="shared" si="37"/>
        <v>#DIV/0!</v>
      </c>
    </row>
    <row r="73" spans="1:19">
      <c r="A73" t="s">
        <v>77</v>
      </c>
      <c r="B73" s="2">
        <v>0.33200000000000002</v>
      </c>
      <c r="C73" s="2">
        <v>0.26100000000000001</v>
      </c>
      <c r="D73" s="2">
        <v>7.6999999999999999E-2</v>
      </c>
      <c r="E73">
        <v>0</v>
      </c>
      <c r="F73">
        <v>0</v>
      </c>
      <c r="G73" s="8">
        <v>0</v>
      </c>
      <c r="H73" s="7">
        <f t="shared" si="26"/>
        <v>0.27200000000000002</v>
      </c>
      <c r="I73" s="7">
        <f t="shared" si="27"/>
        <v>0.224</v>
      </c>
      <c r="J73" s="7">
        <f t="shared" si="28"/>
        <v>7.2999999999999995E-2</v>
      </c>
      <c r="K73" s="7">
        <f t="shared" si="29"/>
        <v>0</v>
      </c>
      <c r="L73" s="7">
        <f t="shared" si="30"/>
        <v>0</v>
      </c>
      <c r="M73" s="10">
        <f t="shared" si="31"/>
        <v>0</v>
      </c>
      <c r="N73" s="1">
        <f t="shared" si="32"/>
        <v>4.5333333333333341</v>
      </c>
      <c r="O73" s="1">
        <f t="shared" si="33"/>
        <v>6.0540540540540544</v>
      </c>
      <c r="P73" s="1">
        <f t="shared" si="34"/>
        <v>18.25</v>
      </c>
      <c r="Q73" s="1" t="e">
        <f t="shared" si="35"/>
        <v>#DIV/0!</v>
      </c>
      <c r="R73" s="1" t="e">
        <f t="shared" si="36"/>
        <v>#DIV/0!</v>
      </c>
      <c r="S73" s="1" t="e">
        <f t="shared" si="37"/>
        <v>#DIV/0!</v>
      </c>
    </row>
    <row r="74" spans="1:19">
      <c r="A74" t="s">
        <v>76</v>
      </c>
      <c r="B74" s="2">
        <v>0</v>
      </c>
      <c r="C74" s="2">
        <v>0</v>
      </c>
      <c r="D74" s="2">
        <v>0</v>
      </c>
      <c r="E74">
        <v>0</v>
      </c>
      <c r="F74">
        <v>0</v>
      </c>
      <c r="G74" s="8">
        <v>0</v>
      </c>
      <c r="H74" s="7">
        <f t="shared" si="26"/>
        <v>-0.06</v>
      </c>
      <c r="I74" s="7">
        <f t="shared" si="27"/>
        <v>-3.6999999999999998E-2</v>
      </c>
      <c r="J74" s="7">
        <f t="shared" si="28"/>
        <v>-4.0000000000000001E-3</v>
      </c>
      <c r="K74" s="7">
        <f t="shared" si="29"/>
        <v>0</v>
      </c>
      <c r="L74" s="7">
        <f t="shared" si="30"/>
        <v>0</v>
      </c>
      <c r="M74" s="10">
        <f t="shared" si="31"/>
        <v>0</v>
      </c>
      <c r="N74" s="1">
        <f t="shared" si="32"/>
        <v>-1</v>
      </c>
      <c r="O74" s="1">
        <f t="shared" si="33"/>
        <v>-1</v>
      </c>
      <c r="P74" s="1">
        <f t="shared" si="34"/>
        <v>-1</v>
      </c>
      <c r="Q74" s="1" t="e">
        <f t="shared" si="35"/>
        <v>#DIV/0!</v>
      </c>
      <c r="R74" s="1" t="e">
        <f t="shared" si="36"/>
        <v>#DIV/0!</v>
      </c>
      <c r="S74" s="1" t="e">
        <f t="shared" si="37"/>
        <v>#DIV/0!</v>
      </c>
    </row>
    <row r="75" spans="1:19">
      <c r="A75" t="s">
        <v>78</v>
      </c>
      <c r="B75" s="2">
        <v>0.97299999999999998</v>
      </c>
      <c r="C75" s="2">
        <v>0.98699999999999999</v>
      </c>
      <c r="D75" s="2">
        <v>0.71699999999999997</v>
      </c>
      <c r="E75">
        <v>0.97599999999999998</v>
      </c>
      <c r="F75">
        <v>0.59599999999999997</v>
      </c>
      <c r="G75" s="8">
        <v>0.96399999999999997</v>
      </c>
      <c r="H75" s="7">
        <f t="shared" si="26"/>
        <v>0.91300000000000003</v>
      </c>
      <c r="I75" s="7">
        <f t="shared" si="27"/>
        <v>0.95</v>
      </c>
      <c r="J75" s="7">
        <f t="shared" si="28"/>
        <v>0.71299999999999997</v>
      </c>
      <c r="K75" s="7">
        <f t="shared" si="29"/>
        <v>0.97599999999999998</v>
      </c>
      <c r="L75" s="7">
        <f t="shared" si="30"/>
        <v>0.59599999999999997</v>
      </c>
      <c r="M75" s="10">
        <f t="shared" si="31"/>
        <v>0.96399999999999997</v>
      </c>
      <c r="N75" s="1">
        <f t="shared" si="32"/>
        <v>15.216666666666669</v>
      </c>
      <c r="O75" s="1">
        <f t="shared" si="33"/>
        <v>25.675675675675677</v>
      </c>
      <c r="P75" s="1">
        <f t="shared" si="34"/>
        <v>178.25</v>
      </c>
      <c r="Q75" s="1" t="e">
        <f t="shared" si="35"/>
        <v>#DIV/0!</v>
      </c>
      <c r="R75" s="1" t="e">
        <f t="shared" si="36"/>
        <v>#DIV/0!</v>
      </c>
      <c r="S75" s="1" t="e">
        <f t="shared" si="37"/>
        <v>#DIV/0!</v>
      </c>
    </row>
    <row r="76" spans="1:19">
      <c r="A76" t="s">
        <v>79</v>
      </c>
      <c r="B76" s="2">
        <v>0.97299999999999998</v>
      </c>
      <c r="C76" s="2">
        <v>0.99099999999999999</v>
      </c>
      <c r="D76" s="2">
        <v>0.59899999999999998</v>
      </c>
      <c r="E76">
        <v>0.99099999999999999</v>
      </c>
      <c r="F76">
        <v>0.53800000000000003</v>
      </c>
      <c r="G76" s="8">
        <v>0.97299999999999998</v>
      </c>
      <c r="H76" s="7">
        <f t="shared" si="26"/>
        <v>0.91300000000000003</v>
      </c>
      <c r="I76" s="7">
        <f t="shared" si="27"/>
        <v>0.95399999999999996</v>
      </c>
      <c r="J76" s="7">
        <f t="shared" si="28"/>
        <v>0.59499999999999997</v>
      </c>
      <c r="K76" s="7">
        <f t="shared" si="29"/>
        <v>0.99099999999999999</v>
      </c>
      <c r="L76" s="7">
        <f t="shared" si="30"/>
        <v>0.53800000000000003</v>
      </c>
      <c r="M76" s="10">
        <f t="shared" si="31"/>
        <v>0.97299999999999998</v>
      </c>
      <c r="N76" s="1">
        <f t="shared" si="32"/>
        <v>15.216666666666669</v>
      </c>
      <c r="O76" s="1">
        <f t="shared" si="33"/>
        <v>25.783783783783782</v>
      </c>
      <c r="P76" s="1">
        <f t="shared" si="34"/>
        <v>148.75</v>
      </c>
      <c r="Q76" s="1" t="e">
        <f t="shared" si="35"/>
        <v>#DIV/0!</v>
      </c>
      <c r="R76" s="1" t="e">
        <f t="shared" si="36"/>
        <v>#DIV/0!</v>
      </c>
      <c r="S76" s="1" t="e">
        <f t="shared" si="37"/>
        <v>#DIV/0!</v>
      </c>
    </row>
    <row r="77" spans="1:19">
      <c r="A77" t="s">
        <v>81</v>
      </c>
      <c r="B77" s="2">
        <v>0.33200000000000002</v>
      </c>
      <c r="C77" s="2">
        <v>0.26100000000000001</v>
      </c>
      <c r="D77" s="2">
        <v>7.6999999999999999E-2</v>
      </c>
      <c r="E77" s="2">
        <v>0</v>
      </c>
      <c r="F77" s="2">
        <v>0</v>
      </c>
      <c r="G77" s="8">
        <v>0</v>
      </c>
      <c r="H77" s="7">
        <f t="shared" si="26"/>
        <v>0.27200000000000002</v>
      </c>
      <c r="I77" s="7">
        <f t="shared" si="27"/>
        <v>0.224</v>
      </c>
      <c r="J77" s="7">
        <f t="shared" si="28"/>
        <v>7.2999999999999995E-2</v>
      </c>
      <c r="K77" s="7">
        <f t="shared" si="29"/>
        <v>0</v>
      </c>
      <c r="L77" s="7">
        <f t="shared" si="30"/>
        <v>0</v>
      </c>
      <c r="M77" s="10">
        <f t="shared" si="31"/>
        <v>0</v>
      </c>
      <c r="N77" s="1">
        <f t="shared" si="32"/>
        <v>4.5333333333333341</v>
      </c>
      <c r="O77" s="1">
        <f t="shared" si="33"/>
        <v>6.0540540540540544</v>
      </c>
      <c r="P77" s="1">
        <f t="shared" si="34"/>
        <v>18.25</v>
      </c>
      <c r="Q77" s="1" t="e">
        <f t="shared" si="35"/>
        <v>#DIV/0!</v>
      </c>
      <c r="R77" s="1" t="e">
        <f t="shared" si="36"/>
        <v>#DIV/0!</v>
      </c>
      <c r="S77" s="1" t="e">
        <f t="shared" si="37"/>
        <v>#DIV/0!</v>
      </c>
    </row>
    <row r="78" spans="1:19">
      <c r="A78" t="s">
        <v>80</v>
      </c>
      <c r="B78" s="2">
        <v>0</v>
      </c>
      <c r="C78" s="2">
        <v>0</v>
      </c>
      <c r="D78" s="2">
        <v>0</v>
      </c>
      <c r="E78" s="2">
        <v>0</v>
      </c>
      <c r="F78" s="2">
        <v>0</v>
      </c>
      <c r="G78" s="8">
        <v>0</v>
      </c>
      <c r="H78" s="7">
        <f t="shared" si="26"/>
        <v>-0.06</v>
      </c>
      <c r="I78" s="7">
        <f t="shared" si="27"/>
        <v>-3.6999999999999998E-2</v>
      </c>
      <c r="J78" s="7">
        <f t="shared" si="28"/>
        <v>-4.0000000000000001E-3</v>
      </c>
      <c r="K78" s="7">
        <f t="shared" si="29"/>
        <v>0</v>
      </c>
      <c r="L78" s="7">
        <f t="shared" si="30"/>
        <v>0</v>
      </c>
      <c r="M78" s="10">
        <f t="shared" si="31"/>
        <v>0</v>
      </c>
      <c r="N78" s="1">
        <f t="shared" si="32"/>
        <v>-1</v>
      </c>
      <c r="O78" s="1">
        <f t="shared" si="33"/>
        <v>-1</v>
      </c>
      <c r="P78" s="1">
        <f t="shared" si="34"/>
        <v>-1</v>
      </c>
      <c r="Q78" s="1" t="e">
        <f t="shared" si="35"/>
        <v>#DIV/0!</v>
      </c>
      <c r="R78" s="1" t="e">
        <f t="shared" si="36"/>
        <v>#DIV/0!</v>
      </c>
      <c r="S78" s="1" t="e">
        <f t="shared" si="37"/>
        <v>#DIV/0!</v>
      </c>
    </row>
    <row r="79" spans="1:19">
      <c r="A79" t="s">
        <v>82</v>
      </c>
      <c r="B79" s="2">
        <v>0.97699999999999998</v>
      </c>
      <c r="C79" s="2">
        <v>0.98599999999999999</v>
      </c>
      <c r="D79" s="2">
        <v>0.71499999999999997</v>
      </c>
      <c r="E79" s="2">
        <v>0.97699999999999998</v>
      </c>
      <c r="F79" s="2">
        <v>0.58799999999999997</v>
      </c>
      <c r="G79" s="8">
        <v>0.96799999999999997</v>
      </c>
      <c r="H79" s="7">
        <f t="shared" si="26"/>
        <v>0.91700000000000004</v>
      </c>
      <c r="I79" s="7">
        <f t="shared" si="27"/>
        <v>0.94899999999999995</v>
      </c>
      <c r="J79" s="7">
        <f t="shared" si="28"/>
        <v>0.71099999999999997</v>
      </c>
      <c r="K79" s="7">
        <f t="shared" si="29"/>
        <v>0.97699999999999998</v>
      </c>
      <c r="L79" s="7">
        <f t="shared" si="30"/>
        <v>0.58799999999999997</v>
      </c>
      <c r="M79" s="10">
        <f t="shared" si="31"/>
        <v>0.96799999999999997</v>
      </c>
      <c r="N79" s="1">
        <f t="shared" si="32"/>
        <v>15.283333333333335</v>
      </c>
      <c r="O79" s="1">
        <f t="shared" si="33"/>
        <v>25.648648648648649</v>
      </c>
      <c r="P79" s="1">
        <f t="shared" si="34"/>
        <v>177.75</v>
      </c>
      <c r="Q79" s="1" t="e">
        <f t="shared" si="35"/>
        <v>#DIV/0!</v>
      </c>
      <c r="R79" s="1" t="e">
        <f t="shared" si="36"/>
        <v>#DIV/0!</v>
      </c>
      <c r="S79" s="1" t="e">
        <f t="shared" si="37"/>
        <v>#DIV/0!</v>
      </c>
    </row>
    <row r="80" spans="1:19">
      <c r="A80" t="s">
        <v>83</v>
      </c>
      <c r="B80" s="2">
        <v>0.97299999999999998</v>
      </c>
      <c r="C80" s="2">
        <v>0.99199999999999999</v>
      </c>
      <c r="D80" s="2">
        <v>0.628</v>
      </c>
      <c r="E80" s="2">
        <v>0.99199999999999999</v>
      </c>
      <c r="F80" s="2">
        <v>0.53600000000000003</v>
      </c>
      <c r="G80" s="8">
        <v>0.97299999999999998</v>
      </c>
      <c r="H80" s="7">
        <f t="shared" si="26"/>
        <v>0.91300000000000003</v>
      </c>
      <c r="I80" s="7">
        <f t="shared" si="27"/>
        <v>0.95499999999999996</v>
      </c>
      <c r="J80" s="7">
        <f t="shared" si="28"/>
        <v>0.624</v>
      </c>
      <c r="K80" s="7">
        <f t="shared" si="29"/>
        <v>0.99199999999999999</v>
      </c>
      <c r="L80" s="7">
        <f t="shared" si="30"/>
        <v>0.53600000000000003</v>
      </c>
      <c r="M80" s="10">
        <f t="shared" si="31"/>
        <v>0.97299999999999998</v>
      </c>
      <c r="N80" s="1">
        <f t="shared" si="32"/>
        <v>15.216666666666669</v>
      </c>
      <c r="O80" s="1">
        <f t="shared" si="33"/>
        <v>25.810810810810811</v>
      </c>
      <c r="P80" s="1">
        <f t="shared" si="34"/>
        <v>156</v>
      </c>
      <c r="Q80" s="1" t="e">
        <f t="shared" si="35"/>
        <v>#DIV/0!</v>
      </c>
      <c r="R80" s="1" t="e">
        <f t="shared" si="36"/>
        <v>#DIV/0!</v>
      </c>
      <c r="S80" s="1" t="e">
        <f t="shared" si="37"/>
        <v>#DIV/0!</v>
      </c>
    </row>
    <row r="81" spans="1:19">
      <c r="A81" t="s">
        <v>85</v>
      </c>
      <c r="B81" s="2">
        <v>4.0000000000000001E-3</v>
      </c>
      <c r="C81" s="2">
        <v>2.5000000000000001E-2</v>
      </c>
      <c r="D81" s="2">
        <v>7.0000000000000001E-3</v>
      </c>
      <c r="E81">
        <v>0</v>
      </c>
      <c r="F81">
        <v>0</v>
      </c>
      <c r="G81" s="8">
        <v>0</v>
      </c>
      <c r="H81" s="7">
        <f t="shared" si="26"/>
        <v>-5.5999999999999994E-2</v>
      </c>
      <c r="I81" s="7">
        <f t="shared" si="27"/>
        <v>-1.1999999999999997E-2</v>
      </c>
      <c r="J81" s="7">
        <f t="shared" si="28"/>
        <v>3.0000000000000001E-3</v>
      </c>
      <c r="K81" s="7">
        <f t="shared" si="29"/>
        <v>0</v>
      </c>
      <c r="L81" s="7">
        <f t="shared" si="30"/>
        <v>0</v>
      </c>
      <c r="M81" s="10">
        <f t="shared" si="31"/>
        <v>0</v>
      </c>
      <c r="N81" s="1">
        <f t="shared" si="32"/>
        <v>-0.93333333333333324</v>
      </c>
      <c r="O81" s="1">
        <f t="shared" si="33"/>
        <v>-0.32432432432432423</v>
      </c>
      <c r="P81" s="1">
        <f t="shared" si="34"/>
        <v>0.75</v>
      </c>
      <c r="Q81" s="1" t="e">
        <f t="shared" si="35"/>
        <v>#DIV/0!</v>
      </c>
      <c r="R81" s="1" t="e">
        <f t="shared" si="36"/>
        <v>#DIV/0!</v>
      </c>
      <c r="S81" s="1" t="e">
        <f t="shared" si="37"/>
        <v>#DIV/0!</v>
      </c>
    </row>
    <row r="82" spans="1:19">
      <c r="A82" t="s">
        <v>84</v>
      </c>
      <c r="B82" s="2">
        <v>2E-3</v>
      </c>
      <c r="C82" s="2">
        <v>1E-3</v>
      </c>
      <c r="D82" s="2">
        <v>0</v>
      </c>
      <c r="E82">
        <v>0</v>
      </c>
      <c r="F82">
        <v>0</v>
      </c>
      <c r="G82" s="8">
        <v>0</v>
      </c>
      <c r="H82" s="7">
        <f t="shared" si="26"/>
        <v>-5.7999999999999996E-2</v>
      </c>
      <c r="I82" s="7">
        <f t="shared" si="27"/>
        <v>-3.5999999999999997E-2</v>
      </c>
      <c r="J82" s="7">
        <f t="shared" si="28"/>
        <v>-4.0000000000000001E-3</v>
      </c>
      <c r="K82" s="7">
        <f t="shared" si="29"/>
        <v>0</v>
      </c>
      <c r="L82" s="7">
        <f t="shared" si="30"/>
        <v>0</v>
      </c>
      <c r="M82" s="10">
        <f t="shared" si="31"/>
        <v>0</v>
      </c>
      <c r="N82" s="1">
        <f t="shared" si="32"/>
        <v>-0.96666666666666667</v>
      </c>
      <c r="O82" s="1">
        <f t="shared" si="33"/>
        <v>-0.97297297297297292</v>
      </c>
      <c r="P82" s="1">
        <f t="shared" si="34"/>
        <v>-1</v>
      </c>
      <c r="Q82" s="1" t="e">
        <f t="shared" si="35"/>
        <v>#DIV/0!</v>
      </c>
      <c r="R82" s="1" t="e">
        <f t="shared" si="36"/>
        <v>#DIV/0!</v>
      </c>
      <c r="S82" s="1" t="e">
        <f t="shared" si="37"/>
        <v>#DIV/0!</v>
      </c>
    </row>
    <row r="83" spans="1:19">
      <c r="A83" t="s">
        <v>86</v>
      </c>
      <c r="B83" s="2">
        <v>0.99099999999999999</v>
      </c>
      <c r="C83" s="2">
        <v>0.995</v>
      </c>
      <c r="D83" s="2">
        <v>0.67900000000000005</v>
      </c>
      <c r="E83">
        <v>0.995</v>
      </c>
      <c r="F83">
        <v>0.53300000000000003</v>
      </c>
      <c r="G83" s="8">
        <v>0.99099999999999999</v>
      </c>
      <c r="H83" s="7">
        <f t="shared" si="26"/>
        <v>0.93100000000000005</v>
      </c>
      <c r="I83" s="7">
        <f t="shared" si="27"/>
        <v>0.95799999999999996</v>
      </c>
      <c r="J83" s="7">
        <f t="shared" si="28"/>
        <v>0.67500000000000004</v>
      </c>
      <c r="K83" s="7">
        <f t="shared" si="29"/>
        <v>0.995</v>
      </c>
      <c r="L83" s="7">
        <f t="shared" si="30"/>
        <v>0.53300000000000003</v>
      </c>
      <c r="M83" s="10">
        <f t="shared" si="31"/>
        <v>0.99099999999999999</v>
      </c>
      <c r="N83" s="1">
        <f t="shared" si="32"/>
        <v>15.516666666666667</v>
      </c>
      <c r="O83" s="1">
        <f t="shared" si="33"/>
        <v>25.891891891891891</v>
      </c>
      <c r="P83" s="1">
        <f t="shared" si="34"/>
        <v>168.75</v>
      </c>
      <c r="Q83" s="1" t="e">
        <f t="shared" si="35"/>
        <v>#DIV/0!</v>
      </c>
      <c r="R83" s="1" t="e">
        <f t="shared" si="36"/>
        <v>#DIV/0!</v>
      </c>
      <c r="S83" s="1" t="e">
        <f t="shared" si="37"/>
        <v>#DIV/0!</v>
      </c>
    </row>
    <row r="84" spans="1:19">
      <c r="A84" t="s">
        <v>87</v>
      </c>
      <c r="B84" s="2">
        <v>0.96699999999999997</v>
      </c>
      <c r="C84" s="2">
        <v>0.98599999999999999</v>
      </c>
      <c r="D84" s="2">
        <v>0.65800000000000003</v>
      </c>
      <c r="E84" s="14">
        <v>0.96099999999999997</v>
      </c>
      <c r="F84" s="14">
        <v>0.54300000000000004</v>
      </c>
      <c r="G84" s="8">
        <v>0.94899999999999995</v>
      </c>
      <c r="H84" s="7">
        <f t="shared" si="26"/>
        <v>0.90700000000000003</v>
      </c>
      <c r="I84" s="7">
        <f t="shared" si="27"/>
        <v>0.94899999999999995</v>
      </c>
      <c r="J84" s="7">
        <f t="shared" si="28"/>
        <v>0.65400000000000003</v>
      </c>
      <c r="K84" s="7">
        <f t="shared" si="29"/>
        <v>0.96099999999999997</v>
      </c>
      <c r="L84" s="7">
        <f t="shared" si="30"/>
        <v>0.54300000000000004</v>
      </c>
      <c r="M84" s="10">
        <f t="shared" si="31"/>
        <v>0.94899999999999995</v>
      </c>
      <c r="N84" s="1">
        <f t="shared" si="32"/>
        <v>15.116666666666667</v>
      </c>
      <c r="O84" s="1">
        <f t="shared" si="33"/>
        <v>25.648648648648649</v>
      </c>
      <c r="P84" s="1">
        <f t="shared" si="34"/>
        <v>163.5</v>
      </c>
      <c r="Q84" s="1" t="e">
        <f t="shared" si="35"/>
        <v>#DIV/0!</v>
      </c>
      <c r="R84" s="1" t="e">
        <f t="shared" si="36"/>
        <v>#DIV/0!</v>
      </c>
      <c r="S84" s="1" t="e">
        <f t="shared" si="37"/>
        <v>#DIV/0!</v>
      </c>
    </row>
    <row r="85" spans="1:19">
      <c r="A85" t="s">
        <v>89</v>
      </c>
      <c r="B85" s="2">
        <v>4.0000000000000001E-3</v>
      </c>
      <c r="C85" s="2">
        <v>2.5000000000000001E-2</v>
      </c>
      <c r="D85" s="2">
        <v>7.0000000000000001E-3</v>
      </c>
      <c r="E85" s="2">
        <v>0</v>
      </c>
      <c r="F85" s="2">
        <v>0</v>
      </c>
      <c r="G85" s="8">
        <v>0</v>
      </c>
      <c r="H85" s="7">
        <f t="shared" si="26"/>
        <v>-5.5999999999999994E-2</v>
      </c>
      <c r="I85" s="7">
        <f t="shared" si="27"/>
        <v>-1.1999999999999997E-2</v>
      </c>
      <c r="J85" s="7">
        <f t="shared" si="28"/>
        <v>3.0000000000000001E-3</v>
      </c>
      <c r="K85" s="7">
        <f t="shared" si="29"/>
        <v>0</v>
      </c>
      <c r="L85" s="7">
        <f t="shared" si="30"/>
        <v>0</v>
      </c>
      <c r="M85" s="10">
        <f t="shared" si="31"/>
        <v>0</v>
      </c>
      <c r="N85" s="1">
        <f t="shared" si="32"/>
        <v>-0.93333333333333324</v>
      </c>
      <c r="O85" s="1">
        <f t="shared" si="33"/>
        <v>-0.32432432432432423</v>
      </c>
      <c r="P85" s="1">
        <f t="shared" si="34"/>
        <v>0.75</v>
      </c>
      <c r="Q85" s="1" t="e">
        <f t="shared" si="35"/>
        <v>#DIV/0!</v>
      </c>
      <c r="R85" s="1" t="e">
        <f t="shared" si="36"/>
        <v>#DIV/0!</v>
      </c>
      <c r="S85" s="1" t="e">
        <f t="shared" si="37"/>
        <v>#DIV/0!</v>
      </c>
    </row>
    <row r="86" spans="1:19">
      <c r="A86" t="s">
        <v>88</v>
      </c>
      <c r="B86" s="2">
        <v>2E-3</v>
      </c>
      <c r="C86" s="2">
        <v>1E-3</v>
      </c>
      <c r="D86" s="2">
        <v>0</v>
      </c>
      <c r="E86" s="2">
        <v>0</v>
      </c>
      <c r="F86" s="2">
        <v>0</v>
      </c>
      <c r="G86" s="8">
        <v>0</v>
      </c>
      <c r="H86" s="7">
        <f t="shared" si="26"/>
        <v>-5.7999999999999996E-2</v>
      </c>
      <c r="I86" s="7">
        <f t="shared" si="27"/>
        <v>-3.5999999999999997E-2</v>
      </c>
      <c r="J86" s="7">
        <f t="shared" si="28"/>
        <v>-4.0000000000000001E-3</v>
      </c>
      <c r="K86" s="7">
        <f t="shared" si="29"/>
        <v>0</v>
      </c>
      <c r="L86" s="7">
        <f t="shared" si="30"/>
        <v>0</v>
      </c>
      <c r="M86" s="10">
        <f t="shared" si="31"/>
        <v>0</v>
      </c>
      <c r="N86" s="1">
        <f t="shared" si="32"/>
        <v>-0.96666666666666667</v>
      </c>
      <c r="O86" s="1">
        <f t="shared" si="33"/>
        <v>-0.97297297297297292</v>
      </c>
      <c r="P86" s="1">
        <f t="shared" si="34"/>
        <v>-1</v>
      </c>
      <c r="Q86" s="1" t="e">
        <f t="shared" si="35"/>
        <v>#DIV/0!</v>
      </c>
      <c r="R86" s="1" t="e">
        <f t="shared" si="36"/>
        <v>#DIV/0!</v>
      </c>
      <c r="S86" s="1" t="e">
        <f t="shared" si="37"/>
        <v>#DIV/0!</v>
      </c>
    </row>
    <row r="87" spans="1:19">
      <c r="A87" t="s">
        <v>90</v>
      </c>
      <c r="B87" s="2">
        <v>0.99099999999999999</v>
      </c>
      <c r="C87" s="2">
        <v>0.995</v>
      </c>
      <c r="D87" s="2">
        <v>0.68899999999999995</v>
      </c>
      <c r="E87" s="2">
        <v>0.995</v>
      </c>
      <c r="F87" s="2">
        <v>0.54300000000000004</v>
      </c>
      <c r="G87" s="8">
        <v>0.99099999999999999</v>
      </c>
      <c r="H87" s="7">
        <f t="shared" si="26"/>
        <v>0.93100000000000005</v>
      </c>
      <c r="I87" s="7">
        <f t="shared" si="27"/>
        <v>0.95799999999999996</v>
      </c>
      <c r="J87" s="7">
        <f t="shared" si="28"/>
        <v>0.68499999999999994</v>
      </c>
      <c r="K87" s="7">
        <f t="shared" si="29"/>
        <v>0.995</v>
      </c>
      <c r="L87" s="7">
        <f t="shared" si="30"/>
        <v>0.54300000000000004</v>
      </c>
      <c r="M87" s="10">
        <f t="shared" si="31"/>
        <v>0.99099999999999999</v>
      </c>
      <c r="N87" s="1">
        <f t="shared" si="32"/>
        <v>15.516666666666667</v>
      </c>
      <c r="O87" s="1">
        <f t="shared" si="33"/>
        <v>25.891891891891891</v>
      </c>
      <c r="P87" s="1">
        <f t="shared" si="34"/>
        <v>171.24999999999997</v>
      </c>
      <c r="Q87" s="1" t="e">
        <f t="shared" si="35"/>
        <v>#DIV/0!</v>
      </c>
      <c r="R87" s="1" t="e">
        <f t="shared" si="36"/>
        <v>#DIV/0!</v>
      </c>
      <c r="S87" s="1" t="e">
        <f t="shared" si="37"/>
        <v>#DIV/0!</v>
      </c>
    </row>
    <row r="88" spans="1:19">
      <c r="A88" t="s">
        <v>91</v>
      </c>
      <c r="B88" s="2">
        <v>0.97099999999999997</v>
      </c>
      <c r="C88" s="2">
        <v>0.99199999999999999</v>
      </c>
      <c r="D88" s="2">
        <v>0.63600000000000001</v>
      </c>
      <c r="E88" s="2">
        <v>0.99199999999999999</v>
      </c>
      <c r="F88" s="2">
        <v>0.55600000000000005</v>
      </c>
      <c r="G88" s="8">
        <v>0.97099999999999997</v>
      </c>
      <c r="H88" s="7">
        <f t="shared" si="26"/>
        <v>0.91100000000000003</v>
      </c>
      <c r="I88" s="7">
        <f t="shared" si="27"/>
        <v>0.95499999999999996</v>
      </c>
      <c r="J88" s="7">
        <f t="shared" si="28"/>
        <v>0.63200000000000001</v>
      </c>
      <c r="K88" s="7">
        <f t="shared" si="29"/>
        <v>0.99199999999999999</v>
      </c>
      <c r="L88" s="7">
        <f t="shared" si="30"/>
        <v>0.55600000000000005</v>
      </c>
      <c r="M88" s="10">
        <f t="shared" si="31"/>
        <v>0.97099999999999997</v>
      </c>
      <c r="N88" s="1">
        <f t="shared" si="32"/>
        <v>15.183333333333334</v>
      </c>
      <c r="O88" s="1">
        <f t="shared" si="33"/>
        <v>25.810810810810811</v>
      </c>
      <c r="P88" s="1">
        <f t="shared" si="34"/>
        <v>158</v>
      </c>
      <c r="Q88" s="1" t="e">
        <f t="shared" si="35"/>
        <v>#DIV/0!</v>
      </c>
      <c r="R88" s="1" t="e">
        <f t="shared" si="36"/>
        <v>#DIV/0!</v>
      </c>
      <c r="S88" s="1" t="e">
        <f t="shared" si="37"/>
        <v>#DIV/0!</v>
      </c>
    </row>
    <row r="89" spans="1:19">
      <c r="A89" t="s">
        <v>93</v>
      </c>
      <c r="B89" s="2">
        <v>4.0000000000000001E-3</v>
      </c>
      <c r="C89" s="2">
        <v>2.5000000000000001E-2</v>
      </c>
      <c r="D89" s="2">
        <v>7.0000000000000001E-3</v>
      </c>
      <c r="E89" s="2">
        <v>0</v>
      </c>
      <c r="F89" s="2">
        <v>0</v>
      </c>
      <c r="G89" s="8">
        <v>0</v>
      </c>
      <c r="H89" s="7">
        <f t="shared" si="26"/>
        <v>-5.5999999999999994E-2</v>
      </c>
      <c r="I89" s="7">
        <f t="shared" si="27"/>
        <v>-1.1999999999999997E-2</v>
      </c>
      <c r="J89" s="7">
        <f t="shared" si="28"/>
        <v>3.0000000000000001E-3</v>
      </c>
      <c r="K89" s="7">
        <f t="shared" si="29"/>
        <v>0</v>
      </c>
      <c r="L89" s="7">
        <f t="shared" si="30"/>
        <v>0</v>
      </c>
      <c r="M89" s="10">
        <f t="shared" si="31"/>
        <v>0</v>
      </c>
      <c r="N89" s="1">
        <f t="shared" si="32"/>
        <v>-0.93333333333333324</v>
      </c>
      <c r="O89" s="1">
        <f t="shared" si="33"/>
        <v>-0.32432432432432423</v>
      </c>
      <c r="P89" s="1">
        <f t="shared" si="34"/>
        <v>0.75</v>
      </c>
      <c r="Q89" s="1" t="e">
        <f t="shared" si="35"/>
        <v>#DIV/0!</v>
      </c>
      <c r="R89" s="1" t="e">
        <f t="shared" si="36"/>
        <v>#DIV/0!</v>
      </c>
      <c r="S89" s="1" t="e">
        <f t="shared" si="37"/>
        <v>#DIV/0!</v>
      </c>
    </row>
    <row r="90" spans="1:19">
      <c r="A90" t="s">
        <v>92</v>
      </c>
      <c r="B90" s="2">
        <v>2E-3</v>
      </c>
      <c r="C90" s="2">
        <v>1E-3</v>
      </c>
      <c r="D90" s="2">
        <v>0</v>
      </c>
      <c r="E90" s="2">
        <v>0</v>
      </c>
      <c r="F90" s="2">
        <v>0</v>
      </c>
      <c r="G90" s="8">
        <v>0</v>
      </c>
      <c r="H90" s="7">
        <f t="shared" si="26"/>
        <v>-5.7999999999999996E-2</v>
      </c>
      <c r="I90" s="7">
        <f t="shared" si="27"/>
        <v>-3.5999999999999997E-2</v>
      </c>
      <c r="J90" s="7">
        <f t="shared" si="28"/>
        <v>-4.0000000000000001E-3</v>
      </c>
      <c r="K90" s="7">
        <f t="shared" si="29"/>
        <v>0</v>
      </c>
      <c r="L90" s="7">
        <f t="shared" si="30"/>
        <v>0</v>
      </c>
      <c r="M90" s="10">
        <f t="shared" si="31"/>
        <v>0</v>
      </c>
      <c r="N90" s="1">
        <f t="shared" si="32"/>
        <v>-0.96666666666666667</v>
      </c>
      <c r="O90" s="1">
        <f t="shared" si="33"/>
        <v>-0.97297297297297292</v>
      </c>
      <c r="P90" s="1">
        <f t="shared" si="34"/>
        <v>-1</v>
      </c>
      <c r="Q90" s="1" t="e">
        <f t="shared" si="35"/>
        <v>#DIV/0!</v>
      </c>
      <c r="R90" s="1" t="e">
        <f t="shared" si="36"/>
        <v>#DIV/0!</v>
      </c>
      <c r="S90" s="1" t="e">
        <f t="shared" si="37"/>
        <v>#DIV/0!</v>
      </c>
    </row>
    <row r="91" spans="1:19">
      <c r="A91" t="s">
        <v>94</v>
      </c>
      <c r="B91" s="2">
        <v>0.98199999999999998</v>
      </c>
      <c r="C91" s="2">
        <v>0.99399999999999999</v>
      </c>
      <c r="D91" s="2">
        <v>0.71</v>
      </c>
      <c r="E91" s="2">
        <v>0.99399999999999999</v>
      </c>
      <c r="F91" s="2">
        <v>0.55600000000000005</v>
      </c>
      <c r="G91" s="8">
        <v>0.98199999999999998</v>
      </c>
      <c r="H91" s="7">
        <f t="shared" si="26"/>
        <v>0.92199999999999993</v>
      </c>
      <c r="I91" s="7">
        <f t="shared" si="27"/>
        <v>0.95699999999999996</v>
      </c>
      <c r="J91" s="7">
        <f t="shared" si="28"/>
        <v>0.70599999999999996</v>
      </c>
      <c r="K91" s="7">
        <f t="shared" si="29"/>
        <v>0.99399999999999999</v>
      </c>
      <c r="L91" s="7">
        <f t="shared" si="30"/>
        <v>0.55600000000000005</v>
      </c>
      <c r="M91" s="10">
        <f t="shared" si="31"/>
        <v>0.98199999999999998</v>
      </c>
      <c r="N91" s="1">
        <f t="shared" si="32"/>
        <v>15.366666666666665</v>
      </c>
      <c r="O91" s="1">
        <f t="shared" si="33"/>
        <v>25.864864864864867</v>
      </c>
      <c r="P91" s="1">
        <f t="shared" si="34"/>
        <v>176.5</v>
      </c>
      <c r="Q91" s="1" t="e">
        <f t="shared" si="35"/>
        <v>#DIV/0!</v>
      </c>
      <c r="R91" s="1" t="e">
        <f t="shared" si="36"/>
        <v>#DIV/0!</v>
      </c>
      <c r="S91" s="1" t="e">
        <f t="shared" si="37"/>
        <v>#DIV/0!</v>
      </c>
    </row>
    <row r="92" spans="1:19">
      <c r="A92" t="s">
        <v>95</v>
      </c>
      <c r="B92" s="2">
        <v>0.96399999999999997</v>
      </c>
      <c r="C92" s="2">
        <v>0.98199999999999998</v>
      </c>
      <c r="D92" s="2">
        <v>0.64500000000000002</v>
      </c>
      <c r="E92" s="2">
        <v>0.98299999999999998</v>
      </c>
      <c r="F92" s="2">
        <v>0.54800000000000004</v>
      </c>
      <c r="G92" s="8">
        <v>0.97099999999999997</v>
      </c>
      <c r="H92" s="7">
        <f t="shared" si="26"/>
        <v>0.90399999999999991</v>
      </c>
      <c r="I92" s="7">
        <f t="shared" si="27"/>
        <v>0.94499999999999995</v>
      </c>
      <c r="J92" s="7">
        <f t="shared" si="28"/>
        <v>0.64100000000000001</v>
      </c>
      <c r="K92" s="7">
        <f t="shared" si="29"/>
        <v>0.98299999999999998</v>
      </c>
      <c r="L92" s="7">
        <f t="shared" si="30"/>
        <v>0.54800000000000004</v>
      </c>
      <c r="M92" s="10">
        <f t="shared" si="31"/>
        <v>0.97099999999999997</v>
      </c>
      <c r="N92" s="1">
        <f t="shared" si="32"/>
        <v>15.066666666666666</v>
      </c>
      <c r="O92" s="1">
        <f t="shared" si="33"/>
        <v>25.54054054054054</v>
      </c>
      <c r="P92" s="1">
        <f t="shared" si="34"/>
        <v>160.25</v>
      </c>
      <c r="Q92" s="1" t="e">
        <f t="shared" si="35"/>
        <v>#DIV/0!</v>
      </c>
      <c r="R92" s="1" t="e">
        <f t="shared" si="36"/>
        <v>#DIV/0!</v>
      </c>
      <c r="S92" s="1" t="e">
        <f t="shared" si="37"/>
        <v>#DIV/0!</v>
      </c>
    </row>
    <row r="93" spans="1:19">
      <c r="A93" t="s">
        <v>97</v>
      </c>
      <c r="B93" s="2">
        <v>2E-3</v>
      </c>
      <c r="C93" s="2">
        <v>1E-3</v>
      </c>
      <c r="D93" s="2">
        <v>0</v>
      </c>
      <c r="E93" s="2">
        <v>0</v>
      </c>
      <c r="F93" s="2">
        <v>0</v>
      </c>
      <c r="G93" s="8">
        <v>0</v>
      </c>
      <c r="H93" s="7">
        <f t="shared" si="26"/>
        <v>-5.7999999999999996E-2</v>
      </c>
      <c r="I93" s="7">
        <f t="shared" si="27"/>
        <v>-3.5999999999999997E-2</v>
      </c>
      <c r="J93" s="7">
        <f t="shared" si="28"/>
        <v>-4.0000000000000001E-3</v>
      </c>
      <c r="K93" s="7">
        <f t="shared" si="29"/>
        <v>0</v>
      </c>
      <c r="L93" s="7">
        <f t="shared" si="30"/>
        <v>0</v>
      </c>
      <c r="M93" s="10">
        <f t="shared" si="31"/>
        <v>0</v>
      </c>
      <c r="N93" s="1">
        <f t="shared" si="32"/>
        <v>-0.96666666666666667</v>
      </c>
      <c r="O93" s="1">
        <f t="shared" si="33"/>
        <v>-0.97297297297297292</v>
      </c>
      <c r="P93" s="1">
        <f t="shared" si="34"/>
        <v>-1</v>
      </c>
      <c r="Q93" s="1" t="e">
        <f t="shared" si="35"/>
        <v>#DIV/0!</v>
      </c>
      <c r="R93" s="1" t="e">
        <f t="shared" si="36"/>
        <v>#DIV/0!</v>
      </c>
      <c r="S93" s="1" t="e">
        <f t="shared" si="37"/>
        <v>#DIV/0!</v>
      </c>
    </row>
    <row r="94" spans="1:19">
      <c r="A94" t="s">
        <v>96</v>
      </c>
      <c r="B94" s="2">
        <v>2E-3</v>
      </c>
      <c r="C94" s="2">
        <v>1E-3</v>
      </c>
      <c r="D94" s="2">
        <v>0</v>
      </c>
      <c r="E94" s="2">
        <v>0</v>
      </c>
      <c r="F94" s="2">
        <v>0</v>
      </c>
      <c r="G94" s="8">
        <v>0</v>
      </c>
      <c r="H94" s="7">
        <f t="shared" si="26"/>
        <v>-5.7999999999999996E-2</v>
      </c>
      <c r="I94" s="7">
        <f t="shared" si="27"/>
        <v>-3.5999999999999997E-2</v>
      </c>
      <c r="J94" s="7">
        <f t="shared" si="28"/>
        <v>-4.0000000000000001E-3</v>
      </c>
      <c r="K94" s="7">
        <f t="shared" si="29"/>
        <v>0</v>
      </c>
      <c r="L94" s="7">
        <f t="shared" si="30"/>
        <v>0</v>
      </c>
      <c r="M94" s="10">
        <f t="shared" si="31"/>
        <v>0</v>
      </c>
      <c r="N94" s="1">
        <f t="shared" si="32"/>
        <v>-0.96666666666666667</v>
      </c>
      <c r="O94" s="1">
        <f t="shared" si="33"/>
        <v>-0.97297297297297292</v>
      </c>
      <c r="P94" s="1">
        <f t="shared" si="34"/>
        <v>-1</v>
      </c>
      <c r="Q94" s="1" t="e">
        <f t="shared" si="35"/>
        <v>#DIV/0!</v>
      </c>
      <c r="R94" s="1" t="e">
        <f t="shared" si="36"/>
        <v>#DIV/0!</v>
      </c>
      <c r="S94" s="1" t="e">
        <f t="shared" si="37"/>
        <v>#DIV/0!</v>
      </c>
    </row>
    <row r="95" spans="1:19">
      <c r="A95" t="s">
        <v>98</v>
      </c>
      <c r="B95" s="2">
        <v>0.97699999999999998</v>
      </c>
      <c r="C95" s="2">
        <v>0.99399999999999999</v>
      </c>
      <c r="D95" s="2">
        <v>0.68700000000000006</v>
      </c>
      <c r="E95" s="2">
        <v>0.98499999999999999</v>
      </c>
      <c r="F95" s="2">
        <v>0.51700000000000002</v>
      </c>
      <c r="G95" s="8">
        <v>0.96799999999999997</v>
      </c>
      <c r="H95" s="7">
        <f t="shared" si="26"/>
        <v>0.91700000000000004</v>
      </c>
      <c r="I95" s="7">
        <f t="shared" si="27"/>
        <v>0.95699999999999996</v>
      </c>
      <c r="J95" s="7">
        <f t="shared" si="28"/>
        <v>0.68300000000000005</v>
      </c>
      <c r="K95" s="7">
        <f t="shared" si="29"/>
        <v>0.98499999999999999</v>
      </c>
      <c r="L95" s="7">
        <f t="shared" si="30"/>
        <v>0.51700000000000002</v>
      </c>
      <c r="M95" s="10">
        <f t="shared" si="31"/>
        <v>0.96799999999999997</v>
      </c>
      <c r="N95" s="1">
        <f t="shared" si="32"/>
        <v>15.283333333333335</v>
      </c>
      <c r="O95" s="1">
        <f t="shared" si="33"/>
        <v>25.864864864864867</v>
      </c>
      <c r="P95" s="1">
        <f t="shared" si="34"/>
        <v>170.75</v>
      </c>
      <c r="Q95" s="1" t="e">
        <f t="shared" si="35"/>
        <v>#DIV/0!</v>
      </c>
      <c r="R95" s="1" t="e">
        <f t="shared" si="36"/>
        <v>#DIV/0!</v>
      </c>
      <c r="S95" s="1" t="e">
        <f t="shared" si="37"/>
        <v>#DIV/0!</v>
      </c>
    </row>
    <row r="96" spans="1:19">
      <c r="A96" t="s">
        <v>99</v>
      </c>
      <c r="B96" s="2">
        <v>0.95299999999999996</v>
      </c>
      <c r="C96" s="2">
        <v>0.95499999999999996</v>
      </c>
      <c r="D96" s="2">
        <v>0.60899999999999999</v>
      </c>
      <c r="E96" s="2">
        <v>0.96799999999999997</v>
      </c>
      <c r="F96" s="2">
        <v>0.53100000000000003</v>
      </c>
      <c r="G96" s="8">
        <v>0.96799999999999997</v>
      </c>
      <c r="H96" s="7">
        <f t="shared" si="26"/>
        <v>0.89300000000000002</v>
      </c>
      <c r="I96" s="7">
        <f t="shared" si="27"/>
        <v>0.91799999999999993</v>
      </c>
      <c r="J96" s="7">
        <f t="shared" si="28"/>
        <v>0.60499999999999998</v>
      </c>
      <c r="K96" s="7">
        <f t="shared" si="29"/>
        <v>0.96799999999999997</v>
      </c>
      <c r="L96" s="7">
        <f t="shared" si="30"/>
        <v>0.53100000000000003</v>
      </c>
      <c r="M96" s="10">
        <f t="shared" si="31"/>
        <v>0.96799999999999997</v>
      </c>
      <c r="N96" s="1">
        <f t="shared" si="32"/>
        <v>14.883333333333335</v>
      </c>
      <c r="O96" s="1">
        <f t="shared" si="33"/>
        <v>24.810810810810811</v>
      </c>
      <c r="P96" s="1">
        <f t="shared" si="34"/>
        <v>151.25</v>
      </c>
      <c r="Q96" s="1" t="e">
        <f t="shared" si="35"/>
        <v>#DIV/0!</v>
      </c>
      <c r="R96" s="1" t="e">
        <f t="shared" si="36"/>
        <v>#DIV/0!</v>
      </c>
      <c r="S96" s="1" t="e">
        <f t="shared" si="37"/>
        <v>#DIV/0!</v>
      </c>
    </row>
    <row r="97" spans="1:19">
      <c r="A97" t="s">
        <v>101</v>
      </c>
      <c r="B97" s="2">
        <v>0</v>
      </c>
      <c r="C97" s="2">
        <v>0</v>
      </c>
      <c r="D97" s="2">
        <v>0</v>
      </c>
      <c r="E97" s="2">
        <v>0</v>
      </c>
      <c r="F97" s="2">
        <v>0</v>
      </c>
      <c r="G97" s="8">
        <v>0</v>
      </c>
      <c r="H97" s="7">
        <f t="shared" si="26"/>
        <v>-0.06</v>
      </c>
      <c r="I97" s="7">
        <f t="shared" si="27"/>
        <v>-3.6999999999999998E-2</v>
      </c>
      <c r="J97" s="7">
        <f t="shared" si="28"/>
        <v>-4.0000000000000001E-3</v>
      </c>
      <c r="K97" s="7">
        <f t="shared" si="29"/>
        <v>0</v>
      </c>
      <c r="L97" s="7">
        <f t="shared" si="30"/>
        <v>0</v>
      </c>
      <c r="M97" s="10">
        <f t="shared" si="31"/>
        <v>0</v>
      </c>
      <c r="N97" s="1">
        <f t="shared" si="32"/>
        <v>-1</v>
      </c>
      <c r="O97" s="1">
        <f t="shared" si="33"/>
        <v>-1</v>
      </c>
      <c r="P97" s="1">
        <f t="shared" si="34"/>
        <v>-1</v>
      </c>
      <c r="Q97" s="1" t="e">
        <f t="shared" si="35"/>
        <v>#DIV/0!</v>
      </c>
      <c r="R97" s="1" t="e">
        <f t="shared" si="36"/>
        <v>#DIV/0!</v>
      </c>
      <c r="S97" s="1" t="e">
        <f t="shared" si="37"/>
        <v>#DIV/0!</v>
      </c>
    </row>
    <row r="98" spans="1:19">
      <c r="A98" t="s">
        <v>100</v>
      </c>
      <c r="B98" s="2">
        <v>4.0000000000000001E-3</v>
      </c>
      <c r="C98" s="2">
        <v>2.3E-2</v>
      </c>
      <c r="D98" s="2">
        <v>8.9999999999999993E-3</v>
      </c>
      <c r="E98" s="2">
        <v>0</v>
      </c>
      <c r="F98" s="2">
        <v>0</v>
      </c>
      <c r="G98" s="8">
        <v>0</v>
      </c>
      <c r="H98" s="7">
        <f t="shared" ref="H98:H129" si="38">B98-V$2</f>
        <v>-5.5999999999999994E-2</v>
      </c>
      <c r="I98" s="7">
        <f t="shared" ref="I98:I129" si="39">C98-W$2</f>
        <v>-1.3999999999999999E-2</v>
      </c>
      <c r="J98" s="7">
        <f t="shared" ref="J98:J129" si="40">D98-X$2</f>
        <v>4.9999999999999992E-3</v>
      </c>
      <c r="K98" s="7">
        <f t="shared" ref="K98:K129" si="41">E98-Y$2</f>
        <v>0</v>
      </c>
      <c r="L98" s="7">
        <f t="shared" ref="L98:L129" si="42">F98-Z$2</f>
        <v>0</v>
      </c>
      <c r="M98" s="10">
        <f t="shared" ref="M98:M129" si="43">G98-AA$2</f>
        <v>0</v>
      </c>
      <c r="N98" s="1">
        <f t="shared" ref="N98:N129" si="44">(B98-V$2)/V$2</f>
        <v>-0.93333333333333324</v>
      </c>
      <c r="O98" s="1">
        <f t="shared" ref="O98:O129" si="45">(C98-W$2)/W$2</f>
        <v>-0.37837837837837834</v>
      </c>
      <c r="P98" s="1">
        <f t="shared" ref="P98:P129" si="46">(D98-X$2)/X$2</f>
        <v>1.2499999999999998</v>
      </c>
      <c r="Q98" s="1" t="e">
        <f t="shared" ref="Q98:Q129" si="47">(E98-Y$2)/Y$2</f>
        <v>#DIV/0!</v>
      </c>
      <c r="R98" s="1" t="e">
        <f t="shared" ref="R98:R129" si="48">(F98-Z$2)/Z$2</f>
        <v>#DIV/0!</v>
      </c>
      <c r="S98" s="1" t="e">
        <f t="shared" ref="S98:S129" si="49">(G98-AA$2)/AA$2</f>
        <v>#DIV/0!</v>
      </c>
    </row>
    <row r="99" spans="1:19">
      <c r="A99" t="s">
        <v>102</v>
      </c>
      <c r="B99" s="2">
        <v>0.97699999999999998</v>
      </c>
      <c r="C99" s="2">
        <v>0.99399999999999999</v>
      </c>
      <c r="D99" s="2">
        <v>0.68700000000000006</v>
      </c>
      <c r="E99" s="2">
        <v>0.98499999999999999</v>
      </c>
      <c r="F99" s="2">
        <v>0.51700000000000002</v>
      </c>
      <c r="G99" s="8">
        <v>0.96799999999999997</v>
      </c>
      <c r="H99" s="7">
        <f t="shared" si="38"/>
        <v>0.91700000000000004</v>
      </c>
      <c r="I99" s="7">
        <f t="shared" si="39"/>
        <v>0.95699999999999996</v>
      </c>
      <c r="J99" s="7">
        <f t="shared" si="40"/>
        <v>0.68300000000000005</v>
      </c>
      <c r="K99" s="7">
        <f t="shared" si="41"/>
        <v>0.98499999999999999</v>
      </c>
      <c r="L99" s="7">
        <f t="shared" si="42"/>
        <v>0.51700000000000002</v>
      </c>
      <c r="M99" s="10">
        <f t="shared" si="43"/>
        <v>0.96799999999999997</v>
      </c>
      <c r="N99" s="1">
        <f t="shared" si="44"/>
        <v>15.283333333333335</v>
      </c>
      <c r="O99" s="1">
        <f t="shared" si="45"/>
        <v>25.864864864864867</v>
      </c>
      <c r="P99" s="1">
        <f t="shared" si="46"/>
        <v>170.75</v>
      </c>
      <c r="Q99" s="1" t="e">
        <f t="shared" si="47"/>
        <v>#DIV/0!</v>
      </c>
      <c r="R99" s="1" t="e">
        <f t="shared" si="48"/>
        <v>#DIV/0!</v>
      </c>
      <c r="S99" s="1" t="e">
        <f t="shared" si="49"/>
        <v>#DIV/0!</v>
      </c>
    </row>
    <row r="100" spans="1:19">
      <c r="A100" t="s">
        <v>103</v>
      </c>
      <c r="B100" s="2">
        <v>0.97099999999999997</v>
      </c>
      <c r="C100" s="2">
        <v>0.99</v>
      </c>
      <c r="D100" s="2">
        <v>0.622</v>
      </c>
      <c r="E100" s="2">
        <v>0.99</v>
      </c>
      <c r="F100" s="2">
        <v>0.57399999999999995</v>
      </c>
      <c r="G100" s="8">
        <v>0.97099999999999997</v>
      </c>
      <c r="H100" s="7">
        <f t="shared" si="38"/>
        <v>0.91100000000000003</v>
      </c>
      <c r="I100" s="7">
        <f t="shared" si="39"/>
        <v>0.95299999999999996</v>
      </c>
      <c r="J100" s="7">
        <f t="shared" si="40"/>
        <v>0.61799999999999999</v>
      </c>
      <c r="K100" s="7">
        <f t="shared" si="41"/>
        <v>0.99</v>
      </c>
      <c r="L100" s="7">
        <f t="shared" si="42"/>
        <v>0.57399999999999995</v>
      </c>
      <c r="M100" s="10">
        <f t="shared" si="43"/>
        <v>0.97099999999999997</v>
      </c>
      <c r="N100" s="1">
        <f t="shared" si="44"/>
        <v>15.183333333333334</v>
      </c>
      <c r="O100" s="1">
        <f t="shared" si="45"/>
        <v>25.756756756756758</v>
      </c>
      <c r="P100" s="1">
        <f t="shared" si="46"/>
        <v>154.5</v>
      </c>
      <c r="Q100" s="1" t="e">
        <f t="shared" si="47"/>
        <v>#DIV/0!</v>
      </c>
      <c r="R100" s="1" t="e">
        <f t="shared" si="48"/>
        <v>#DIV/0!</v>
      </c>
      <c r="S100" s="1" t="e">
        <f t="shared" si="49"/>
        <v>#DIV/0!</v>
      </c>
    </row>
    <row r="101" spans="1:19">
      <c r="A101" t="s">
        <v>105</v>
      </c>
      <c r="B101" s="2">
        <v>1.0999999999999999E-2</v>
      </c>
      <c r="C101" s="2">
        <v>8.5000000000000006E-2</v>
      </c>
      <c r="D101" s="2">
        <v>0.02</v>
      </c>
      <c r="E101" s="2">
        <v>0</v>
      </c>
      <c r="F101" s="2">
        <v>0</v>
      </c>
      <c r="G101" s="8">
        <v>0</v>
      </c>
      <c r="H101" s="7">
        <f t="shared" si="38"/>
        <v>-4.9000000000000002E-2</v>
      </c>
      <c r="I101" s="7">
        <f t="shared" si="39"/>
        <v>4.8000000000000008E-2</v>
      </c>
      <c r="J101" s="7">
        <f t="shared" si="40"/>
        <v>1.6E-2</v>
      </c>
      <c r="K101" s="7">
        <f t="shared" si="41"/>
        <v>0</v>
      </c>
      <c r="L101" s="7">
        <f t="shared" si="42"/>
        <v>0</v>
      </c>
      <c r="M101" s="10">
        <f t="shared" si="43"/>
        <v>0</v>
      </c>
      <c r="N101" s="1">
        <f t="shared" si="44"/>
        <v>-0.81666666666666676</v>
      </c>
      <c r="O101" s="1">
        <f t="shared" si="45"/>
        <v>1.2972972972972976</v>
      </c>
      <c r="P101" s="1">
        <f t="shared" si="46"/>
        <v>4</v>
      </c>
      <c r="Q101" s="1" t="e">
        <f t="shared" si="47"/>
        <v>#DIV/0!</v>
      </c>
      <c r="R101" s="1" t="e">
        <f t="shared" si="48"/>
        <v>#DIV/0!</v>
      </c>
      <c r="S101" s="1" t="e">
        <f t="shared" si="49"/>
        <v>#DIV/0!</v>
      </c>
    </row>
    <row r="102" spans="1:19">
      <c r="A102" t="s">
        <v>104</v>
      </c>
      <c r="B102" s="2">
        <v>4.0000000000000001E-3</v>
      </c>
      <c r="C102" s="2">
        <v>2E-3</v>
      </c>
      <c r="D102" s="2">
        <v>0</v>
      </c>
      <c r="E102" s="2">
        <v>0</v>
      </c>
      <c r="F102" s="2">
        <v>0</v>
      </c>
      <c r="G102" s="8">
        <v>0</v>
      </c>
      <c r="H102" s="7">
        <f t="shared" si="38"/>
        <v>-5.5999999999999994E-2</v>
      </c>
      <c r="I102" s="7">
        <f t="shared" si="39"/>
        <v>-3.4999999999999996E-2</v>
      </c>
      <c r="J102" s="7">
        <f t="shared" si="40"/>
        <v>-4.0000000000000001E-3</v>
      </c>
      <c r="K102" s="7">
        <f t="shared" si="41"/>
        <v>0</v>
      </c>
      <c r="L102" s="7">
        <f t="shared" si="42"/>
        <v>0</v>
      </c>
      <c r="M102" s="10">
        <f t="shared" si="43"/>
        <v>0</v>
      </c>
      <c r="N102" s="1">
        <f t="shared" si="44"/>
        <v>-0.93333333333333324</v>
      </c>
      <c r="O102" s="1">
        <f t="shared" si="45"/>
        <v>-0.94594594594594594</v>
      </c>
      <c r="P102" s="1">
        <f t="shared" si="46"/>
        <v>-1</v>
      </c>
      <c r="Q102" s="1" t="e">
        <f t="shared" si="47"/>
        <v>#DIV/0!</v>
      </c>
      <c r="R102" s="1" t="e">
        <f t="shared" si="48"/>
        <v>#DIV/0!</v>
      </c>
      <c r="S102" s="1" t="e">
        <f t="shared" si="49"/>
        <v>#DIV/0!</v>
      </c>
    </row>
    <row r="103" spans="1:19">
      <c r="A103" t="s">
        <v>106</v>
      </c>
      <c r="B103" s="2">
        <v>0.95799999999999996</v>
      </c>
      <c r="C103" s="2">
        <v>0.98199999999999998</v>
      </c>
      <c r="D103" s="2">
        <v>0.68700000000000006</v>
      </c>
      <c r="E103" s="2">
        <v>0.95799999999999996</v>
      </c>
      <c r="F103" s="2">
        <v>0.55400000000000005</v>
      </c>
      <c r="G103" s="8">
        <v>0.94</v>
      </c>
      <c r="H103" s="7">
        <f t="shared" si="38"/>
        <v>0.89799999999999991</v>
      </c>
      <c r="I103" s="7">
        <f t="shared" si="39"/>
        <v>0.94499999999999995</v>
      </c>
      <c r="J103" s="7">
        <f t="shared" si="40"/>
        <v>0.68300000000000005</v>
      </c>
      <c r="K103" s="7">
        <f t="shared" si="41"/>
        <v>0.95799999999999996</v>
      </c>
      <c r="L103" s="7">
        <f t="shared" si="42"/>
        <v>0.55400000000000005</v>
      </c>
      <c r="M103" s="10">
        <f t="shared" si="43"/>
        <v>0.94</v>
      </c>
      <c r="N103" s="1">
        <f t="shared" si="44"/>
        <v>14.966666666666665</v>
      </c>
      <c r="O103" s="1">
        <f t="shared" si="45"/>
        <v>25.54054054054054</v>
      </c>
      <c r="P103" s="1">
        <f t="shared" si="46"/>
        <v>170.75</v>
      </c>
      <c r="Q103" s="1" t="e">
        <f t="shared" si="47"/>
        <v>#DIV/0!</v>
      </c>
      <c r="R103" s="1" t="e">
        <f t="shared" si="48"/>
        <v>#DIV/0!</v>
      </c>
      <c r="S103" s="1" t="e">
        <f t="shared" si="49"/>
        <v>#DIV/0!</v>
      </c>
    </row>
    <row r="104" spans="1:19">
      <c r="A104" t="s">
        <v>107</v>
      </c>
      <c r="B104" s="2">
        <v>0.99099999999999999</v>
      </c>
      <c r="C104" s="2">
        <v>0.995</v>
      </c>
      <c r="D104" s="2">
        <v>0.60099999999999998</v>
      </c>
      <c r="E104" s="2">
        <v>0.995</v>
      </c>
      <c r="F104" s="2">
        <v>0.53600000000000003</v>
      </c>
      <c r="G104" s="8">
        <v>0.99099999999999999</v>
      </c>
      <c r="H104" s="7">
        <f t="shared" si="38"/>
        <v>0.93100000000000005</v>
      </c>
      <c r="I104" s="7">
        <f t="shared" si="39"/>
        <v>0.95799999999999996</v>
      </c>
      <c r="J104" s="7">
        <f t="shared" si="40"/>
        <v>0.59699999999999998</v>
      </c>
      <c r="K104" s="7">
        <f t="shared" si="41"/>
        <v>0.995</v>
      </c>
      <c r="L104" s="7">
        <f t="shared" si="42"/>
        <v>0.53600000000000003</v>
      </c>
      <c r="M104" s="10">
        <f t="shared" si="43"/>
        <v>0.99099999999999999</v>
      </c>
      <c r="N104" s="1">
        <f t="shared" si="44"/>
        <v>15.516666666666667</v>
      </c>
      <c r="O104" s="1">
        <f t="shared" si="45"/>
        <v>25.891891891891891</v>
      </c>
      <c r="P104" s="1">
        <f t="shared" si="46"/>
        <v>149.25</v>
      </c>
      <c r="Q104" s="1" t="e">
        <f t="shared" si="47"/>
        <v>#DIV/0!</v>
      </c>
      <c r="R104" s="1" t="e">
        <f t="shared" si="48"/>
        <v>#DIV/0!</v>
      </c>
      <c r="S104" s="1" t="e">
        <f t="shared" si="49"/>
        <v>#DIV/0!</v>
      </c>
    </row>
    <row r="105" spans="1:19">
      <c r="A105" t="s">
        <v>109</v>
      </c>
      <c r="B105" s="2">
        <v>1.0999999999999999E-2</v>
      </c>
      <c r="C105" s="2">
        <v>8.5000000000000006E-2</v>
      </c>
      <c r="D105" s="2">
        <v>0.02</v>
      </c>
      <c r="E105" s="2">
        <v>0</v>
      </c>
      <c r="F105" s="2">
        <v>0</v>
      </c>
      <c r="G105" s="8">
        <v>0</v>
      </c>
      <c r="H105" s="7">
        <f t="shared" si="38"/>
        <v>-4.9000000000000002E-2</v>
      </c>
      <c r="I105" s="7">
        <f t="shared" si="39"/>
        <v>4.8000000000000008E-2</v>
      </c>
      <c r="J105" s="7">
        <f t="shared" si="40"/>
        <v>1.6E-2</v>
      </c>
      <c r="K105" s="7">
        <f t="shared" si="41"/>
        <v>0</v>
      </c>
      <c r="L105" s="7">
        <f t="shared" si="42"/>
        <v>0</v>
      </c>
      <c r="M105" s="10">
        <f t="shared" si="43"/>
        <v>0</v>
      </c>
      <c r="N105" s="1">
        <f t="shared" si="44"/>
        <v>-0.81666666666666676</v>
      </c>
      <c r="O105" s="1">
        <f t="shared" si="45"/>
        <v>1.2972972972972976</v>
      </c>
      <c r="P105" s="1">
        <f t="shared" si="46"/>
        <v>4</v>
      </c>
      <c r="Q105" s="1" t="e">
        <f t="shared" si="47"/>
        <v>#DIV/0!</v>
      </c>
      <c r="R105" s="1" t="e">
        <f t="shared" si="48"/>
        <v>#DIV/0!</v>
      </c>
      <c r="S105" s="1" t="e">
        <f t="shared" si="49"/>
        <v>#DIV/0!</v>
      </c>
    </row>
    <row r="106" spans="1:19">
      <c r="A106" t="s">
        <v>108</v>
      </c>
      <c r="B106" s="2">
        <v>4.0000000000000001E-3</v>
      </c>
      <c r="C106" s="2">
        <v>2E-3</v>
      </c>
      <c r="D106" s="2">
        <v>0</v>
      </c>
      <c r="E106" s="2">
        <v>0</v>
      </c>
      <c r="F106" s="2">
        <v>0</v>
      </c>
      <c r="G106" s="8">
        <v>0</v>
      </c>
      <c r="H106" s="7">
        <f t="shared" si="38"/>
        <v>-5.5999999999999994E-2</v>
      </c>
      <c r="I106" s="7">
        <f t="shared" si="39"/>
        <v>-3.4999999999999996E-2</v>
      </c>
      <c r="J106" s="7">
        <f t="shared" si="40"/>
        <v>-4.0000000000000001E-3</v>
      </c>
      <c r="K106" s="7">
        <f t="shared" si="41"/>
        <v>0</v>
      </c>
      <c r="L106" s="7">
        <f t="shared" si="42"/>
        <v>0</v>
      </c>
      <c r="M106" s="10">
        <f t="shared" si="43"/>
        <v>0</v>
      </c>
      <c r="N106" s="1">
        <f t="shared" si="44"/>
        <v>-0.93333333333333324</v>
      </c>
      <c r="O106" s="1">
        <f t="shared" si="45"/>
        <v>-0.94594594594594594</v>
      </c>
      <c r="P106" s="1">
        <f t="shared" si="46"/>
        <v>-1</v>
      </c>
      <c r="Q106" s="1" t="e">
        <f t="shared" si="47"/>
        <v>#DIV/0!</v>
      </c>
      <c r="R106" s="1" t="e">
        <f t="shared" si="48"/>
        <v>#DIV/0!</v>
      </c>
      <c r="S106" s="1" t="e">
        <f t="shared" si="49"/>
        <v>#DIV/0!</v>
      </c>
    </row>
    <row r="107" spans="1:19">
      <c r="A107" t="s">
        <v>110</v>
      </c>
      <c r="B107" s="2">
        <v>0.95799999999999996</v>
      </c>
      <c r="C107" s="2">
        <v>0.98299999999999998</v>
      </c>
      <c r="D107" s="2">
        <v>0.70199999999999996</v>
      </c>
      <c r="E107" s="2">
        <v>0.96499999999999997</v>
      </c>
      <c r="F107" s="2">
        <v>0.57999999999999996</v>
      </c>
      <c r="G107" s="8">
        <v>0.94</v>
      </c>
      <c r="H107" s="7">
        <f t="shared" si="38"/>
        <v>0.89799999999999991</v>
      </c>
      <c r="I107" s="7">
        <f t="shared" si="39"/>
        <v>0.94599999999999995</v>
      </c>
      <c r="J107" s="7">
        <f t="shared" si="40"/>
        <v>0.69799999999999995</v>
      </c>
      <c r="K107" s="7">
        <f t="shared" si="41"/>
        <v>0.96499999999999997</v>
      </c>
      <c r="L107" s="7">
        <f t="shared" si="42"/>
        <v>0.57999999999999996</v>
      </c>
      <c r="M107" s="10">
        <f t="shared" si="43"/>
        <v>0.94</v>
      </c>
      <c r="N107" s="1">
        <f t="shared" si="44"/>
        <v>14.966666666666665</v>
      </c>
      <c r="O107" s="1">
        <f t="shared" si="45"/>
        <v>25.567567567567568</v>
      </c>
      <c r="P107" s="1">
        <f t="shared" si="46"/>
        <v>174.49999999999997</v>
      </c>
      <c r="Q107" s="1" t="e">
        <f t="shared" si="47"/>
        <v>#DIV/0!</v>
      </c>
      <c r="R107" s="1" t="e">
        <f t="shared" si="48"/>
        <v>#DIV/0!</v>
      </c>
      <c r="S107" s="1" t="e">
        <f t="shared" si="49"/>
        <v>#DIV/0!</v>
      </c>
    </row>
    <row r="108" spans="1:19">
      <c r="A108" t="s">
        <v>111</v>
      </c>
      <c r="B108" s="2">
        <v>0.94399999999999995</v>
      </c>
      <c r="C108" s="2">
        <v>0.97199999999999998</v>
      </c>
      <c r="D108" s="2">
        <v>0.621</v>
      </c>
      <c r="E108" s="2">
        <v>0.97699999999999998</v>
      </c>
      <c r="F108" s="2">
        <v>0.503</v>
      </c>
      <c r="G108" s="8">
        <v>0.95299999999999996</v>
      </c>
      <c r="H108" s="7">
        <f t="shared" si="38"/>
        <v>0.8839999999999999</v>
      </c>
      <c r="I108" s="7">
        <f t="shared" si="39"/>
        <v>0.93499999999999994</v>
      </c>
      <c r="J108" s="7">
        <f t="shared" si="40"/>
        <v>0.61699999999999999</v>
      </c>
      <c r="K108" s="7">
        <f t="shared" si="41"/>
        <v>0.97699999999999998</v>
      </c>
      <c r="L108" s="7">
        <f t="shared" si="42"/>
        <v>0.503</v>
      </c>
      <c r="M108" s="10">
        <f t="shared" si="43"/>
        <v>0.95299999999999996</v>
      </c>
      <c r="N108" s="1">
        <f t="shared" si="44"/>
        <v>14.733333333333333</v>
      </c>
      <c r="O108" s="1">
        <f t="shared" si="45"/>
        <v>25.27027027027027</v>
      </c>
      <c r="P108" s="1">
        <f t="shared" si="46"/>
        <v>154.25</v>
      </c>
      <c r="Q108" s="1" t="e">
        <f t="shared" si="47"/>
        <v>#DIV/0!</v>
      </c>
      <c r="R108" s="1" t="e">
        <f t="shared" si="48"/>
        <v>#DIV/0!</v>
      </c>
      <c r="S108" s="1" t="e">
        <f t="shared" si="49"/>
        <v>#DIV/0!</v>
      </c>
    </row>
    <row r="109" spans="1:19">
      <c r="A109" t="s">
        <v>120</v>
      </c>
      <c r="B109" s="2">
        <v>0.88700000000000001</v>
      </c>
      <c r="C109" s="2">
        <v>0.95799999999999996</v>
      </c>
      <c r="D109" s="2">
        <v>0.45700000000000002</v>
      </c>
      <c r="E109" s="2">
        <v>0.96</v>
      </c>
      <c r="F109" s="2">
        <v>0.42099999999999999</v>
      </c>
      <c r="G109" s="8">
        <v>0.89600000000000002</v>
      </c>
      <c r="H109" s="7">
        <f t="shared" si="38"/>
        <v>0.82699999999999996</v>
      </c>
      <c r="I109" s="7">
        <f t="shared" si="39"/>
        <v>0.92099999999999993</v>
      </c>
      <c r="J109" s="7">
        <f t="shared" si="40"/>
        <v>0.45300000000000001</v>
      </c>
      <c r="K109" s="7">
        <f t="shared" si="41"/>
        <v>0.96</v>
      </c>
      <c r="L109" s="7">
        <f t="shared" si="42"/>
        <v>0.42099999999999999</v>
      </c>
      <c r="M109" s="10">
        <f t="shared" si="43"/>
        <v>0.89600000000000002</v>
      </c>
      <c r="N109" s="1">
        <f t="shared" si="44"/>
        <v>13.783333333333333</v>
      </c>
      <c r="O109" s="1">
        <f t="shared" si="45"/>
        <v>24.891891891891891</v>
      </c>
      <c r="P109" s="1">
        <f t="shared" si="46"/>
        <v>113.25</v>
      </c>
      <c r="Q109" s="1" t="e">
        <f t="shared" si="47"/>
        <v>#DIV/0!</v>
      </c>
      <c r="R109" s="1" t="e">
        <f t="shared" si="48"/>
        <v>#DIV/0!</v>
      </c>
      <c r="S109" s="1" t="e">
        <f t="shared" si="49"/>
        <v>#DIV/0!</v>
      </c>
    </row>
    <row r="110" spans="1:19">
      <c r="A110" t="s">
        <v>118</v>
      </c>
      <c r="B110" s="2">
        <v>0.99</v>
      </c>
      <c r="C110" s="2">
        <v>0.995</v>
      </c>
      <c r="D110" s="2">
        <v>0.69899999999999995</v>
      </c>
      <c r="E110" s="2">
        <v>0.995</v>
      </c>
      <c r="F110" s="2">
        <v>0.66200000000000003</v>
      </c>
      <c r="G110" s="8">
        <v>0.99</v>
      </c>
      <c r="H110" s="7">
        <f t="shared" si="38"/>
        <v>0.92999999999999994</v>
      </c>
      <c r="I110" s="7">
        <f t="shared" si="39"/>
        <v>0.95799999999999996</v>
      </c>
      <c r="J110" s="7">
        <f t="shared" si="40"/>
        <v>0.69499999999999995</v>
      </c>
      <c r="K110" s="7">
        <f t="shared" si="41"/>
        <v>0.995</v>
      </c>
      <c r="L110" s="7">
        <f t="shared" si="42"/>
        <v>0.66200000000000003</v>
      </c>
      <c r="M110" s="10">
        <f t="shared" si="43"/>
        <v>0.99</v>
      </c>
      <c r="N110" s="1">
        <f t="shared" si="44"/>
        <v>15.5</v>
      </c>
      <c r="O110" s="1">
        <f t="shared" si="45"/>
        <v>25.891891891891891</v>
      </c>
      <c r="P110" s="1">
        <f t="shared" si="46"/>
        <v>173.74999999999997</v>
      </c>
      <c r="Q110" s="1" t="e">
        <f t="shared" si="47"/>
        <v>#DIV/0!</v>
      </c>
      <c r="R110" s="1" t="e">
        <f t="shared" si="48"/>
        <v>#DIV/0!</v>
      </c>
      <c r="S110" s="1" t="e">
        <f t="shared" si="49"/>
        <v>#DIV/0!</v>
      </c>
    </row>
    <row r="111" spans="1:19">
      <c r="A111" t="s">
        <v>119</v>
      </c>
      <c r="B111" s="2">
        <v>0.92400000000000004</v>
      </c>
      <c r="C111" s="2">
        <v>0.96299999999999997</v>
      </c>
      <c r="D111" s="2">
        <v>0.48599999999999999</v>
      </c>
      <c r="E111" s="2">
        <v>0.95699999999999996</v>
      </c>
      <c r="F111" s="2">
        <v>0.42799999999999999</v>
      </c>
      <c r="G111" s="8">
        <v>0.92400000000000004</v>
      </c>
      <c r="H111" s="7">
        <f t="shared" si="38"/>
        <v>0.8640000000000001</v>
      </c>
      <c r="I111" s="7">
        <f t="shared" si="39"/>
        <v>0.92599999999999993</v>
      </c>
      <c r="J111" s="7">
        <f t="shared" si="40"/>
        <v>0.48199999999999998</v>
      </c>
      <c r="K111" s="7">
        <f t="shared" si="41"/>
        <v>0.95699999999999996</v>
      </c>
      <c r="L111" s="7">
        <f t="shared" si="42"/>
        <v>0.42799999999999999</v>
      </c>
      <c r="M111" s="10">
        <f t="shared" si="43"/>
        <v>0.92400000000000004</v>
      </c>
      <c r="N111" s="1">
        <f t="shared" si="44"/>
        <v>14.400000000000002</v>
      </c>
      <c r="O111" s="1">
        <f t="shared" si="45"/>
        <v>25.027027027027028</v>
      </c>
      <c r="P111" s="1">
        <f t="shared" si="46"/>
        <v>120.5</v>
      </c>
      <c r="Q111" s="1" t="e">
        <f t="shared" si="47"/>
        <v>#DIV/0!</v>
      </c>
      <c r="R111" s="1" t="e">
        <f t="shared" si="48"/>
        <v>#DIV/0!</v>
      </c>
      <c r="S111" s="1" t="e">
        <f t="shared" si="49"/>
        <v>#DIV/0!</v>
      </c>
    </row>
    <row r="112" spans="1:19">
      <c r="A112" t="s">
        <v>121</v>
      </c>
      <c r="B112" s="2">
        <v>0.98599999999999999</v>
      </c>
      <c r="C112" s="2">
        <v>0.99399999999999999</v>
      </c>
      <c r="D112" s="2">
        <v>0.64800000000000002</v>
      </c>
      <c r="E112" s="2">
        <v>0.98399999999999999</v>
      </c>
      <c r="F112" s="2">
        <v>0.501</v>
      </c>
      <c r="G112" s="8">
        <v>0.97699999999999998</v>
      </c>
      <c r="H112" s="7">
        <f t="shared" si="38"/>
        <v>0.92599999999999993</v>
      </c>
      <c r="I112" s="7">
        <f t="shared" si="39"/>
        <v>0.95699999999999996</v>
      </c>
      <c r="J112" s="7">
        <f t="shared" si="40"/>
        <v>0.64400000000000002</v>
      </c>
      <c r="K112" s="7">
        <f t="shared" si="41"/>
        <v>0.98399999999999999</v>
      </c>
      <c r="L112" s="7">
        <f t="shared" si="42"/>
        <v>0.501</v>
      </c>
      <c r="M112" s="10">
        <f t="shared" si="43"/>
        <v>0.97699999999999998</v>
      </c>
      <c r="N112" s="1">
        <f t="shared" si="44"/>
        <v>15.433333333333334</v>
      </c>
      <c r="O112" s="1">
        <f t="shared" si="45"/>
        <v>25.864864864864867</v>
      </c>
      <c r="P112" s="1">
        <f t="shared" si="46"/>
        <v>161</v>
      </c>
      <c r="Q112" s="1" t="e">
        <f t="shared" si="47"/>
        <v>#DIV/0!</v>
      </c>
      <c r="R112" s="1" t="e">
        <f t="shared" si="48"/>
        <v>#DIV/0!</v>
      </c>
      <c r="S112" s="1" t="e">
        <f t="shared" si="49"/>
        <v>#DIV/0!</v>
      </c>
    </row>
    <row r="113" spans="1:19">
      <c r="A113" t="s">
        <v>122</v>
      </c>
      <c r="B113" s="2">
        <v>0.97799999999999998</v>
      </c>
      <c r="C113" s="2">
        <v>0.99199999999999999</v>
      </c>
      <c r="D113" s="2">
        <v>0.56899999999999995</v>
      </c>
      <c r="E113" s="2">
        <v>0.99199999999999999</v>
      </c>
      <c r="F113" s="2">
        <v>0.41799999999999998</v>
      </c>
      <c r="G113" s="8">
        <v>0.97799999999999998</v>
      </c>
      <c r="H113" s="7">
        <f t="shared" si="38"/>
        <v>0.91799999999999993</v>
      </c>
      <c r="I113" s="7">
        <f t="shared" si="39"/>
        <v>0.95499999999999996</v>
      </c>
      <c r="J113" s="7">
        <f t="shared" si="40"/>
        <v>0.56499999999999995</v>
      </c>
      <c r="K113" s="7">
        <f t="shared" si="41"/>
        <v>0.99199999999999999</v>
      </c>
      <c r="L113" s="7">
        <f t="shared" si="42"/>
        <v>0.41799999999999998</v>
      </c>
      <c r="M113" s="10">
        <f t="shared" si="43"/>
        <v>0.97799999999999998</v>
      </c>
      <c r="N113" s="1">
        <f t="shared" si="44"/>
        <v>15.299999999999999</v>
      </c>
      <c r="O113" s="1">
        <f t="shared" si="45"/>
        <v>25.810810810810811</v>
      </c>
      <c r="P113" s="1">
        <f t="shared" si="46"/>
        <v>141.24999999999997</v>
      </c>
      <c r="Q113" s="1" t="e">
        <f t="shared" si="47"/>
        <v>#DIV/0!</v>
      </c>
      <c r="R113" s="1" t="e">
        <f t="shared" si="48"/>
        <v>#DIV/0!</v>
      </c>
      <c r="S113" s="1" t="e">
        <f t="shared" si="49"/>
        <v>#DIV/0!</v>
      </c>
    </row>
    <row r="114" spans="1:19">
      <c r="A114" t="s">
        <v>123</v>
      </c>
      <c r="B114" s="2">
        <v>0.76100000000000001</v>
      </c>
      <c r="C114" s="2">
        <v>0.81</v>
      </c>
      <c r="D114" s="2">
        <v>0.436</v>
      </c>
      <c r="E114" s="2">
        <v>0.82299999999999995</v>
      </c>
      <c r="F114" s="2">
        <v>0.27300000000000002</v>
      </c>
      <c r="G114" s="8">
        <v>0.78</v>
      </c>
      <c r="H114" s="7">
        <f t="shared" si="38"/>
        <v>0.70100000000000007</v>
      </c>
      <c r="I114" s="7">
        <f t="shared" si="39"/>
        <v>0.77300000000000002</v>
      </c>
      <c r="J114" s="7">
        <f t="shared" si="40"/>
        <v>0.432</v>
      </c>
      <c r="K114" s="7">
        <f t="shared" si="41"/>
        <v>0.82299999999999995</v>
      </c>
      <c r="L114" s="7">
        <f t="shared" si="42"/>
        <v>0.27300000000000002</v>
      </c>
      <c r="M114" s="10">
        <f t="shared" si="43"/>
        <v>0.78</v>
      </c>
      <c r="N114" s="1">
        <f t="shared" si="44"/>
        <v>11.683333333333335</v>
      </c>
      <c r="O114" s="1">
        <f t="shared" si="45"/>
        <v>20.891891891891895</v>
      </c>
      <c r="P114" s="1">
        <f t="shared" si="46"/>
        <v>108</v>
      </c>
      <c r="Q114" s="1" t="e">
        <f t="shared" si="47"/>
        <v>#DIV/0!</v>
      </c>
      <c r="R114" s="1" t="e">
        <f t="shared" si="48"/>
        <v>#DIV/0!</v>
      </c>
      <c r="S114" s="1" t="e">
        <f t="shared" si="49"/>
        <v>#DIV/0!</v>
      </c>
    </row>
    <row r="115" spans="1:19">
      <c r="A115" t="s">
        <v>114</v>
      </c>
      <c r="B115" s="2">
        <v>0.95099999999999996</v>
      </c>
      <c r="C115" s="2">
        <v>0.97599999999999998</v>
      </c>
      <c r="D115" s="2">
        <v>0.48199999999999998</v>
      </c>
      <c r="E115" s="2">
        <v>0.96699999999999997</v>
      </c>
      <c r="F115" s="2">
        <v>0.41499999999999998</v>
      </c>
      <c r="G115" s="8">
        <v>0.94199999999999995</v>
      </c>
      <c r="H115" s="7">
        <f t="shared" si="38"/>
        <v>0.89100000000000001</v>
      </c>
      <c r="I115" s="7">
        <f t="shared" si="39"/>
        <v>0.93899999999999995</v>
      </c>
      <c r="J115" s="7">
        <f t="shared" si="40"/>
        <v>0.47799999999999998</v>
      </c>
      <c r="K115" s="7">
        <f t="shared" si="41"/>
        <v>0.96699999999999997</v>
      </c>
      <c r="L115" s="7">
        <f t="shared" si="42"/>
        <v>0.41499999999999998</v>
      </c>
      <c r="M115" s="10">
        <f t="shared" si="43"/>
        <v>0.94199999999999995</v>
      </c>
      <c r="N115" s="1">
        <f t="shared" si="44"/>
        <v>14.850000000000001</v>
      </c>
      <c r="O115" s="1">
        <f t="shared" si="45"/>
        <v>25.378378378378379</v>
      </c>
      <c r="P115" s="1">
        <f t="shared" si="46"/>
        <v>119.49999999999999</v>
      </c>
      <c r="Q115" s="1" t="e">
        <f t="shared" si="47"/>
        <v>#DIV/0!</v>
      </c>
      <c r="R115" s="1" t="e">
        <f t="shared" si="48"/>
        <v>#DIV/0!</v>
      </c>
      <c r="S115" s="1" t="e">
        <f t="shared" si="49"/>
        <v>#DIV/0!</v>
      </c>
    </row>
    <row r="116" spans="1:19">
      <c r="A116" s="11" t="s">
        <v>112</v>
      </c>
      <c r="B116" s="2">
        <v>0.996</v>
      </c>
      <c r="C116" s="2">
        <v>0.995</v>
      </c>
      <c r="D116" s="2">
        <v>0.755</v>
      </c>
      <c r="E116" s="2">
        <v>0.995</v>
      </c>
      <c r="F116" s="2">
        <v>0.68981263380585001</v>
      </c>
      <c r="G116" s="8">
        <v>0.996</v>
      </c>
      <c r="H116" s="7">
        <f t="shared" si="38"/>
        <v>0.93599999999999994</v>
      </c>
      <c r="I116" s="7">
        <f t="shared" si="39"/>
        <v>0.95799999999999996</v>
      </c>
      <c r="J116" s="7">
        <f t="shared" si="40"/>
        <v>0.751</v>
      </c>
      <c r="K116" s="7">
        <f t="shared" si="41"/>
        <v>0.995</v>
      </c>
      <c r="L116" s="7">
        <f t="shared" si="42"/>
        <v>0.68981263380585001</v>
      </c>
      <c r="M116" s="10">
        <f t="shared" si="43"/>
        <v>0.996</v>
      </c>
      <c r="N116" s="1">
        <f t="shared" si="44"/>
        <v>15.6</v>
      </c>
      <c r="O116" s="1">
        <f t="shared" si="45"/>
        <v>25.891891891891891</v>
      </c>
      <c r="P116" s="1">
        <f t="shared" si="46"/>
        <v>187.75</v>
      </c>
      <c r="Q116" s="1" t="e">
        <f t="shared" si="47"/>
        <v>#DIV/0!</v>
      </c>
      <c r="R116" s="1" t="e">
        <f t="shared" si="48"/>
        <v>#DIV/0!</v>
      </c>
      <c r="S116" s="1" t="e">
        <f t="shared" si="49"/>
        <v>#DIV/0!</v>
      </c>
    </row>
    <row r="117" spans="1:19">
      <c r="A117" t="s">
        <v>113</v>
      </c>
      <c r="B117" s="2">
        <v>0.92500000000000004</v>
      </c>
      <c r="C117" s="2">
        <v>0.96199999999999997</v>
      </c>
      <c r="D117" s="2">
        <v>0.48699999999999999</v>
      </c>
      <c r="E117" s="2">
        <v>0.96765987623378502</v>
      </c>
      <c r="F117" s="2">
        <v>0.44312595187707599</v>
      </c>
      <c r="G117" s="8">
        <v>0.92500000000000004</v>
      </c>
      <c r="H117" s="7">
        <f t="shared" si="38"/>
        <v>0.86499999999999999</v>
      </c>
      <c r="I117" s="7">
        <f t="shared" si="39"/>
        <v>0.92499999999999993</v>
      </c>
      <c r="J117" s="7">
        <f t="shared" si="40"/>
        <v>0.48299999999999998</v>
      </c>
      <c r="K117" s="7">
        <f t="shared" si="41"/>
        <v>0.96765987623378502</v>
      </c>
      <c r="L117" s="7">
        <f t="shared" si="42"/>
        <v>0.44312595187707599</v>
      </c>
      <c r="M117" s="10">
        <f t="shared" si="43"/>
        <v>0.92500000000000004</v>
      </c>
      <c r="N117" s="1">
        <f t="shared" si="44"/>
        <v>14.416666666666668</v>
      </c>
      <c r="O117" s="1">
        <f t="shared" si="45"/>
        <v>25</v>
      </c>
      <c r="P117" s="1">
        <f t="shared" si="46"/>
        <v>120.75</v>
      </c>
      <c r="Q117" s="1" t="e">
        <f t="shared" si="47"/>
        <v>#DIV/0!</v>
      </c>
      <c r="R117" s="1" t="e">
        <f t="shared" si="48"/>
        <v>#DIV/0!</v>
      </c>
      <c r="S117" s="1" t="e">
        <f t="shared" si="49"/>
        <v>#DIV/0!</v>
      </c>
    </row>
    <row r="118" spans="1:19">
      <c r="A118" s="13" t="s">
        <v>115</v>
      </c>
      <c r="B118" s="2">
        <v>0.98699999999999999</v>
      </c>
      <c r="C118" s="2">
        <v>0.99399999999999999</v>
      </c>
      <c r="D118" s="2">
        <v>0.69699999999999995</v>
      </c>
      <c r="E118" s="2">
        <v>0.97499999999999998</v>
      </c>
      <c r="F118" s="2">
        <v>0.52500000000000002</v>
      </c>
      <c r="G118" s="8">
        <v>0.96899999999999997</v>
      </c>
      <c r="H118" s="7">
        <f t="shared" si="38"/>
        <v>0.92700000000000005</v>
      </c>
      <c r="I118" s="7">
        <f t="shared" si="39"/>
        <v>0.95699999999999996</v>
      </c>
      <c r="J118" s="7">
        <f t="shared" si="40"/>
        <v>0.69299999999999995</v>
      </c>
      <c r="K118" s="7">
        <f t="shared" si="41"/>
        <v>0.97499999999999998</v>
      </c>
      <c r="L118" s="7">
        <f t="shared" si="42"/>
        <v>0.52500000000000002</v>
      </c>
      <c r="M118" s="10">
        <f t="shared" si="43"/>
        <v>0.96899999999999997</v>
      </c>
      <c r="N118" s="1">
        <f t="shared" si="44"/>
        <v>15.450000000000001</v>
      </c>
      <c r="O118" s="1">
        <f t="shared" si="45"/>
        <v>25.864864864864867</v>
      </c>
      <c r="P118" s="1">
        <f t="shared" si="46"/>
        <v>173.24999999999997</v>
      </c>
      <c r="Q118" s="1" t="e">
        <f t="shared" si="47"/>
        <v>#DIV/0!</v>
      </c>
      <c r="R118" s="1" t="e">
        <f t="shared" si="48"/>
        <v>#DIV/0!</v>
      </c>
      <c r="S118" s="1" t="e">
        <f t="shared" si="49"/>
        <v>#DIV/0!</v>
      </c>
    </row>
    <row r="119" spans="1:19">
      <c r="A119" t="s">
        <v>116</v>
      </c>
      <c r="B119" s="2">
        <v>0.97299999999999998</v>
      </c>
      <c r="C119" s="2">
        <v>0.99199999999999999</v>
      </c>
      <c r="D119" s="2">
        <v>0.57099999999999995</v>
      </c>
      <c r="E119" s="2">
        <v>0.99199999999999999</v>
      </c>
      <c r="F119" s="2">
        <v>0.41</v>
      </c>
      <c r="G119" s="8">
        <v>0.97299999999999998</v>
      </c>
      <c r="H119" s="7">
        <f t="shared" si="38"/>
        <v>0.91300000000000003</v>
      </c>
      <c r="I119" s="7">
        <f t="shared" si="39"/>
        <v>0.95499999999999996</v>
      </c>
      <c r="J119" s="7">
        <f t="shared" si="40"/>
        <v>0.56699999999999995</v>
      </c>
      <c r="K119" s="7">
        <f t="shared" si="41"/>
        <v>0.99199999999999999</v>
      </c>
      <c r="L119" s="7">
        <f t="shared" si="42"/>
        <v>0.41</v>
      </c>
      <c r="M119" s="10">
        <f t="shared" si="43"/>
        <v>0.97299999999999998</v>
      </c>
      <c r="N119" s="1">
        <f t="shared" si="44"/>
        <v>15.216666666666669</v>
      </c>
      <c r="O119" s="1">
        <f t="shared" si="45"/>
        <v>25.810810810810811</v>
      </c>
      <c r="P119" s="1">
        <f t="shared" si="46"/>
        <v>141.74999999999997</v>
      </c>
      <c r="Q119" s="1" t="e">
        <f t="shared" si="47"/>
        <v>#DIV/0!</v>
      </c>
      <c r="R119" s="1" t="e">
        <f t="shared" si="48"/>
        <v>#DIV/0!</v>
      </c>
      <c r="S119" s="1" t="e">
        <f t="shared" si="49"/>
        <v>#DIV/0!</v>
      </c>
    </row>
    <row r="120" spans="1:19">
      <c r="A120" t="s">
        <v>117</v>
      </c>
      <c r="B120" s="2">
        <v>0.752</v>
      </c>
      <c r="C120" s="2">
        <v>0.81200000000000006</v>
      </c>
      <c r="D120" s="2">
        <v>0.435</v>
      </c>
      <c r="E120" s="2">
        <v>0.82</v>
      </c>
      <c r="F120" s="2">
        <v>0.26700000000000002</v>
      </c>
      <c r="G120" s="8">
        <v>0.77</v>
      </c>
      <c r="H120" s="7">
        <f t="shared" si="38"/>
        <v>0.69199999999999995</v>
      </c>
      <c r="I120" s="7">
        <f t="shared" si="39"/>
        <v>0.77500000000000002</v>
      </c>
      <c r="J120" s="7">
        <f t="shared" si="40"/>
        <v>0.43099999999999999</v>
      </c>
      <c r="K120" s="7">
        <f t="shared" si="41"/>
        <v>0.82</v>
      </c>
      <c r="L120" s="7">
        <f t="shared" si="42"/>
        <v>0.26700000000000002</v>
      </c>
      <c r="M120" s="10">
        <f t="shared" si="43"/>
        <v>0.77</v>
      </c>
      <c r="N120" s="1">
        <f t="shared" si="44"/>
        <v>11.533333333333333</v>
      </c>
      <c r="O120" s="1">
        <f t="shared" si="45"/>
        <v>20.945945945945947</v>
      </c>
      <c r="P120" s="1">
        <f t="shared" si="46"/>
        <v>107.75</v>
      </c>
      <c r="Q120" s="1" t="e">
        <f t="shared" si="47"/>
        <v>#DIV/0!</v>
      </c>
      <c r="R120" s="1" t="e">
        <f t="shared" si="48"/>
        <v>#DIV/0!</v>
      </c>
      <c r="S120" s="1" t="e">
        <f t="shared" si="49"/>
        <v>#DIV/0!</v>
      </c>
    </row>
    <row r="121" spans="1:19">
      <c r="A121" t="s">
        <v>132</v>
      </c>
      <c r="B121" s="2">
        <v>0.99099999999999999</v>
      </c>
      <c r="C121" s="2">
        <v>0.99199999999999999</v>
      </c>
      <c r="D121" s="2">
        <v>0.69799999999999995</v>
      </c>
      <c r="E121" s="2">
        <v>0.97599999999999998</v>
      </c>
      <c r="F121" s="2">
        <v>0.57499999999999996</v>
      </c>
      <c r="G121" s="8">
        <v>0.98199999999999998</v>
      </c>
      <c r="H121" s="7">
        <f t="shared" si="38"/>
        <v>0.93100000000000005</v>
      </c>
      <c r="I121" s="7">
        <f t="shared" si="39"/>
        <v>0.95499999999999996</v>
      </c>
      <c r="J121" s="7">
        <f t="shared" si="40"/>
        <v>0.69399999999999995</v>
      </c>
      <c r="K121" s="7">
        <f t="shared" si="41"/>
        <v>0.97599999999999998</v>
      </c>
      <c r="L121" s="7">
        <f t="shared" si="42"/>
        <v>0.57499999999999996</v>
      </c>
      <c r="M121" s="10">
        <f t="shared" si="43"/>
        <v>0.98199999999999998</v>
      </c>
      <c r="N121" s="1">
        <f t="shared" si="44"/>
        <v>15.516666666666667</v>
      </c>
      <c r="O121" s="1">
        <f t="shared" si="45"/>
        <v>25.810810810810811</v>
      </c>
      <c r="P121" s="1">
        <f t="shared" si="46"/>
        <v>173.49999999999997</v>
      </c>
      <c r="Q121" s="1" t="e">
        <f t="shared" si="47"/>
        <v>#DIV/0!</v>
      </c>
      <c r="R121" s="1" t="e">
        <f t="shared" si="48"/>
        <v>#DIV/0!</v>
      </c>
      <c r="S121" s="1" t="e">
        <f t="shared" si="49"/>
        <v>#DIV/0!</v>
      </c>
    </row>
    <row r="122" spans="1:19">
      <c r="A122" t="s">
        <v>130</v>
      </c>
      <c r="B122" s="2">
        <v>0.995</v>
      </c>
      <c r="C122" s="2">
        <v>0.995</v>
      </c>
      <c r="D122" s="2">
        <v>0.81499999999999995</v>
      </c>
      <c r="E122" s="2">
        <v>0.995</v>
      </c>
      <c r="F122" s="2">
        <v>0.72799999999999998</v>
      </c>
      <c r="G122" s="8">
        <v>0.995</v>
      </c>
      <c r="H122" s="7">
        <f t="shared" si="38"/>
        <v>0.93500000000000005</v>
      </c>
      <c r="I122" s="7">
        <f t="shared" si="39"/>
        <v>0.95799999999999996</v>
      </c>
      <c r="J122" s="7">
        <f t="shared" si="40"/>
        <v>0.81099999999999994</v>
      </c>
      <c r="K122" s="7">
        <f t="shared" si="41"/>
        <v>0.995</v>
      </c>
      <c r="L122" s="7">
        <f t="shared" si="42"/>
        <v>0.72799999999999998</v>
      </c>
      <c r="M122" s="10">
        <f t="shared" si="43"/>
        <v>0.995</v>
      </c>
      <c r="N122" s="1">
        <f t="shared" si="44"/>
        <v>15.583333333333334</v>
      </c>
      <c r="O122" s="1">
        <f t="shared" si="45"/>
        <v>25.891891891891891</v>
      </c>
      <c r="P122" s="1">
        <f t="shared" si="46"/>
        <v>202.74999999999997</v>
      </c>
      <c r="Q122" s="1" t="e">
        <f t="shared" si="47"/>
        <v>#DIV/0!</v>
      </c>
      <c r="R122" s="1" t="e">
        <f t="shared" si="48"/>
        <v>#DIV/0!</v>
      </c>
      <c r="S122" s="1" t="e">
        <f t="shared" si="49"/>
        <v>#DIV/0!</v>
      </c>
    </row>
    <row r="123" spans="1:19">
      <c r="A123" t="s">
        <v>131</v>
      </c>
      <c r="B123" s="2">
        <v>0.995</v>
      </c>
      <c r="C123" s="2">
        <v>0.995</v>
      </c>
      <c r="D123" s="2">
        <v>0.69399999999999995</v>
      </c>
      <c r="E123" s="2">
        <v>0.995</v>
      </c>
      <c r="F123" s="2">
        <v>0.57599999999999996</v>
      </c>
      <c r="G123" s="8">
        <v>0.995</v>
      </c>
      <c r="H123" s="7">
        <f t="shared" si="38"/>
        <v>0.93500000000000005</v>
      </c>
      <c r="I123" s="7">
        <f t="shared" si="39"/>
        <v>0.95799999999999996</v>
      </c>
      <c r="J123" s="7">
        <f t="shared" si="40"/>
        <v>0.69</v>
      </c>
      <c r="K123" s="7">
        <f t="shared" si="41"/>
        <v>0.995</v>
      </c>
      <c r="L123" s="7">
        <f t="shared" si="42"/>
        <v>0.57599999999999996</v>
      </c>
      <c r="M123" s="10">
        <f t="shared" si="43"/>
        <v>0.995</v>
      </c>
      <c r="N123" s="1">
        <f t="shared" si="44"/>
        <v>15.583333333333334</v>
      </c>
      <c r="O123" s="1">
        <f t="shared" si="45"/>
        <v>25.891891891891891</v>
      </c>
      <c r="P123" s="1">
        <f t="shared" si="46"/>
        <v>172.49999999999997</v>
      </c>
      <c r="Q123" s="1" t="e">
        <f t="shared" si="47"/>
        <v>#DIV/0!</v>
      </c>
      <c r="R123" s="1" t="e">
        <f t="shared" si="48"/>
        <v>#DIV/0!</v>
      </c>
      <c r="S123" s="1" t="e">
        <f t="shared" si="49"/>
        <v>#DIV/0!</v>
      </c>
    </row>
    <row r="124" spans="1:19">
      <c r="A124" t="s">
        <v>133</v>
      </c>
      <c r="B124" s="2">
        <v>0.98599999999999999</v>
      </c>
      <c r="C124" s="2">
        <v>0.99399999999999999</v>
      </c>
      <c r="D124" s="2">
        <v>0.64800000000000002</v>
      </c>
      <c r="E124" s="2">
        <v>0.98399999999999999</v>
      </c>
      <c r="F124" s="2">
        <v>0.501</v>
      </c>
      <c r="G124" s="8">
        <v>0.97699999999999998</v>
      </c>
      <c r="H124" s="7">
        <f t="shared" si="38"/>
        <v>0.92599999999999993</v>
      </c>
      <c r="I124" s="7">
        <f t="shared" si="39"/>
        <v>0.95699999999999996</v>
      </c>
      <c r="J124" s="7">
        <f t="shared" si="40"/>
        <v>0.64400000000000002</v>
      </c>
      <c r="K124" s="7">
        <f t="shared" si="41"/>
        <v>0.98399999999999999</v>
      </c>
      <c r="L124" s="7">
        <f t="shared" si="42"/>
        <v>0.501</v>
      </c>
      <c r="M124" s="10">
        <f t="shared" si="43"/>
        <v>0.97699999999999998</v>
      </c>
      <c r="N124" s="1">
        <f t="shared" si="44"/>
        <v>15.433333333333334</v>
      </c>
      <c r="O124" s="1">
        <f t="shared" si="45"/>
        <v>25.864864864864867</v>
      </c>
      <c r="P124" s="1">
        <f t="shared" si="46"/>
        <v>161</v>
      </c>
      <c r="Q124" s="1" t="e">
        <f t="shared" si="47"/>
        <v>#DIV/0!</v>
      </c>
      <c r="R124" s="1" t="e">
        <f t="shared" si="48"/>
        <v>#DIV/0!</v>
      </c>
      <c r="S124" s="1" t="e">
        <f t="shared" si="49"/>
        <v>#DIV/0!</v>
      </c>
    </row>
    <row r="125" spans="1:19">
      <c r="A125" t="s">
        <v>134</v>
      </c>
      <c r="B125" s="2">
        <v>0.995</v>
      </c>
      <c r="C125" s="2">
        <v>0.995</v>
      </c>
      <c r="D125" s="2">
        <v>0.72699999999999998</v>
      </c>
      <c r="E125" s="2">
        <v>0.995</v>
      </c>
      <c r="F125" s="2">
        <v>0.66900000000000004</v>
      </c>
      <c r="G125" s="8">
        <v>0.995</v>
      </c>
      <c r="H125" s="7">
        <f t="shared" si="38"/>
        <v>0.93500000000000005</v>
      </c>
      <c r="I125" s="7">
        <f t="shared" si="39"/>
        <v>0.95799999999999996</v>
      </c>
      <c r="J125" s="7">
        <f t="shared" si="40"/>
        <v>0.72299999999999998</v>
      </c>
      <c r="K125" s="7">
        <f t="shared" si="41"/>
        <v>0.995</v>
      </c>
      <c r="L125" s="7">
        <f t="shared" si="42"/>
        <v>0.66900000000000004</v>
      </c>
      <c r="M125" s="10">
        <f t="shared" si="43"/>
        <v>0.995</v>
      </c>
      <c r="N125" s="1">
        <f t="shared" si="44"/>
        <v>15.583333333333334</v>
      </c>
      <c r="O125" s="1">
        <f t="shared" si="45"/>
        <v>25.891891891891891</v>
      </c>
      <c r="P125" s="1">
        <f t="shared" si="46"/>
        <v>180.75</v>
      </c>
      <c r="Q125" s="1" t="e">
        <f t="shared" si="47"/>
        <v>#DIV/0!</v>
      </c>
      <c r="R125" s="1" t="e">
        <f t="shared" si="48"/>
        <v>#DIV/0!</v>
      </c>
      <c r="S125" s="1" t="e">
        <f t="shared" si="49"/>
        <v>#DIV/0!</v>
      </c>
    </row>
    <row r="126" spans="1:19">
      <c r="A126" t="s">
        <v>135</v>
      </c>
      <c r="B126" s="2">
        <v>0.96899999999999997</v>
      </c>
      <c r="C126" s="2">
        <v>0.98799999999999999</v>
      </c>
      <c r="D126" s="2">
        <v>0.67200000000000004</v>
      </c>
      <c r="E126" s="2">
        <v>0.98799999999999999</v>
      </c>
      <c r="F126" s="2">
        <v>0.505</v>
      </c>
      <c r="G126" s="8">
        <v>0.96899999999999997</v>
      </c>
      <c r="H126" s="7">
        <f t="shared" si="38"/>
        <v>0.90900000000000003</v>
      </c>
      <c r="I126" s="7">
        <f t="shared" si="39"/>
        <v>0.95099999999999996</v>
      </c>
      <c r="J126" s="7">
        <f t="shared" si="40"/>
        <v>0.66800000000000004</v>
      </c>
      <c r="K126" s="7">
        <f t="shared" si="41"/>
        <v>0.98799999999999999</v>
      </c>
      <c r="L126" s="7">
        <f t="shared" si="42"/>
        <v>0.505</v>
      </c>
      <c r="M126" s="10">
        <f t="shared" si="43"/>
        <v>0.96899999999999997</v>
      </c>
      <c r="N126" s="1">
        <f t="shared" si="44"/>
        <v>15.15</v>
      </c>
      <c r="O126" s="1">
        <f t="shared" si="45"/>
        <v>25.702702702702702</v>
      </c>
      <c r="P126" s="1">
        <f t="shared" si="46"/>
        <v>167</v>
      </c>
      <c r="Q126" s="1" t="e">
        <f t="shared" si="47"/>
        <v>#DIV/0!</v>
      </c>
      <c r="R126" s="1" t="e">
        <f t="shared" si="48"/>
        <v>#DIV/0!</v>
      </c>
      <c r="S126" s="1" t="e">
        <f t="shared" si="49"/>
        <v>#DIV/0!</v>
      </c>
    </row>
    <row r="127" spans="1:19">
      <c r="A127" t="s">
        <v>126</v>
      </c>
      <c r="B127" s="2">
        <v>0.99</v>
      </c>
      <c r="C127" s="2">
        <v>0.99</v>
      </c>
      <c r="D127" s="2">
        <v>0.71099999999999997</v>
      </c>
      <c r="E127" s="2">
        <v>0.97899999999999998</v>
      </c>
      <c r="F127" s="2">
        <v>0.58099999999999996</v>
      </c>
      <c r="G127" s="8">
        <v>0.98199999999999998</v>
      </c>
      <c r="H127" s="7">
        <f t="shared" si="38"/>
        <v>0.92999999999999994</v>
      </c>
      <c r="I127" s="7">
        <f t="shared" si="39"/>
        <v>0.95299999999999996</v>
      </c>
      <c r="J127" s="7">
        <f t="shared" si="40"/>
        <v>0.70699999999999996</v>
      </c>
      <c r="K127" s="7">
        <f t="shared" si="41"/>
        <v>0.97899999999999998</v>
      </c>
      <c r="L127" s="7">
        <f t="shared" si="42"/>
        <v>0.58099999999999996</v>
      </c>
      <c r="M127" s="10">
        <f t="shared" si="43"/>
        <v>0.98199999999999998</v>
      </c>
      <c r="N127" s="1">
        <f t="shared" si="44"/>
        <v>15.5</v>
      </c>
      <c r="O127" s="1">
        <f t="shared" si="45"/>
        <v>25.756756756756758</v>
      </c>
      <c r="P127" s="1">
        <f t="shared" si="46"/>
        <v>176.75</v>
      </c>
      <c r="Q127" s="1" t="e">
        <f t="shared" si="47"/>
        <v>#DIV/0!</v>
      </c>
      <c r="R127" s="1" t="e">
        <f t="shared" si="48"/>
        <v>#DIV/0!</v>
      </c>
      <c r="S127" s="1" t="e">
        <f t="shared" si="49"/>
        <v>#DIV/0!</v>
      </c>
    </row>
    <row r="128" spans="1:19">
      <c r="A128" t="s">
        <v>124</v>
      </c>
      <c r="B128" s="2">
        <v>0.995</v>
      </c>
      <c r="C128" s="2">
        <v>0.995</v>
      </c>
      <c r="D128" s="2">
        <v>0.83699999999999997</v>
      </c>
      <c r="E128" s="2">
        <v>0.995</v>
      </c>
      <c r="F128" s="2">
        <v>0.755</v>
      </c>
      <c r="G128" s="8">
        <v>0.995</v>
      </c>
      <c r="H128" s="7">
        <f t="shared" si="38"/>
        <v>0.93500000000000005</v>
      </c>
      <c r="I128" s="7">
        <f t="shared" si="39"/>
        <v>0.95799999999999996</v>
      </c>
      <c r="J128" s="7">
        <f t="shared" si="40"/>
        <v>0.83299999999999996</v>
      </c>
      <c r="K128" s="7">
        <f t="shared" si="41"/>
        <v>0.995</v>
      </c>
      <c r="L128" s="7">
        <f t="shared" si="42"/>
        <v>0.755</v>
      </c>
      <c r="M128" s="10">
        <f t="shared" si="43"/>
        <v>0.995</v>
      </c>
      <c r="N128" s="1">
        <f t="shared" si="44"/>
        <v>15.583333333333334</v>
      </c>
      <c r="O128" s="1">
        <f t="shared" si="45"/>
        <v>25.891891891891891</v>
      </c>
      <c r="P128" s="1">
        <f t="shared" si="46"/>
        <v>208.25</v>
      </c>
      <c r="Q128" s="1" t="e">
        <f t="shared" si="47"/>
        <v>#DIV/0!</v>
      </c>
      <c r="R128" s="1" t="e">
        <f t="shared" si="48"/>
        <v>#DIV/0!</v>
      </c>
      <c r="S128" s="1" t="e">
        <f t="shared" si="49"/>
        <v>#DIV/0!</v>
      </c>
    </row>
    <row r="129" spans="1:19">
      <c r="A129" t="s">
        <v>125</v>
      </c>
      <c r="B129" s="2">
        <v>0.99099999999999999</v>
      </c>
      <c r="C129" s="2">
        <v>0.995</v>
      </c>
      <c r="D129" s="2">
        <v>0.71799999999999997</v>
      </c>
      <c r="E129" s="2">
        <v>0.995</v>
      </c>
      <c r="F129" s="2">
        <v>0.58499999999999996</v>
      </c>
      <c r="G129" s="8">
        <v>0.99099999999999999</v>
      </c>
      <c r="H129" s="7">
        <f t="shared" si="38"/>
        <v>0.93100000000000005</v>
      </c>
      <c r="I129" s="7">
        <f t="shared" si="39"/>
        <v>0.95799999999999996</v>
      </c>
      <c r="J129" s="7">
        <f t="shared" si="40"/>
        <v>0.71399999999999997</v>
      </c>
      <c r="K129" s="7">
        <f t="shared" si="41"/>
        <v>0.995</v>
      </c>
      <c r="L129" s="7">
        <f t="shared" si="42"/>
        <v>0.58499999999999996</v>
      </c>
      <c r="M129" s="10">
        <f t="shared" si="43"/>
        <v>0.99099999999999999</v>
      </c>
      <c r="N129" s="1">
        <f t="shared" si="44"/>
        <v>15.516666666666667</v>
      </c>
      <c r="O129" s="1">
        <f t="shared" si="45"/>
        <v>25.891891891891891</v>
      </c>
      <c r="P129" s="1">
        <f t="shared" si="46"/>
        <v>178.5</v>
      </c>
      <c r="Q129" s="1" t="e">
        <f t="shared" si="47"/>
        <v>#DIV/0!</v>
      </c>
      <c r="R129" s="1" t="e">
        <f t="shared" si="48"/>
        <v>#DIV/0!</v>
      </c>
      <c r="S129" s="1" t="e">
        <f t="shared" si="49"/>
        <v>#DIV/0!</v>
      </c>
    </row>
    <row r="130" spans="1:19">
      <c r="A130" t="s">
        <v>127</v>
      </c>
      <c r="B130" s="2">
        <v>0.98699999999999999</v>
      </c>
      <c r="C130" s="2">
        <v>0.99399999999999999</v>
      </c>
      <c r="D130" s="2">
        <v>0.69699999999999995</v>
      </c>
      <c r="E130" s="2">
        <v>0.97499999999999998</v>
      </c>
      <c r="F130" s="2">
        <v>0.52500000000000002</v>
      </c>
      <c r="G130" s="8">
        <v>0.96899999999999997</v>
      </c>
      <c r="H130" s="7">
        <f t="shared" ref="H130:H144" si="50">B130-V$2</f>
        <v>0.92700000000000005</v>
      </c>
      <c r="I130" s="7">
        <f t="shared" ref="I130:I144" si="51">C130-W$2</f>
        <v>0.95699999999999996</v>
      </c>
      <c r="J130" s="7">
        <f t="shared" ref="J130:J144" si="52">D130-X$2</f>
        <v>0.69299999999999995</v>
      </c>
      <c r="K130" s="7">
        <f t="shared" ref="K130:K144" si="53">E130-Y$2</f>
        <v>0.97499999999999998</v>
      </c>
      <c r="L130" s="7">
        <f t="shared" ref="L130:L144" si="54">F130-Z$2</f>
        <v>0.52500000000000002</v>
      </c>
      <c r="M130" s="10">
        <f t="shared" ref="M130:M144" si="55">G130-AA$2</f>
        <v>0.96899999999999997</v>
      </c>
      <c r="N130" s="1">
        <f t="shared" ref="N130:N144" si="56">(B130-V$2)/V$2</f>
        <v>15.450000000000001</v>
      </c>
      <c r="O130" s="1">
        <f t="shared" ref="O130:O144" si="57">(C130-W$2)/W$2</f>
        <v>25.864864864864867</v>
      </c>
      <c r="P130" s="1">
        <f t="shared" ref="P130:P144" si="58">(D130-X$2)/X$2</f>
        <v>173.24999999999997</v>
      </c>
      <c r="Q130" s="1" t="e">
        <f t="shared" ref="Q130:Q144" si="59">(E130-Y$2)/Y$2</f>
        <v>#DIV/0!</v>
      </c>
      <c r="R130" s="1" t="e">
        <f t="shared" ref="R130:R144" si="60">(F130-Z$2)/Z$2</f>
        <v>#DIV/0!</v>
      </c>
      <c r="S130" s="1" t="e">
        <f t="shared" ref="S130:S144" si="61">(G130-AA$2)/AA$2</f>
        <v>#DIV/0!</v>
      </c>
    </row>
    <row r="131" spans="1:19">
      <c r="A131" t="s">
        <v>128</v>
      </c>
      <c r="B131" s="2">
        <v>0.995</v>
      </c>
      <c r="C131" s="2">
        <v>0.995</v>
      </c>
      <c r="D131" s="2">
        <v>0.71799999999999997</v>
      </c>
      <c r="E131" s="2">
        <v>0.995</v>
      </c>
      <c r="F131" s="2">
        <v>0.67</v>
      </c>
      <c r="G131" s="8">
        <v>0.995</v>
      </c>
      <c r="H131" s="7">
        <f t="shared" si="50"/>
        <v>0.93500000000000005</v>
      </c>
      <c r="I131" s="7">
        <f t="shared" si="51"/>
        <v>0.95799999999999996</v>
      </c>
      <c r="J131" s="7">
        <f t="shared" si="52"/>
        <v>0.71399999999999997</v>
      </c>
      <c r="K131" s="7">
        <f t="shared" si="53"/>
        <v>0.995</v>
      </c>
      <c r="L131" s="7">
        <f t="shared" si="54"/>
        <v>0.67</v>
      </c>
      <c r="M131" s="10">
        <f t="shared" si="55"/>
        <v>0.995</v>
      </c>
      <c r="N131" s="1">
        <f t="shared" si="56"/>
        <v>15.583333333333334</v>
      </c>
      <c r="O131" s="1">
        <f t="shared" si="57"/>
        <v>25.891891891891891</v>
      </c>
      <c r="P131" s="1">
        <f t="shared" si="58"/>
        <v>178.5</v>
      </c>
      <c r="Q131" s="1" t="e">
        <f t="shared" si="59"/>
        <v>#DIV/0!</v>
      </c>
      <c r="R131" s="1" t="e">
        <f t="shared" si="60"/>
        <v>#DIV/0!</v>
      </c>
      <c r="S131" s="1" t="e">
        <f t="shared" si="61"/>
        <v>#DIV/0!</v>
      </c>
    </row>
    <row r="132" spans="1:19">
      <c r="A132" t="s">
        <v>129</v>
      </c>
      <c r="B132" s="2">
        <v>0.97199999999999998</v>
      </c>
      <c r="C132" s="2">
        <v>0.99</v>
      </c>
      <c r="D132" s="2">
        <v>0.66900000000000004</v>
      </c>
      <c r="E132" s="2">
        <v>0.97399999999999998</v>
      </c>
      <c r="F132" s="2">
        <v>0.502</v>
      </c>
      <c r="G132" s="8">
        <v>0.97199999999999998</v>
      </c>
      <c r="H132" s="7">
        <f t="shared" si="50"/>
        <v>0.91199999999999992</v>
      </c>
      <c r="I132" s="7">
        <f t="shared" si="51"/>
        <v>0.95299999999999996</v>
      </c>
      <c r="J132" s="7">
        <f t="shared" si="52"/>
        <v>0.66500000000000004</v>
      </c>
      <c r="K132" s="7">
        <f t="shared" si="53"/>
        <v>0.97399999999999998</v>
      </c>
      <c r="L132" s="7">
        <f t="shared" si="54"/>
        <v>0.502</v>
      </c>
      <c r="M132" s="10">
        <f t="shared" si="55"/>
        <v>0.97199999999999998</v>
      </c>
      <c r="N132" s="1">
        <f t="shared" si="56"/>
        <v>15.2</v>
      </c>
      <c r="O132" s="1">
        <f t="shared" si="57"/>
        <v>25.756756756756758</v>
      </c>
      <c r="P132" s="1">
        <f t="shared" si="58"/>
        <v>166.25</v>
      </c>
      <c r="Q132" s="1" t="e">
        <f t="shared" si="59"/>
        <v>#DIV/0!</v>
      </c>
      <c r="R132" s="1" t="e">
        <f t="shared" si="60"/>
        <v>#DIV/0!</v>
      </c>
      <c r="S132" s="1" t="e">
        <f t="shared" si="61"/>
        <v>#DIV/0!</v>
      </c>
    </row>
    <row r="133" spans="1:19">
      <c r="A133" t="s">
        <v>144</v>
      </c>
      <c r="B133" s="2">
        <v>0.98599999999999999</v>
      </c>
      <c r="C133" s="2">
        <v>0.99399999999999999</v>
      </c>
      <c r="D133" s="2">
        <v>0.68100000000000005</v>
      </c>
      <c r="E133" s="2">
        <v>0.98099999999999998</v>
      </c>
      <c r="F133" s="2">
        <v>0.57599999999999996</v>
      </c>
      <c r="G133" s="8">
        <v>0.97699999999999998</v>
      </c>
      <c r="H133" s="7">
        <f t="shared" si="50"/>
        <v>0.92599999999999993</v>
      </c>
      <c r="I133" s="7">
        <f t="shared" si="51"/>
        <v>0.95699999999999996</v>
      </c>
      <c r="J133" s="7">
        <f t="shared" si="52"/>
        <v>0.67700000000000005</v>
      </c>
      <c r="K133" s="7">
        <f t="shared" si="53"/>
        <v>0.98099999999999998</v>
      </c>
      <c r="L133" s="7">
        <f t="shared" si="54"/>
        <v>0.57599999999999996</v>
      </c>
      <c r="M133" s="10">
        <f t="shared" si="55"/>
        <v>0.97699999999999998</v>
      </c>
      <c r="N133" s="1">
        <f t="shared" si="56"/>
        <v>15.433333333333334</v>
      </c>
      <c r="O133" s="1">
        <f t="shared" si="57"/>
        <v>25.864864864864867</v>
      </c>
      <c r="P133" s="1">
        <f t="shared" si="58"/>
        <v>169.25</v>
      </c>
      <c r="Q133" s="1" t="e">
        <f t="shared" si="59"/>
        <v>#DIV/0!</v>
      </c>
      <c r="R133" s="1" t="e">
        <f t="shared" si="60"/>
        <v>#DIV/0!</v>
      </c>
      <c r="S133" s="1" t="e">
        <f t="shared" si="61"/>
        <v>#DIV/0!</v>
      </c>
    </row>
    <row r="134" spans="1:19">
      <c r="A134" t="s">
        <v>142</v>
      </c>
      <c r="B134" s="2">
        <v>0.995</v>
      </c>
      <c r="C134" s="2">
        <v>0.995</v>
      </c>
      <c r="D134" s="2">
        <v>0.79</v>
      </c>
      <c r="E134" s="2">
        <v>0.995</v>
      </c>
      <c r="F134" s="2">
        <v>0.749</v>
      </c>
      <c r="G134" s="8">
        <v>0.995</v>
      </c>
      <c r="H134" s="7">
        <f t="shared" si="50"/>
        <v>0.93500000000000005</v>
      </c>
      <c r="I134" s="7">
        <f t="shared" si="51"/>
        <v>0.95799999999999996</v>
      </c>
      <c r="J134" s="7">
        <f t="shared" si="52"/>
        <v>0.78600000000000003</v>
      </c>
      <c r="K134" s="7">
        <f t="shared" si="53"/>
        <v>0.995</v>
      </c>
      <c r="L134" s="7">
        <f t="shared" si="54"/>
        <v>0.749</v>
      </c>
      <c r="M134" s="10">
        <f t="shared" si="55"/>
        <v>0.995</v>
      </c>
      <c r="N134" s="1">
        <f t="shared" si="56"/>
        <v>15.583333333333334</v>
      </c>
      <c r="O134" s="1">
        <f t="shared" si="57"/>
        <v>25.891891891891891</v>
      </c>
      <c r="P134" s="1">
        <f t="shared" si="58"/>
        <v>196.5</v>
      </c>
      <c r="Q134" s="1" t="e">
        <f t="shared" si="59"/>
        <v>#DIV/0!</v>
      </c>
      <c r="R134" s="1" t="e">
        <f t="shared" si="60"/>
        <v>#DIV/0!</v>
      </c>
      <c r="S134" s="1" t="e">
        <f t="shared" si="61"/>
        <v>#DIV/0!</v>
      </c>
    </row>
    <row r="135" spans="1:19">
      <c r="A135" t="s">
        <v>143</v>
      </c>
      <c r="B135" s="2">
        <v>0.99099999999999999</v>
      </c>
      <c r="C135" s="2">
        <v>0.99399999999999999</v>
      </c>
      <c r="D135" s="2">
        <v>0.66300000000000003</v>
      </c>
      <c r="E135" s="2">
        <v>0.98499999999999999</v>
      </c>
      <c r="F135" s="2">
        <v>0.57099999999999995</v>
      </c>
      <c r="G135" s="8">
        <v>0.98199999999999998</v>
      </c>
      <c r="H135" s="7">
        <f t="shared" si="50"/>
        <v>0.93100000000000005</v>
      </c>
      <c r="I135" s="7">
        <f t="shared" si="51"/>
        <v>0.95699999999999996</v>
      </c>
      <c r="J135" s="7">
        <f t="shared" si="52"/>
        <v>0.65900000000000003</v>
      </c>
      <c r="K135" s="7">
        <f t="shared" si="53"/>
        <v>0.98499999999999999</v>
      </c>
      <c r="L135" s="7">
        <f t="shared" si="54"/>
        <v>0.57099999999999995</v>
      </c>
      <c r="M135" s="10">
        <f t="shared" si="55"/>
        <v>0.98199999999999998</v>
      </c>
      <c r="N135" s="1">
        <f t="shared" si="56"/>
        <v>15.516666666666667</v>
      </c>
      <c r="O135" s="1">
        <f t="shared" si="57"/>
        <v>25.864864864864867</v>
      </c>
      <c r="P135" s="1">
        <f t="shared" si="58"/>
        <v>164.75</v>
      </c>
      <c r="Q135" s="1" t="e">
        <f t="shared" si="59"/>
        <v>#DIV/0!</v>
      </c>
      <c r="R135" s="1" t="e">
        <f t="shared" si="60"/>
        <v>#DIV/0!</v>
      </c>
      <c r="S135" s="1" t="e">
        <f t="shared" si="61"/>
        <v>#DIV/0!</v>
      </c>
    </row>
    <row r="136" spans="1:19">
      <c r="A136" t="s">
        <v>145</v>
      </c>
      <c r="B136" s="2">
        <v>0.98599999999999999</v>
      </c>
      <c r="C136" s="2">
        <v>0.99399999999999999</v>
      </c>
      <c r="D136" s="2">
        <v>0.64800000000000002</v>
      </c>
      <c r="E136" s="2">
        <v>0.98399999999999999</v>
      </c>
      <c r="F136" s="2">
        <v>0.501</v>
      </c>
      <c r="G136" s="8">
        <v>0.97699999999999998</v>
      </c>
      <c r="H136" s="7">
        <f t="shared" si="50"/>
        <v>0.92599999999999993</v>
      </c>
      <c r="I136" s="7">
        <f t="shared" si="51"/>
        <v>0.95699999999999996</v>
      </c>
      <c r="J136" s="7">
        <f t="shared" si="52"/>
        <v>0.64400000000000002</v>
      </c>
      <c r="K136" s="7">
        <f t="shared" si="53"/>
        <v>0.98399999999999999</v>
      </c>
      <c r="L136" s="7">
        <f t="shared" si="54"/>
        <v>0.501</v>
      </c>
      <c r="M136" s="10">
        <f t="shared" si="55"/>
        <v>0.97699999999999998</v>
      </c>
      <c r="N136" s="1">
        <f t="shared" si="56"/>
        <v>15.433333333333334</v>
      </c>
      <c r="O136" s="1">
        <f t="shared" si="57"/>
        <v>25.864864864864867</v>
      </c>
      <c r="P136" s="1">
        <f t="shared" si="58"/>
        <v>161</v>
      </c>
      <c r="Q136" s="1" t="e">
        <f t="shared" si="59"/>
        <v>#DIV/0!</v>
      </c>
      <c r="R136" s="1" t="e">
        <f t="shared" si="60"/>
        <v>#DIV/0!</v>
      </c>
      <c r="S136" s="1" t="e">
        <f t="shared" si="61"/>
        <v>#DIV/0!</v>
      </c>
    </row>
    <row r="137" spans="1:19">
      <c r="A137" t="s">
        <v>146</v>
      </c>
      <c r="B137" s="2">
        <v>0.995</v>
      </c>
      <c r="C137" s="2">
        <v>0.995</v>
      </c>
      <c r="D137" s="2">
        <v>0.72899999999999998</v>
      </c>
      <c r="E137" s="2">
        <v>0.995</v>
      </c>
      <c r="F137" s="2">
        <v>0.63100000000000001</v>
      </c>
      <c r="G137" s="8">
        <v>0.995</v>
      </c>
      <c r="H137" s="7">
        <f t="shared" si="50"/>
        <v>0.93500000000000005</v>
      </c>
      <c r="I137" s="7">
        <f t="shared" si="51"/>
        <v>0.95799999999999996</v>
      </c>
      <c r="J137" s="7">
        <f t="shared" si="52"/>
        <v>0.72499999999999998</v>
      </c>
      <c r="K137" s="7">
        <f t="shared" si="53"/>
        <v>0.995</v>
      </c>
      <c r="L137" s="7">
        <f t="shared" si="54"/>
        <v>0.63100000000000001</v>
      </c>
      <c r="M137" s="10">
        <f t="shared" si="55"/>
        <v>0.995</v>
      </c>
      <c r="N137" s="1">
        <f t="shared" si="56"/>
        <v>15.583333333333334</v>
      </c>
      <c r="O137" s="1">
        <f t="shared" si="57"/>
        <v>25.891891891891891</v>
      </c>
      <c r="P137" s="1">
        <f t="shared" si="58"/>
        <v>181.25</v>
      </c>
      <c r="Q137" s="1" t="e">
        <f t="shared" si="59"/>
        <v>#DIV/0!</v>
      </c>
      <c r="R137" s="1" t="e">
        <f t="shared" si="60"/>
        <v>#DIV/0!</v>
      </c>
      <c r="S137" s="1" t="e">
        <f t="shared" si="61"/>
        <v>#DIV/0!</v>
      </c>
    </row>
    <row r="138" spans="1:19">
      <c r="A138" t="s">
        <v>147</v>
      </c>
      <c r="B138" s="2">
        <v>0.95899999999999996</v>
      </c>
      <c r="C138" s="2">
        <v>0.98099999999999998</v>
      </c>
      <c r="D138" s="2">
        <v>0.63700000000000001</v>
      </c>
      <c r="E138" s="2">
        <v>0.97199999999999998</v>
      </c>
      <c r="F138" s="2">
        <v>0.46800000000000003</v>
      </c>
      <c r="G138" s="8">
        <v>0.95899999999999996</v>
      </c>
      <c r="H138" s="7">
        <f t="shared" si="50"/>
        <v>0.89900000000000002</v>
      </c>
      <c r="I138" s="7">
        <f t="shared" si="51"/>
        <v>0.94399999999999995</v>
      </c>
      <c r="J138" s="7">
        <f t="shared" si="52"/>
        <v>0.63300000000000001</v>
      </c>
      <c r="K138" s="7">
        <f t="shared" si="53"/>
        <v>0.97199999999999998</v>
      </c>
      <c r="L138" s="7">
        <f t="shared" si="54"/>
        <v>0.46800000000000003</v>
      </c>
      <c r="M138" s="10">
        <f t="shared" si="55"/>
        <v>0.95899999999999996</v>
      </c>
      <c r="N138" s="1">
        <f t="shared" si="56"/>
        <v>14.983333333333334</v>
      </c>
      <c r="O138" s="1">
        <f t="shared" si="57"/>
        <v>25.513513513513512</v>
      </c>
      <c r="P138" s="1">
        <f t="shared" si="58"/>
        <v>158.25</v>
      </c>
      <c r="Q138" s="1" t="e">
        <f t="shared" si="59"/>
        <v>#DIV/0!</v>
      </c>
      <c r="R138" s="1" t="e">
        <f t="shared" si="60"/>
        <v>#DIV/0!</v>
      </c>
      <c r="S138" s="1" t="e">
        <f t="shared" si="61"/>
        <v>#DIV/0!</v>
      </c>
    </row>
    <row r="139" spans="1:19">
      <c r="A139" t="s">
        <v>138</v>
      </c>
      <c r="B139" s="2">
        <v>0.99099999999999999</v>
      </c>
      <c r="C139" s="2">
        <v>0.99399999999999999</v>
      </c>
      <c r="D139" s="2">
        <v>0.66700000000000004</v>
      </c>
      <c r="E139" s="2">
        <v>0.99399999999999999</v>
      </c>
      <c r="F139" s="2">
        <v>0.57999999999999996</v>
      </c>
      <c r="G139" s="8">
        <v>0.99099999999999999</v>
      </c>
      <c r="H139" s="7">
        <f t="shared" si="50"/>
        <v>0.93100000000000005</v>
      </c>
      <c r="I139" s="7">
        <f t="shared" si="51"/>
        <v>0.95699999999999996</v>
      </c>
      <c r="J139" s="7">
        <f t="shared" si="52"/>
        <v>0.66300000000000003</v>
      </c>
      <c r="K139" s="7">
        <f t="shared" si="53"/>
        <v>0.99399999999999999</v>
      </c>
      <c r="L139" s="7">
        <f t="shared" si="54"/>
        <v>0.57999999999999996</v>
      </c>
      <c r="M139" s="10">
        <f t="shared" si="55"/>
        <v>0.99099999999999999</v>
      </c>
      <c r="N139" s="1">
        <f t="shared" si="56"/>
        <v>15.516666666666667</v>
      </c>
      <c r="O139" s="1">
        <f t="shared" si="57"/>
        <v>25.864864864864867</v>
      </c>
      <c r="P139" s="1">
        <f t="shared" si="58"/>
        <v>165.75</v>
      </c>
      <c r="Q139" s="1" t="e">
        <f t="shared" si="59"/>
        <v>#DIV/0!</v>
      </c>
      <c r="R139" s="1" t="e">
        <f t="shared" si="60"/>
        <v>#DIV/0!</v>
      </c>
      <c r="S139" s="1" t="e">
        <f t="shared" si="61"/>
        <v>#DIV/0!</v>
      </c>
    </row>
    <row r="140" spans="1:19">
      <c r="A140" t="s">
        <v>136</v>
      </c>
      <c r="B140" s="2">
        <v>0.995</v>
      </c>
      <c r="C140" s="2">
        <v>0.995</v>
      </c>
      <c r="D140" s="2">
        <v>0.80700000000000005</v>
      </c>
      <c r="E140" s="2">
        <v>0.995</v>
      </c>
      <c r="F140" s="2">
        <v>0.76</v>
      </c>
      <c r="G140" s="8">
        <v>0.995</v>
      </c>
      <c r="H140" s="7">
        <f t="shared" si="50"/>
        <v>0.93500000000000005</v>
      </c>
      <c r="I140" s="7">
        <f t="shared" si="51"/>
        <v>0.95799999999999996</v>
      </c>
      <c r="J140" s="7">
        <f t="shared" si="52"/>
        <v>0.80300000000000005</v>
      </c>
      <c r="K140" s="7">
        <f t="shared" si="53"/>
        <v>0.995</v>
      </c>
      <c r="L140" s="7">
        <f t="shared" si="54"/>
        <v>0.76</v>
      </c>
      <c r="M140" s="10">
        <f t="shared" si="55"/>
        <v>0.995</v>
      </c>
      <c r="N140" s="1">
        <f t="shared" si="56"/>
        <v>15.583333333333334</v>
      </c>
      <c r="O140" s="1">
        <f t="shared" si="57"/>
        <v>25.891891891891891</v>
      </c>
      <c r="P140" s="1">
        <f t="shared" si="58"/>
        <v>200.75</v>
      </c>
      <c r="Q140" s="1" t="e">
        <f t="shared" si="59"/>
        <v>#DIV/0!</v>
      </c>
      <c r="R140" s="1" t="e">
        <f t="shared" si="60"/>
        <v>#DIV/0!</v>
      </c>
      <c r="S140" s="1" t="e">
        <f t="shared" si="61"/>
        <v>#DIV/0!</v>
      </c>
    </row>
    <row r="141" spans="1:19">
      <c r="A141" t="s">
        <v>137</v>
      </c>
      <c r="B141" s="2">
        <v>0.99099999999999999</v>
      </c>
      <c r="C141" s="2">
        <v>0.995</v>
      </c>
      <c r="D141" s="2">
        <v>0.66400000000000003</v>
      </c>
      <c r="E141" s="2">
        <v>0.98299999999999998</v>
      </c>
      <c r="F141" s="2">
        <v>0.57199999999999995</v>
      </c>
      <c r="G141" s="8">
        <v>0.98199999999999998</v>
      </c>
      <c r="H141" s="7">
        <f t="shared" si="50"/>
        <v>0.93100000000000005</v>
      </c>
      <c r="I141" s="7">
        <f t="shared" si="51"/>
        <v>0.95799999999999996</v>
      </c>
      <c r="J141" s="7">
        <f t="shared" si="52"/>
        <v>0.66</v>
      </c>
      <c r="K141" s="7">
        <f t="shared" si="53"/>
        <v>0.98299999999999998</v>
      </c>
      <c r="L141" s="7">
        <f t="shared" si="54"/>
        <v>0.57199999999999995</v>
      </c>
      <c r="M141" s="10">
        <f t="shared" si="55"/>
        <v>0.98199999999999998</v>
      </c>
      <c r="N141" s="1">
        <f t="shared" si="56"/>
        <v>15.516666666666667</v>
      </c>
      <c r="O141" s="1">
        <f t="shared" si="57"/>
        <v>25.891891891891891</v>
      </c>
      <c r="P141" s="1">
        <f t="shared" si="58"/>
        <v>165</v>
      </c>
      <c r="Q141" s="1" t="e">
        <f t="shared" si="59"/>
        <v>#DIV/0!</v>
      </c>
      <c r="R141" s="1" t="e">
        <f t="shared" si="60"/>
        <v>#DIV/0!</v>
      </c>
      <c r="S141" s="1" t="e">
        <f t="shared" si="61"/>
        <v>#DIV/0!</v>
      </c>
    </row>
    <row r="142" spans="1:19">
      <c r="A142" t="s">
        <v>139</v>
      </c>
      <c r="B142" s="2">
        <v>0.98699999999999999</v>
      </c>
      <c r="C142" s="2">
        <v>0.99399999999999999</v>
      </c>
      <c r="D142" s="2">
        <v>0.69699999999999995</v>
      </c>
      <c r="E142" s="2">
        <v>0.97499999999999998</v>
      </c>
      <c r="F142" s="2">
        <v>0.52500000000000002</v>
      </c>
      <c r="G142" s="8">
        <v>0.96899999999999997</v>
      </c>
      <c r="H142" s="7">
        <f t="shared" si="50"/>
        <v>0.92700000000000005</v>
      </c>
      <c r="I142" s="7">
        <f t="shared" si="51"/>
        <v>0.95699999999999996</v>
      </c>
      <c r="J142" s="7">
        <f t="shared" si="52"/>
        <v>0.69299999999999995</v>
      </c>
      <c r="K142" s="7">
        <f t="shared" si="53"/>
        <v>0.97499999999999998</v>
      </c>
      <c r="L142" s="7">
        <f t="shared" si="54"/>
        <v>0.52500000000000002</v>
      </c>
      <c r="M142" s="10">
        <f t="shared" si="55"/>
        <v>0.96899999999999997</v>
      </c>
      <c r="N142" s="1">
        <f t="shared" si="56"/>
        <v>15.450000000000001</v>
      </c>
      <c r="O142" s="1">
        <f t="shared" si="57"/>
        <v>25.864864864864867</v>
      </c>
      <c r="P142" s="1">
        <f t="shared" si="58"/>
        <v>173.24999999999997</v>
      </c>
      <c r="Q142" s="1" t="e">
        <f t="shared" si="59"/>
        <v>#DIV/0!</v>
      </c>
      <c r="R142" s="1" t="e">
        <f t="shared" si="60"/>
        <v>#DIV/0!</v>
      </c>
      <c r="S142" s="1" t="e">
        <f t="shared" si="61"/>
        <v>#DIV/0!</v>
      </c>
    </row>
    <row r="143" spans="1:19">
      <c r="A143" t="s">
        <v>140</v>
      </c>
      <c r="B143" s="2">
        <v>0.995</v>
      </c>
      <c r="C143" s="2">
        <v>0.995</v>
      </c>
      <c r="D143" s="2">
        <v>0.71899999999999997</v>
      </c>
      <c r="E143" s="2">
        <v>0.995</v>
      </c>
      <c r="F143" s="2">
        <v>0.628</v>
      </c>
      <c r="G143" s="8">
        <v>0.995</v>
      </c>
      <c r="H143" s="7">
        <f t="shared" si="50"/>
        <v>0.93500000000000005</v>
      </c>
      <c r="I143" s="7">
        <f t="shared" si="51"/>
        <v>0.95799999999999996</v>
      </c>
      <c r="J143" s="7">
        <f t="shared" si="52"/>
        <v>0.71499999999999997</v>
      </c>
      <c r="K143" s="7">
        <f t="shared" si="53"/>
        <v>0.995</v>
      </c>
      <c r="L143" s="7">
        <f t="shared" si="54"/>
        <v>0.628</v>
      </c>
      <c r="M143" s="10">
        <f t="shared" si="55"/>
        <v>0.995</v>
      </c>
      <c r="N143" s="1">
        <f t="shared" si="56"/>
        <v>15.583333333333334</v>
      </c>
      <c r="O143" s="1">
        <f t="shared" si="57"/>
        <v>25.891891891891891</v>
      </c>
      <c r="P143" s="1">
        <f t="shared" si="58"/>
        <v>178.75</v>
      </c>
      <c r="Q143" s="1" t="e">
        <f t="shared" si="59"/>
        <v>#DIV/0!</v>
      </c>
      <c r="R143" s="1" t="e">
        <f t="shared" si="60"/>
        <v>#DIV/0!</v>
      </c>
      <c r="S143" s="1" t="e">
        <f t="shared" si="61"/>
        <v>#DIV/0!</v>
      </c>
    </row>
    <row r="144" spans="1:19">
      <c r="A144" t="s">
        <v>141</v>
      </c>
      <c r="B144" s="2">
        <v>0.95699999999999996</v>
      </c>
      <c r="C144" s="2">
        <v>0.98099999999999998</v>
      </c>
      <c r="D144" s="2">
        <v>0.628</v>
      </c>
      <c r="E144" s="2">
        <v>0.97199999999999998</v>
      </c>
      <c r="F144" s="2">
        <v>0.46800000000000003</v>
      </c>
      <c r="G144" s="8">
        <v>0.95699999999999996</v>
      </c>
      <c r="H144" s="7">
        <f t="shared" si="50"/>
        <v>0.89700000000000002</v>
      </c>
      <c r="I144" s="7">
        <f t="shared" si="51"/>
        <v>0.94399999999999995</v>
      </c>
      <c r="J144" s="7">
        <f t="shared" si="52"/>
        <v>0.624</v>
      </c>
      <c r="K144" s="7">
        <f t="shared" si="53"/>
        <v>0.97199999999999998</v>
      </c>
      <c r="L144" s="7">
        <f t="shared" si="54"/>
        <v>0.46800000000000003</v>
      </c>
      <c r="M144" s="10">
        <f t="shared" si="55"/>
        <v>0.95699999999999996</v>
      </c>
      <c r="N144" s="1">
        <f t="shared" si="56"/>
        <v>14.950000000000001</v>
      </c>
      <c r="O144" s="1">
        <f t="shared" si="57"/>
        <v>25.513513513513512</v>
      </c>
      <c r="P144" s="1">
        <f t="shared" si="58"/>
        <v>156</v>
      </c>
      <c r="Q144" s="1" t="e">
        <f t="shared" si="59"/>
        <v>#DIV/0!</v>
      </c>
      <c r="R144" s="1" t="e">
        <f t="shared" si="60"/>
        <v>#DIV/0!</v>
      </c>
      <c r="S144" s="1" t="e">
        <f t="shared" si="61"/>
        <v>#DIV/0!</v>
      </c>
    </row>
  </sheetData>
  <autoFilter ref="A1:G144">
    <filterColumn colId="4"/>
    <filterColumn colId="5"/>
    <sortState ref="A2:G144">
      <sortCondition descending="1" ref="G2:G144"/>
      <sortCondition descending="1" ref="B2:B144"/>
    </sortState>
  </autoFilter>
  <sortState ref="A2:S144">
    <sortCondition ref="A1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P144"/>
  <sheetViews>
    <sheetView workbookViewId="0">
      <selection activeCell="B7" sqref="B7"/>
    </sheetView>
  </sheetViews>
  <sheetFormatPr defaultRowHeight="13.8"/>
  <cols>
    <col min="1" max="1" width="12.19921875" customWidth="1"/>
  </cols>
  <sheetData>
    <row r="1" spans="1:4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148</v>
      </c>
      <c r="G1" t="s">
        <v>149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</v>
      </c>
      <c r="O1" t="s">
        <v>2</v>
      </c>
      <c r="P1" t="s">
        <v>3</v>
      </c>
      <c r="Q1" t="s">
        <v>4</v>
      </c>
      <c r="R1" t="s">
        <v>148</v>
      </c>
      <c r="S1" t="s">
        <v>149</v>
      </c>
      <c r="T1" t="s">
        <v>150</v>
      </c>
      <c r="U1" t="s">
        <v>151</v>
      </c>
      <c r="V1" t="s">
        <v>152</v>
      </c>
      <c r="W1" t="s">
        <v>153</v>
      </c>
      <c r="X1" t="s">
        <v>154</v>
      </c>
      <c r="Y1" t="s">
        <v>155</v>
      </c>
      <c r="Z1" t="s">
        <v>1</v>
      </c>
      <c r="AA1" t="s">
        <v>2</v>
      </c>
      <c r="AB1" t="s">
        <v>3</v>
      </c>
      <c r="AC1" t="s">
        <v>4</v>
      </c>
      <c r="AD1" t="s">
        <v>148</v>
      </c>
      <c r="AE1" t="s">
        <v>149</v>
      </c>
      <c r="AF1" t="s">
        <v>150</v>
      </c>
      <c r="AG1" t="s">
        <v>151</v>
      </c>
      <c r="AH1" t="s">
        <v>152</v>
      </c>
      <c r="AI1" t="s">
        <v>153</v>
      </c>
      <c r="AJ1" t="s">
        <v>154</v>
      </c>
      <c r="AK1" t="s">
        <v>155</v>
      </c>
      <c r="AL1" t="s">
        <v>156</v>
      </c>
      <c r="AM1" t="s">
        <v>157</v>
      </c>
      <c r="AN1" t="s">
        <v>158</v>
      </c>
      <c r="AO1" t="s">
        <v>159</v>
      </c>
      <c r="AP1" t="s">
        <v>160</v>
      </c>
    </row>
    <row r="2" spans="1:42">
      <c r="A2" s="6" t="s">
        <v>71</v>
      </c>
      <c r="B2">
        <v>0.32100000000000001</v>
      </c>
      <c r="C2">
        <v>0.21199999999999999</v>
      </c>
      <c r="D2">
        <v>8.3000000000000004E-2</v>
      </c>
      <c r="E2">
        <v>0.33300000000000002</v>
      </c>
      <c r="F2">
        <v>-0.14999999999999997</v>
      </c>
      <c r="G2">
        <v>-0.16700000000000001</v>
      </c>
      <c r="H2">
        <v>-0.11900000000000001</v>
      </c>
      <c r="I2">
        <v>0.15500000000000003</v>
      </c>
      <c r="J2">
        <v>-0.31847133757961776</v>
      </c>
      <c r="K2">
        <v>-0.44063324538258575</v>
      </c>
      <c r="L2">
        <v>-0.58910891089108908</v>
      </c>
      <c r="M2">
        <v>0.87078651685393282</v>
      </c>
      <c r="N2">
        <v>0.79800000000000004</v>
      </c>
      <c r="O2">
        <v>0.78600000000000003</v>
      </c>
      <c r="P2">
        <v>0.54300000000000004</v>
      </c>
      <c r="Q2">
        <v>0.77500000000000002</v>
      </c>
      <c r="R2">
        <v>-3.8999999999999924E-2</v>
      </c>
      <c r="S2">
        <v>-3.7999999999999923E-2</v>
      </c>
      <c r="T2">
        <v>-3.9999999999999925E-2</v>
      </c>
      <c r="U2">
        <v>-2.300000000000002E-2</v>
      </c>
      <c r="V2">
        <v>-4.6594982078852959E-2</v>
      </c>
      <c r="W2">
        <v>-4.6116504854368842E-2</v>
      </c>
      <c r="X2">
        <v>-6.8610634648370375E-2</v>
      </c>
      <c r="Y2">
        <v>-2.8822055137844634E-2</v>
      </c>
      <c r="Z2">
        <v>0.83899999999999997</v>
      </c>
      <c r="AA2">
        <v>0.89600000000000002</v>
      </c>
      <c r="AB2">
        <v>0.501</v>
      </c>
      <c r="AC2">
        <v>0.80500000000000005</v>
      </c>
      <c r="AD2">
        <v>0.77899999999999991</v>
      </c>
      <c r="AE2">
        <v>0.85899999999999999</v>
      </c>
      <c r="AF2">
        <v>0.497</v>
      </c>
      <c r="AG2">
        <v>0.80500000000000005</v>
      </c>
      <c r="AH2">
        <v>12.983333333333333</v>
      </c>
      <c r="AI2">
        <v>23.216216216216218</v>
      </c>
      <c r="AJ2">
        <v>124.25</v>
      </c>
      <c r="AK2" t="e">
        <v>#DIV/0!</v>
      </c>
      <c r="AL2" s="1">
        <f t="shared" ref="AL2:AL33" si="0">AVERAGE(J2,V2)</f>
        <v>-0.18253315982923535</v>
      </c>
      <c r="AM2" s="1">
        <f t="shared" ref="AM2:AM33" si="1">AVERAGE(K2,W2)</f>
        <v>-0.2433748751184773</v>
      </c>
      <c r="AN2" s="1">
        <f t="shared" ref="AN2:AN33" si="2">AVERAGE(L2,X2)</f>
        <v>-0.32885977276972972</v>
      </c>
      <c r="AO2" s="1">
        <f t="shared" ref="AO2:AO33" si="3">AVERAGE(M2,Y2)</f>
        <v>0.42098223085804409</v>
      </c>
      <c r="AP2" s="1">
        <f t="shared" ref="AP2:AP33" si="4">AVERAGE(J2,M2,V2,Y2)</f>
        <v>0.11922453551440437</v>
      </c>
    </row>
    <row r="3" spans="1:42">
      <c r="A3" s="6" t="s">
        <v>63</v>
      </c>
      <c r="B3">
        <v>0.32400000000000001</v>
      </c>
      <c r="C3">
        <v>0.218</v>
      </c>
      <c r="D3">
        <v>8.7999999999999995E-2</v>
      </c>
      <c r="E3">
        <v>0.32</v>
      </c>
      <c r="F3">
        <v>-0.14699999999999996</v>
      </c>
      <c r="G3">
        <v>-0.161</v>
      </c>
      <c r="H3">
        <v>-0.11400000000000002</v>
      </c>
      <c r="I3">
        <v>0.14200000000000002</v>
      </c>
      <c r="J3">
        <v>-0.31210191082802541</v>
      </c>
      <c r="K3">
        <v>-0.42480211081794195</v>
      </c>
      <c r="L3">
        <v>-0.56435643564356441</v>
      </c>
      <c r="M3">
        <v>0.79775280898876422</v>
      </c>
      <c r="N3">
        <v>0.80400000000000005</v>
      </c>
      <c r="O3">
        <v>0.79100000000000004</v>
      </c>
      <c r="P3">
        <v>0.55200000000000005</v>
      </c>
      <c r="Q3">
        <v>0.78100000000000003</v>
      </c>
      <c r="R3">
        <v>-3.2999999999999918E-2</v>
      </c>
      <c r="S3">
        <v>-3.2999999999999918E-2</v>
      </c>
      <c r="T3">
        <v>-3.0999999999999917E-2</v>
      </c>
      <c r="U3">
        <v>-1.7000000000000015E-2</v>
      </c>
      <c r="V3">
        <v>-3.9426523297490947E-2</v>
      </c>
      <c r="W3">
        <v>-4.0048543689320294E-2</v>
      </c>
      <c r="X3">
        <v>-5.3173241852486994E-2</v>
      </c>
      <c r="Y3">
        <v>-2.1303258145363425E-2</v>
      </c>
      <c r="Z3">
        <v>0.81799999999999995</v>
      </c>
      <c r="AA3">
        <v>0.86499999999999999</v>
      </c>
      <c r="AB3">
        <v>0.47099999999999997</v>
      </c>
      <c r="AC3">
        <v>0.81100000000000005</v>
      </c>
      <c r="AD3">
        <v>0.75800000000000001</v>
      </c>
      <c r="AE3">
        <v>0.82799999999999996</v>
      </c>
      <c r="AF3">
        <v>0.46699999999999997</v>
      </c>
      <c r="AG3">
        <v>0.81100000000000005</v>
      </c>
      <c r="AH3">
        <v>12.633333333333335</v>
      </c>
      <c r="AI3">
        <v>22.378378378378379</v>
      </c>
      <c r="AJ3">
        <v>116.74999999999999</v>
      </c>
      <c r="AK3" t="e">
        <v>#DIV/0!</v>
      </c>
      <c r="AL3" s="1">
        <f t="shared" si="0"/>
        <v>-0.17576421706275819</v>
      </c>
      <c r="AM3" s="1">
        <f t="shared" si="1"/>
        <v>-0.23242532725363113</v>
      </c>
      <c r="AN3" s="1">
        <f t="shared" si="2"/>
        <v>-0.30876483874802568</v>
      </c>
      <c r="AO3" s="1">
        <f t="shared" si="3"/>
        <v>0.38822477542170042</v>
      </c>
      <c r="AP3" s="1">
        <f t="shared" si="4"/>
        <v>0.1062302791794711</v>
      </c>
    </row>
    <row r="4" spans="1:42">
      <c r="A4" s="6" t="s">
        <v>75</v>
      </c>
      <c r="B4">
        <v>0.34799999999999998</v>
      </c>
      <c r="C4">
        <v>0.25</v>
      </c>
      <c r="D4">
        <v>0.108</v>
      </c>
      <c r="E4">
        <v>0.30099999999999999</v>
      </c>
      <c r="F4">
        <v>-0.123</v>
      </c>
      <c r="G4">
        <v>-0.129</v>
      </c>
      <c r="H4">
        <v>-9.4000000000000014E-2</v>
      </c>
      <c r="I4">
        <v>0.123</v>
      </c>
      <c r="J4">
        <v>-0.26114649681528662</v>
      </c>
      <c r="K4">
        <v>-0.34036939313984171</v>
      </c>
      <c r="L4">
        <v>-0.46534653465346537</v>
      </c>
      <c r="M4">
        <v>0.6910112359550562</v>
      </c>
      <c r="N4">
        <v>0.81200000000000006</v>
      </c>
      <c r="O4">
        <v>0.79700000000000004</v>
      </c>
      <c r="P4">
        <v>0.56200000000000006</v>
      </c>
      <c r="Q4">
        <v>0.79</v>
      </c>
      <c r="R4">
        <v>-2.4999999999999911E-2</v>
      </c>
      <c r="S4">
        <v>-2.6999999999999913E-2</v>
      </c>
      <c r="T4">
        <v>-2.0999999999999908E-2</v>
      </c>
      <c r="U4">
        <v>-8.0000000000000071E-3</v>
      </c>
      <c r="V4">
        <v>-2.9868578255674925E-2</v>
      </c>
      <c r="W4">
        <v>-3.2766990291262031E-2</v>
      </c>
      <c r="X4">
        <v>-3.6020583190394355E-2</v>
      </c>
      <c r="Y4">
        <v>-1.0025062656641612E-2</v>
      </c>
      <c r="Z4">
        <v>0.81299999999999994</v>
      </c>
      <c r="AA4">
        <v>0.86199999999999999</v>
      </c>
      <c r="AB4">
        <v>0.48099999999999998</v>
      </c>
      <c r="AC4">
        <v>0.81100000000000005</v>
      </c>
      <c r="AD4">
        <v>0.75299999999999989</v>
      </c>
      <c r="AE4">
        <v>0.82499999999999996</v>
      </c>
      <c r="AF4">
        <v>0.47699999999999998</v>
      </c>
      <c r="AG4">
        <v>0.81100000000000005</v>
      </c>
      <c r="AH4">
        <v>12.549999999999999</v>
      </c>
      <c r="AI4">
        <v>22.297297297297298</v>
      </c>
      <c r="AJ4">
        <v>119.24999999999999</v>
      </c>
      <c r="AK4" t="e">
        <v>#DIV/0!</v>
      </c>
      <c r="AL4" s="1">
        <f t="shared" si="0"/>
        <v>-0.14550753753548076</v>
      </c>
      <c r="AM4" s="1">
        <f t="shared" si="1"/>
        <v>-0.18656819171555186</v>
      </c>
      <c r="AN4" s="1">
        <f t="shared" si="2"/>
        <v>-0.25068355892192984</v>
      </c>
      <c r="AO4" s="1">
        <f t="shared" si="3"/>
        <v>0.3404930866492073</v>
      </c>
      <c r="AP4" s="1">
        <f t="shared" si="4"/>
        <v>9.7492774556863268E-2</v>
      </c>
    </row>
    <row r="5" spans="1:42">
      <c r="A5" t="s">
        <v>117</v>
      </c>
      <c r="B5">
        <v>0.32400000000000001</v>
      </c>
      <c r="C5">
        <v>0.23200000000000001</v>
      </c>
      <c r="D5">
        <v>9.0999999999999998E-2</v>
      </c>
      <c r="E5">
        <v>0.312</v>
      </c>
      <c r="F5">
        <v>-0.14699999999999996</v>
      </c>
      <c r="G5">
        <v>-0.14699999999999999</v>
      </c>
      <c r="H5">
        <v>-0.11100000000000002</v>
      </c>
      <c r="I5">
        <v>0.13400000000000001</v>
      </c>
      <c r="J5">
        <v>-0.31210191082802541</v>
      </c>
      <c r="K5">
        <v>-0.38786279683377306</v>
      </c>
      <c r="L5">
        <v>-0.54950495049504955</v>
      </c>
      <c r="M5">
        <v>0.75280898876404501</v>
      </c>
      <c r="N5">
        <v>0.80400000000000005</v>
      </c>
      <c r="O5">
        <v>0.78800000000000003</v>
      </c>
      <c r="P5">
        <v>0.54300000000000004</v>
      </c>
      <c r="Q5">
        <v>0.78</v>
      </c>
      <c r="R5">
        <v>-3.2999999999999918E-2</v>
      </c>
      <c r="S5">
        <v>-3.5999999999999921E-2</v>
      </c>
      <c r="T5">
        <v>-3.9999999999999925E-2</v>
      </c>
      <c r="U5">
        <v>-1.8000000000000016E-2</v>
      </c>
      <c r="V5">
        <v>-3.9426523297490947E-2</v>
      </c>
      <c r="W5">
        <v>-4.3689320388349419E-2</v>
      </c>
      <c r="X5">
        <v>-6.8610634648370375E-2</v>
      </c>
      <c r="Y5">
        <v>-2.2556390977443629E-2</v>
      </c>
      <c r="Z5">
        <v>0.752</v>
      </c>
      <c r="AA5">
        <v>0.81200000000000006</v>
      </c>
      <c r="AB5">
        <v>0.435</v>
      </c>
      <c r="AC5">
        <v>0.77</v>
      </c>
      <c r="AD5">
        <v>0.69199999999999995</v>
      </c>
      <c r="AE5">
        <v>0.77500000000000002</v>
      </c>
      <c r="AF5">
        <v>0.43099999999999999</v>
      </c>
      <c r="AG5">
        <v>0.77</v>
      </c>
      <c r="AH5">
        <v>11.533333333333333</v>
      </c>
      <c r="AI5">
        <v>20.945945945945947</v>
      </c>
      <c r="AJ5">
        <v>107.75</v>
      </c>
      <c r="AK5" t="e">
        <v>#DIV/0!</v>
      </c>
      <c r="AL5" s="1">
        <f t="shared" si="0"/>
        <v>-0.17576421706275819</v>
      </c>
      <c r="AM5" s="1">
        <f t="shared" si="1"/>
        <v>-0.21577605861106125</v>
      </c>
      <c r="AN5" s="1">
        <f t="shared" si="2"/>
        <v>-0.30905779257170995</v>
      </c>
      <c r="AO5" s="1">
        <f t="shared" si="3"/>
        <v>0.36512629889330067</v>
      </c>
      <c r="AP5" s="1">
        <f t="shared" si="4"/>
        <v>9.4681040915271256E-2</v>
      </c>
    </row>
    <row r="6" spans="1:42">
      <c r="A6" t="s">
        <v>67</v>
      </c>
      <c r="B6">
        <v>0.32100000000000001</v>
      </c>
      <c r="C6">
        <v>0.22</v>
      </c>
      <c r="D6">
        <v>8.8999999999999996E-2</v>
      </c>
      <c r="E6">
        <v>0.30599999999999999</v>
      </c>
      <c r="F6">
        <v>-0.14999999999999997</v>
      </c>
      <c r="G6">
        <v>-0.159</v>
      </c>
      <c r="H6">
        <v>-0.11300000000000002</v>
      </c>
      <c r="I6">
        <v>0.128</v>
      </c>
      <c r="J6">
        <v>-0.31847133757961776</v>
      </c>
      <c r="K6">
        <v>-0.41952506596306066</v>
      </c>
      <c r="L6">
        <v>-0.55940594059405946</v>
      </c>
      <c r="M6">
        <v>0.71910112359550571</v>
      </c>
      <c r="N6">
        <v>0.80300000000000005</v>
      </c>
      <c r="O6">
        <v>0.79300000000000004</v>
      </c>
      <c r="P6">
        <v>0.55400000000000005</v>
      </c>
      <c r="Q6">
        <v>0.78300000000000003</v>
      </c>
      <c r="R6">
        <v>-3.3999999999999919E-2</v>
      </c>
      <c r="S6">
        <v>-3.0999999999999917E-2</v>
      </c>
      <c r="T6">
        <v>-2.8999999999999915E-2</v>
      </c>
      <c r="U6">
        <v>-1.5000000000000013E-2</v>
      </c>
      <c r="V6">
        <v>-4.0621266427717947E-2</v>
      </c>
      <c r="W6">
        <v>-3.7621359223300871E-2</v>
      </c>
      <c r="X6">
        <v>-4.9742710120068465E-2</v>
      </c>
      <c r="Y6">
        <v>-1.8796992481203024E-2</v>
      </c>
      <c r="Z6">
        <v>0.81799999999999995</v>
      </c>
      <c r="AA6">
        <v>0.89100000000000001</v>
      </c>
      <c r="AB6">
        <v>0.48899999999999999</v>
      </c>
      <c r="AC6">
        <v>0.80800000000000005</v>
      </c>
      <c r="AD6">
        <v>0.75800000000000001</v>
      </c>
      <c r="AE6">
        <v>0.85399999999999998</v>
      </c>
      <c r="AF6">
        <v>0.48499999999999999</v>
      </c>
      <c r="AG6">
        <v>0.80800000000000005</v>
      </c>
      <c r="AH6">
        <v>12.633333333333335</v>
      </c>
      <c r="AI6">
        <v>23.081081081081081</v>
      </c>
      <c r="AJ6">
        <v>121.25</v>
      </c>
      <c r="AK6" t="e">
        <v>#DIV/0!</v>
      </c>
      <c r="AL6" s="1">
        <f t="shared" si="0"/>
        <v>-0.17954630200366786</v>
      </c>
      <c r="AM6" s="1">
        <f t="shared" si="1"/>
        <v>-0.22857321259318075</v>
      </c>
      <c r="AN6" s="1">
        <f t="shared" si="2"/>
        <v>-0.30457432535706397</v>
      </c>
      <c r="AO6" s="1">
        <f t="shared" si="3"/>
        <v>0.35015206555715134</v>
      </c>
      <c r="AP6" s="1">
        <f t="shared" si="4"/>
        <v>8.5302881776741737E-2</v>
      </c>
    </row>
    <row r="7" spans="1:42">
      <c r="A7" t="s">
        <v>123</v>
      </c>
      <c r="B7">
        <v>0.32300000000000001</v>
      </c>
      <c r="C7">
        <v>0.23100000000000001</v>
      </c>
      <c r="D7">
        <v>9.1999999999999998E-2</v>
      </c>
      <c r="E7">
        <v>0.30499999999999999</v>
      </c>
      <c r="F7">
        <v>-0.14799999999999996</v>
      </c>
      <c r="G7">
        <v>-0.14799999999999999</v>
      </c>
      <c r="H7">
        <v>-0.11000000000000001</v>
      </c>
      <c r="I7">
        <v>0.127</v>
      </c>
      <c r="J7">
        <v>-0.31422505307855619</v>
      </c>
      <c r="K7">
        <v>-0.39050131926121368</v>
      </c>
      <c r="L7">
        <v>-0.54455445544554459</v>
      </c>
      <c r="M7">
        <v>0.71348314606741581</v>
      </c>
      <c r="N7">
        <v>0.80500000000000005</v>
      </c>
      <c r="O7">
        <v>0.78800000000000003</v>
      </c>
      <c r="P7">
        <v>0.54300000000000004</v>
      </c>
      <c r="Q7">
        <v>0.78</v>
      </c>
      <c r="R7">
        <v>-3.1999999999999917E-2</v>
      </c>
      <c r="S7">
        <v>-3.5999999999999921E-2</v>
      </c>
      <c r="T7">
        <v>-3.9999999999999925E-2</v>
      </c>
      <c r="U7">
        <v>-1.8000000000000016E-2</v>
      </c>
      <c r="V7">
        <v>-3.8231780167263939E-2</v>
      </c>
      <c r="W7">
        <v>-4.3689320388349419E-2</v>
      </c>
      <c r="X7">
        <v>-6.8610634648370375E-2</v>
      </c>
      <c r="Y7">
        <v>-2.2556390977443629E-2</v>
      </c>
      <c r="Z7">
        <v>0.76100000000000001</v>
      </c>
      <c r="AA7">
        <v>0.81</v>
      </c>
      <c r="AB7">
        <v>0.436</v>
      </c>
      <c r="AC7">
        <v>0.78</v>
      </c>
      <c r="AD7">
        <v>0.70100000000000007</v>
      </c>
      <c r="AE7">
        <v>0.77300000000000002</v>
      </c>
      <c r="AF7">
        <v>0.432</v>
      </c>
      <c r="AG7">
        <v>0.78</v>
      </c>
      <c r="AH7">
        <v>11.683333333333335</v>
      </c>
      <c r="AI7">
        <v>20.891891891891895</v>
      </c>
      <c r="AJ7">
        <v>108</v>
      </c>
      <c r="AK7" t="e">
        <v>#DIV/0!</v>
      </c>
      <c r="AL7" s="1">
        <f t="shared" si="0"/>
        <v>-0.17622841662291006</v>
      </c>
      <c r="AM7" s="1">
        <f t="shared" si="1"/>
        <v>-0.21709531982478156</v>
      </c>
      <c r="AN7" s="1">
        <f t="shared" si="2"/>
        <v>-0.30658254504695748</v>
      </c>
      <c r="AO7" s="1">
        <f t="shared" si="3"/>
        <v>0.34546337754498607</v>
      </c>
      <c r="AP7" s="1">
        <f t="shared" si="4"/>
        <v>8.4617480461038022E-2</v>
      </c>
    </row>
    <row r="8" spans="1:42">
      <c r="A8" t="s">
        <v>113</v>
      </c>
      <c r="B8">
        <v>0.31900000000000001</v>
      </c>
      <c r="C8">
        <v>0.21299999999999999</v>
      </c>
      <c r="D8">
        <v>7.8E-2</v>
      </c>
      <c r="E8">
        <v>0.318</v>
      </c>
      <c r="F8">
        <v>-0.15199999999999997</v>
      </c>
      <c r="G8">
        <v>-0.16600000000000001</v>
      </c>
      <c r="H8">
        <v>-0.12400000000000001</v>
      </c>
      <c r="I8">
        <v>0.14000000000000001</v>
      </c>
      <c r="J8">
        <v>-0.32271762208067933</v>
      </c>
      <c r="K8">
        <v>-0.43799472295514513</v>
      </c>
      <c r="L8">
        <v>-0.61386138613861385</v>
      </c>
      <c r="M8">
        <v>0.78651685393258441</v>
      </c>
      <c r="N8">
        <v>0.76500000000000001</v>
      </c>
      <c r="O8">
        <v>0.753</v>
      </c>
      <c r="P8">
        <v>0.50600000000000001</v>
      </c>
      <c r="Q8">
        <v>0.72299999999999998</v>
      </c>
      <c r="R8">
        <v>-7.1999999999999953E-2</v>
      </c>
      <c r="S8">
        <v>-7.0999999999999952E-2</v>
      </c>
      <c r="T8">
        <v>-7.6999999999999957E-2</v>
      </c>
      <c r="U8">
        <v>-7.5000000000000067E-2</v>
      </c>
      <c r="V8">
        <v>-8.6021505376344037E-2</v>
      </c>
      <c r="W8">
        <v>-8.6165048543689268E-2</v>
      </c>
      <c r="X8">
        <v>-0.13207547169811315</v>
      </c>
      <c r="Y8">
        <v>-9.3984962406015116E-2</v>
      </c>
      <c r="Z8">
        <v>0.92500000000000004</v>
      </c>
      <c r="AA8">
        <v>0.96199999999999997</v>
      </c>
      <c r="AB8">
        <v>0.48699999999999999</v>
      </c>
      <c r="AC8">
        <v>0.92500000000000004</v>
      </c>
      <c r="AD8">
        <v>0.86499999999999999</v>
      </c>
      <c r="AE8">
        <v>0.92499999999999993</v>
      </c>
      <c r="AF8">
        <v>0.48299999999999998</v>
      </c>
      <c r="AG8">
        <v>0.92500000000000004</v>
      </c>
      <c r="AH8">
        <v>14.416666666666668</v>
      </c>
      <c r="AI8">
        <v>25</v>
      </c>
      <c r="AJ8">
        <v>120.75</v>
      </c>
      <c r="AK8" t="e">
        <v>#DIV/0!</v>
      </c>
      <c r="AL8" s="1">
        <f t="shared" si="0"/>
        <v>-0.20436956372851167</v>
      </c>
      <c r="AM8" s="1">
        <f t="shared" si="1"/>
        <v>-0.26207988574941721</v>
      </c>
      <c r="AN8" s="1">
        <f t="shared" si="2"/>
        <v>-0.37296842891836351</v>
      </c>
      <c r="AO8" s="1">
        <f t="shared" si="3"/>
        <v>0.34626594576328462</v>
      </c>
      <c r="AP8" s="1">
        <f t="shared" si="4"/>
        <v>7.0948191017386489E-2</v>
      </c>
    </row>
    <row r="9" spans="1:42">
      <c r="A9" t="s">
        <v>61</v>
      </c>
      <c r="B9">
        <v>0.32</v>
      </c>
      <c r="C9">
        <v>0.23699999999999999</v>
      </c>
      <c r="D9">
        <v>8.5000000000000006E-2</v>
      </c>
      <c r="E9">
        <v>0.30399999999999999</v>
      </c>
      <c r="F9">
        <v>-0.15099999999999997</v>
      </c>
      <c r="G9">
        <v>-0.14200000000000002</v>
      </c>
      <c r="H9">
        <v>-0.11700000000000001</v>
      </c>
      <c r="I9">
        <v>0.126</v>
      </c>
      <c r="J9">
        <v>-0.32059447983014855</v>
      </c>
      <c r="K9">
        <v>-0.37467018469656993</v>
      </c>
      <c r="L9">
        <v>-0.57920792079207917</v>
      </c>
      <c r="M9">
        <v>0.70786516853932591</v>
      </c>
      <c r="N9">
        <v>0.77</v>
      </c>
      <c r="O9">
        <v>0.75900000000000001</v>
      </c>
      <c r="P9">
        <v>0.52100000000000002</v>
      </c>
      <c r="Q9">
        <v>0.751</v>
      </c>
      <c r="R9">
        <v>-6.6999999999999948E-2</v>
      </c>
      <c r="S9">
        <v>-6.4999999999999947E-2</v>
      </c>
      <c r="T9">
        <v>-6.1999999999999944E-2</v>
      </c>
      <c r="U9">
        <v>-4.7000000000000042E-2</v>
      </c>
      <c r="V9">
        <v>-8.0047789725209026E-2</v>
      </c>
      <c r="W9">
        <v>-7.8883495145631005E-2</v>
      </c>
      <c r="X9">
        <v>-0.10634648370497418</v>
      </c>
      <c r="Y9">
        <v>-5.8897243107769476E-2</v>
      </c>
      <c r="Z9">
        <v>0.96299999999999997</v>
      </c>
      <c r="AA9">
        <v>0.98399999999999999</v>
      </c>
      <c r="AB9">
        <v>0.55200000000000005</v>
      </c>
      <c r="AC9">
        <v>0.96299999999999997</v>
      </c>
      <c r="AD9">
        <v>0.90300000000000002</v>
      </c>
      <c r="AE9">
        <v>0.94699999999999995</v>
      </c>
      <c r="AF9">
        <v>0.54800000000000004</v>
      </c>
      <c r="AG9">
        <v>0.96299999999999997</v>
      </c>
      <c r="AH9">
        <v>15.05</v>
      </c>
      <c r="AI9">
        <v>25.594594594594593</v>
      </c>
      <c r="AJ9">
        <v>137</v>
      </c>
      <c r="AK9" t="e">
        <v>#DIV/0!</v>
      </c>
      <c r="AL9" s="1">
        <f t="shared" si="0"/>
        <v>-0.20032113477767879</v>
      </c>
      <c r="AM9" s="1">
        <f t="shared" si="1"/>
        <v>-0.22677683992110048</v>
      </c>
      <c r="AN9" s="1">
        <f t="shared" si="2"/>
        <v>-0.3427772022485267</v>
      </c>
      <c r="AO9" s="1">
        <f t="shared" si="3"/>
        <v>0.32448396271577823</v>
      </c>
      <c r="AP9" s="1">
        <f t="shared" si="4"/>
        <v>6.208141396904971E-2</v>
      </c>
    </row>
    <row r="10" spans="1:42">
      <c r="A10" t="s">
        <v>59</v>
      </c>
      <c r="B10">
        <v>0.28000000000000003</v>
      </c>
      <c r="C10">
        <v>0.191</v>
      </c>
      <c r="D10">
        <v>8.1000000000000003E-2</v>
      </c>
      <c r="E10">
        <v>0.29899999999999999</v>
      </c>
      <c r="F10">
        <v>-0.19099999999999995</v>
      </c>
      <c r="G10">
        <v>-0.188</v>
      </c>
      <c r="H10">
        <v>-0.12100000000000001</v>
      </c>
      <c r="I10">
        <v>0.121</v>
      </c>
      <c r="J10">
        <v>-0.40552016985137995</v>
      </c>
      <c r="K10">
        <v>-0.49604221635883905</v>
      </c>
      <c r="L10">
        <v>-0.59900990099009899</v>
      </c>
      <c r="M10">
        <v>0.6797752808988764</v>
      </c>
      <c r="N10">
        <v>0.81</v>
      </c>
      <c r="O10">
        <v>0.79700000000000004</v>
      </c>
      <c r="P10">
        <v>0.56000000000000005</v>
      </c>
      <c r="Q10">
        <v>0.78700000000000003</v>
      </c>
      <c r="R10">
        <v>-2.6999999999999913E-2</v>
      </c>
      <c r="S10">
        <v>-2.6999999999999913E-2</v>
      </c>
      <c r="T10">
        <v>-2.2999999999999909E-2</v>
      </c>
      <c r="U10">
        <v>-1.100000000000001E-2</v>
      </c>
      <c r="V10">
        <v>-3.2258064516128927E-2</v>
      </c>
      <c r="W10">
        <v>-3.2766990291262031E-2</v>
      </c>
      <c r="X10">
        <v>-3.9451114922812884E-2</v>
      </c>
      <c r="Y10">
        <v>-1.3784461152882217E-2</v>
      </c>
      <c r="Z10">
        <v>0.872</v>
      </c>
      <c r="AA10">
        <v>0.92600000000000005</v>
      </c>
      <c r="AB10">
        <v>0.51500000000000001</v>
      </c>
      <c r="AC10">
        <v>0.86299999999999999</v>
      </c>
      <c r="AD10">
        <v>0.81200000000000006</v>
      </c>
      <c r="AE10">
        <v>0.88900000000000001</v>
      </c>
      <c r="AF10">
        <v>0.51100000000000001</v>
      </c>
      <c r="AG10">
        <v>0.86299999999999999</v>
      </c>
      <c r="AH10">
        <v>13.533333333333335</v>
      </c>
      <c r="AI10">
        <v>24.027027027027028</v>
      </c>
      <c r="AJ10">
        <v>127.75</v>
      </c>
      <c r="AK10" t="e">
        <v>#DIV/0!</v>
      </c>
      <c r="AL10" s="1">
        <f t="shared" si="0"/>
        <v>-0.21888911718375445</v>
      </c>
      <c r="AM10" s="1">
        <f t="shared" si="1"/>
        <v>-0.26440460332505056</v>
      </c>
      <c r="AN10" s="1">
        <f t="shared" si="2"/>
        <v>-0.31923050795645591</v>
      </c>
      <c r="AO10" s="1">
        <f t="shared" si="3"/>
        <v>0.33299540987299708</v>
      </c>
      <c r="AP10" s="1">
        <f t="shared" si="4"/>
        <v>5.705314634462133E-2</v>
      </c>
    </row>
    <row r="11" spans="1:42">
      <c r="A11" t="s">
        <v>69</v>
      </c>
      <c r="B11">
        <v>0.34</v>
      </c>
      <c r="C11">
        <v>0.248</v>
      </c>
      <c r="D11">
        <v>8.5999999999999993E-2</v>
      </c>
      <c r="E11">
        <v>0.30299999999999999</v>
      </c>
      <c r="F11">
        <v>-0.13099999999999995</v>
      </c>
      <c r="G11">
        <v>-0.13100000000000001</v>
      </c>
      <c r="H11">
        <v>-0.11600000000000002</v>
      </c>
      <c r="I11">
        <v>0.125</v>
      </c>
      <c r="J11">
        <v>-0.27813163481953279</v>
      </c>
      <c r="K11">
        <v>-0.34564643799472294</v>
      </c>
      <c r="L11">
        <v>-0.57425742574257432</v>
      </c>
      <c r="M11">
        <v>0.702247191011236</v>
      </c>
      <c r="N11">
        <v>0.747</v>
      </c>
      <c r="O11">
        <v>0.73</v>
      </c>
      <c r="P11">
        <v>0.49299999999999999</v>
      </c>
      <c r="Q11">
        <v>0.72699999999999998</v>
      </c>
      <c r="R11">
        <v>-8.9999999999999969E-2</v>
      </c>
      <c r="S11">
        <v>-9.3999999999999972E-2</v>
      </c>
      <c r="T11">
        <v>-8.9999999999999969E-2</v>
      </c>
      <c r="U11">
        <v>-7.1000000000000063E-2</v>
      </c>
      <c r="V11">
        <v>-0.10752688172043008</v>
      </c>
      <c r="W11">
        <v>-0.1140776699029126</v>
      </c>
      <c r="X11">
        <v>-0.15437392795883356</v>
      </c>
      <c r="Y11">
        <v>-8.8972431077694314E-2</v>
      </c>
      <c r="Z11">
        <v>0.96099999999999997</v>
      </c>
      <c r="AA11">
        <v>0.97799999999999998</v>
      </c>
      <c r="AB11">
        <v>0.56100000000000005</v>
      </c>
      <c r="AC11">
        <v>0.96099999999999997</v>
      </c>
      <c r="AD11">
        <v>0.90100000000000002</v>
      </c>
      <c r="AE11">
        <v>0.94099999999999995</v>
      </c>
      <c r="AF11">
        <v>0.55700000000000005</v>
      </c>
      <c r="AG11">
        <v>0.96099999999999997</v>
      </c>
      <c r="AH11">
        <v>15.016666666666667</v>
      </c>
      <c r="AI11">
        <v>25.432432432432432</v>
      </c>
      <c r="AJ11">
        <v>139.25</v>
      </c>
      <c r="AK11" t="e">
        <v>#DIV/0!</v>
      </c>
      <c r="AL11" s="1">
        <f t="shared" si="0"/>
        <v>-0.19282925826998143</v>
      </c>
      <c r="AM11" s="1">
        <f t="shared" si="1"/>
        <v>-0.22986205394881776</v>
      </c>
      <c r="AN11" s="1">
        <f t="shared" si="2"/>
        <v>-0.36431567685070393</v>
      </c>
      <c r="AO11" s="1">
        <f t="shared" si="3"/>
        <v>0.30663737996677087</v>
      </c>
      <c r="AP11" s="1">
        <f t="shared" si="4"/>
        <v>5.6904060848394708E-2</v>
      </c>
    </row>
    <row r="12" spans="1:42">
      <c r="A12" t="s">
        <v>73</v>
      </c>
      <c r="B12">
        <v>0.30199999999999999</v>
      </c>
      <c r="C12">
        <v>0.23200000000000001</v>
      </c>
      <c r="D12">
        <v>9.7000000000000003E-2</v>
      </c>
      <c r="E12">
        <v>0.29799999999999999</v>
      </c>
      <c r="F12">
        <v>-0.16899999999999998</v>
      </c>
      <c r="G12">
        <v>-0.14699999999999999</v>
      </c>
      <c r="H12">
        <v>-0.10500000000000001</v>
      </c>
      <c r="I12">
        <v>0.12</v>
      </c>
      <c r="J12">
        <v>-0.35881104033970274</v>
      </c>
      <c r="K12">
        <v>-0.38786279683377306</v>
      </c>
      <c r="L12">
        <v>-0.51980198019801982</v>
      </c>
      <c r="M12">
        <v>0.6741573033707865</v>
      </c>
      <c r="N12">
        <v>0.78800000000000003</v>
      </c>
      <c r="O12">
        <v>0.77600000000000002</v>
      </c>
      <c r="P12">
        <v>0.55000000000000004</v>
      </c>
      <c r="Q12">
        <v>0.76200000000000001</v>
      </c>
      <c r="R12">
        <v>-4.8999999999999932E-2</v>
      </c>
      <c r="S12">
        <v>-4.7999999999999932E-2</v>
      </c>
      <c r="T12">
        <v>-3.2999999999999918E-2</v>
      </c>
      <c r="U12">
        <v>-3.6000000000000032E-2</v>
      </c>
      <c r="V12">
        <v>-5.8542413381122982E-2</v>
      </c>
      <c r="W12">
        <v>-5.8252427184465938E-2</v>
      </c>
      <c r="X12">
        <v>-5.6603773584905523E-2</v>
      </c>
      <c r="Y12">
        <v>-4.5112781954887257E-2</v>
      </c>
      <c r="Z12">
        <v>0.94599999999999995</v>
      </c>
      <c r="AA12">
        <v>0.98399999999999999</v>
      </c>
      <c r="AB12">
        <v>0.56999999999999995</v>
      </c>
      <c r="AC12">
        <v>0.93899999999999995</v>
      </c>
      <c r="AD12">
        <v>0.8859999999999999</v>
      </c>
      <c r="AE12">
        <v>0.94699999999999995</v>
      </c>
      <c r="AF12">
        <v>0.56599999999999995</v>
      </c>
      <c r="AG12">
        <v>0.93899999999999995</v>
      </c>
      <c r="AH12">
        <v>14.766666666666666</v>
      </c>
      <c r="AI12">
        <v>25.594594594594593</v>
      </c>
      <c r="AJ12">
        <v>141.49999999999997</v>
      </c>
      <c r="AK12" t="e">
        <v>#DIV/0!</v>
      </c>
      <c r="AL12" s="1">
        <f t="shared" si="0"/>
        <v>-0.20867672686041286</v>
      </c>
      <c r="AM12" s="1">
        <f t="shared" si="1"/>
        <v>-0.2230576120091195</v>
      </c>
      <c r="AN12" s="1">
        <f t="shared" si="2"/>
        <v>-0.28820287689146268</v>
      </c>
      <c r="AO12" s="1">
        <f t="shared" si="3"/>
        <v>0.31452226070794964</v>
      </c>
      <c r="AP12" s="1">
        <f t="shared" si="4"/>
        <v>5.2922766923768377E-2</v>
      </c>
    </row>
    <row r="13" spans="1:42">
      <c r="A13" t="s">
        <v>98</v>
      </c>
      <c r="B13">
        <v>0.246</v>
      </c>
      <c r="C13">
        <v>0.184</v>
      </c>
      <c r="D13">
        <v>7.4999999999999997E-2</v>
      </c>
      <c r="E13">
        <v>0.31</v>
      </c>
      <c r="F13">
        <v>-0.22499999999999998</v>
      </c>
      <c r="G13">
        <v>-0.19500000000000001</v>
      </c>
      <c r="H13">
        <v>-0.127</v>
      </c>
      <c r="I13">
        <v>0.13200000000000001</v>
      </c>
      <c r="J13">
        <v>-0.47770700636942676</v>
      </c>
      <c r="K13">
        <v>-0.51451187335092352</v>
      </c>
      <c r="L13">
        <v>-0.62871287128712872</v>
      </c>
      <c r="M13">
        <v>0.7415730337078652</v>
      </c>
      <c r="N13">
        <v>0.78400000000000003</v>
      </c>
      <c r="O13">
        <v>0.76100000000000001</v>
      </c>
      <c r="P13">
        <v>0.53</v>
      </c>
      <c r="Q13">
        <v>0.75700000000000001</v>
      </c>
      <c r="R13">
        <v>-5.2999999999999936E-2</v>
      </c>
      <c r="S13">
        <v>-6.2999999999999945E-2</v>
      </c>
      <c r="T13">
        <v>-5.2999999999999936E-2</v>
      </c>
      <c r="U13">
        <v>-4.1000000000000036E-2</v>
      </c>
      <c r="V13">
        <v>-6.3321385902030985E-2</v>
      </c>
      <c r="W13">
        <v>-7.6456310679611589E-2</v>
      </c>
      <c r="X13">
        <v>-9.0909090909090801E-2</v>
      </c>
      <c r="Y13">
        <v>-5.1378446115288266E-2</v>
      </c>
      <c r="Z13">
        <v>0.97699999999999998</v>
      </c>
      <c r="AA13">
        <v>0.99399999999999999</v>
      </c>
      <c r="AB13">
        <v>0.68700000000000006</v>
      </c>
      <c r="AC13">
        <v>0.96799999999999997</v>
      </c>
      <c r="AD13">
        <v>0.91700000000000004</v>
      </c>
      <c r="AE13">
        <v>0.95699999999999996</v>
      </c>
      <c r="AF13">
        <v>0.68300000000000005</v>
      </c>
      <c r="AG13">
        <v>0.96799999999999997</v>
      </c>
      <c r="AH13">
        <v>15.283333333333335</v>
      </c>
      <c r="AI13">
        <v>25.864864864864867</v>
      </c>
      <c r="AJ13">
        <v>170.75</v>
      </c>
      <c r="AK13" t="e">
        <v>#DIV/0!</v>
      </c>
      <c r="AL13" s="1">
        <f t="shared" si="0"/>
        <v>-0.27051419613572886</v>
      </c>
      <c r="AM13" s="1">
        <f t="shared" si="1"/>
        <v>-0.29548409201526754</v>
      </c>
      <c r="AN13" s="1">
        <f t="shared" si="2"/>
        <v>-0.35981098109810977</v>
      </c>
      <c r="AO13" s="1">
        <f t="shared" si="3"/>
        <v>0.34509729379628845</v>
      </c>
      <c r="AP13" s="1">
        <f t="shared" si="4"/>
        <v>3.7291548830279797E-2</v>
      </c>
    </row>
    <row r="14" spans="1:42">
      <c r="A14" t="s">
        <v>102</v>
      </c>
      <c r="B14">
        <v>0.246</v>
      </c>
      <c r="C14">
        <v>0.184</v>
      </c>
      <c r="D14">
        <v>7.4999999999999997E-2</v>
      </c>
      <c r="E14">
        <v>0.31</v>
      </c>
      <c r="F14">
        <v>-0.22499999999999998</v>
      </c>
      <c r="G14">
        <v>-0.19500000000000001</v>
      </c>
      <c r="H14">
        <v>-0.127</v>
      </c>
      <c r="I14">
        <v>0.13200000000000001</v>
      </c>
      <c r="J14">
        <v>-0.47770700636942676</v>
      </c>
      <c r="K14">
        <v>-0.51451187335092352</v>
      </c>
      <c r="L14">
        <v>-0.62871287128712872</v>
      </c>
      <c r="M14">
        <v>0.7415730337078652</v>
      </c>
      <c r="N14">
        <v>0.78400000000000003</v>
      </c>
      <c r="O14">
        <v>0.76100000000000001</v>
      </c>
      <c r="P14">
        <v>0.53</v>
      </c>
      <c r="Q14">
        <v>0.75700000000000001</v>
      </c>
      <c r="R14">
        <v>-5.2999999999999936E-2</v>
      </c>
      <c r="S14">
        <v>-6.2999999999999945E-2</v>
      </c>
      <c r="T14">
        <v>-5.2999999999999936E-2</v>
      </c>
      <c r="U14">
        <v>-4.1000000000000036E-2</v>
      </c>
      <c r="V14">
        <v>-6.3321385902030985E-2</v>
      </c>
      <c r="W14">
        <v>-7.6456310679611589E-2</v>
      </c>
      <c r="X14">
        <v>-9.0909090909090801E-2</v>
      </c>
      <c r="Y14">
        <v>-5.1378446115288266E-2</v>
      </c>
      <c r="Z14">
        <v>0.97699999999999998</v>
      </c>
      <c r="AA14">
        <v>0.99399999999999999</v>
      </c>
      <c r="AB14">
        <v>0.68700000000000006</v>
      </c>
      <c r="AC14">
        <v>0.96799999999999997</v>
      </c>
      <c r="AD14">
        <v>0.91700000000000004</v>
      </c>
      <c r="AE14">
        <v>0.95699999999999996</v>
      </c>
      <c r="AF14">
        <v>0.68300000000000005</v>
      </c>
      <c r="AG14">
        <v>0.96799999999999997</v>
      </c>
      <c r="AH14">
        <v>15.283333333333335</v>
      </c>
      <c r="AI14">
        <v>25.864864864864867</v>
      </c>
      <c r="AJ14">
        <v>170.75</v>
      </c>
      <c r="AK14" t="e">
        <v>#DIV/0!</v>
      </c>
      <c r="AL14" s="1">
        <f t="shared" si="0"/>
        <v>-0.27051419613572886</v>
      </c>
      <c r="AM14" s="1">
        <f t="shared" si="1"/>
        <v>-0.29548409201526754</v>
      </c>
      <c r="AN14" s="1">
        <f t="shared" si="2"/>
        <v>-0.35981098109810977</v>
      </c>
      <c r="AO14" s="1">
        <f t="shared" si="3"/>
        <v>0.34509729379628845</v>
      </c>
      <c r="AP14" s="1">
        <f t="shared" si="4"/>
        <v>3.7291548830279797E-2</v>
      </c>
    </row>
    <row r="15" spans="1:42">
      <c r="A15" t="s">
        <v>65</v>
      </c>
      <c r="B15">
        <v>0.29799999999999999</v>
      </c>
      <c r="C15">
        <v>0.22700000000000001</v>
      </c>
      <c r="D15">
        <v>8.2000000000000003E-2</v>
      </c>
      <c r="E15">
        <v>0.29099999999999998</v>
      </c>
      <c r="F15">
        <v>-0.17299999999999999</v>
      </c>
      <c r="G15">
        <v>-0.152</v>
      </c>
      <c r="H15">
        <v>-0.12000000000000001</v>
      </c>
      <c r="I15">
        <v>0.11299999999999999</v>
      </c>
      <c r="J15">
        <v>-0.36730360934182588</v>
      </c>
      <c r="K15">
        <v>-0.40105540897097625</v>
      </c>
      <c r="L15">
        <v>-0.59405940594059403</v>
      </c>
      <c r="M15">
        <v>0.6348314606741573</v>
      </c>
      <c r="N15">
        <v>0.77200000000000002</v>
      </c>
      <c r="O15">
        <v>0.75600000000000001</v>
      </c>
      <c r="P15">
        <v>0.51900000000000002</v>
      </c>
      <c r="Q15">
        <v>0.751</v>
      </c>
      <c r="R15">
        <v>-6.4999999999999947E-2</v>
      </c>
      <c r="S15">
        <v>-6.7999999999999949E-2</v>
      </c>
      <c r="T15">
        <v>-6.3999999999999946E-2</v>
      </c>
      <c r="U15">
        <v>-4.7000000000000042E-2</v>
      </c>
      <c r="V15">
        <v>-7.765830346475501E-2</v>
      </c>
      <c r="W15">
        <v>-8.2524271844660144E-2</v>
      </c>
      <c r="X15">
        <v>-0.10977701543739271</v>
      </c>
      <c r="Y15">
        <v>-5.8897243107769476E-2</v>
      </c>
      <c r="Z15">
        <v>0.96899999999999997</v>
      </c>
      <c r="AA15">
        <v>0.99099999999999999</v>
      </c>
      <c r="AB15">
        <v>0.52600000000000002</v>
      </c>
      <c r="AC15">
        <v>0.96899999999999997</v>
      </c>
      <c r="AD15">
        <v>0.90900000000000003</v>
      </c>
      <c r="AE15">
        <v>0.95399999999999996</v>
      </c>
      <c r="AF15">
        <v>0.52200000000000002</v>
      </c>
      <c r="AG15">
        <v>0.96899999999999997</v>
      </c>
      <c r="AH15">
        <v>15.15</v>
      </c>
      <c r="AI15">
        <v>25.783783783783782</v>
      </c>
      <c r="AJ15">
        <v>130.5</v>
      </c>
      <c r="AK15" t="e">
        <v>#DIV/0!</v>
      </c>
      <c r="AL15" s="1">
        <f t="shared" si="0"/>
        <v>-0.22248095640329044</v>
      </c>
      <c r="AM15" s="1">
        <f t="shared" si="1"/>
        <v>-0.2417898404078182</v>
      </c>
      <c r="AN15" s="1">
        <f t="shared" si="2"/>
        <v>-0.35191821068899337</v>
      </c>
      <c r="AO15" s="1">
        <f t="shared" si="3"/>
        <v>0.28796710878319393</v>
      </c>
      <c r="AP15" s="1">
        <f t="shared" si="4"/>
        <v>3.2743076189951738E-2</v>
      </c>
    </row>
    <row r="16" spans="1:42">
      <c r="A16" t="s">
        <v>119</v>
      </c>
      <c r="B16">
        <v>0.308</v>
      </c>
      <c r="C16">
        <v>0.22</v>
      </c>
      <c r="D16">
        <v>7.4999999999999997E-2</v>
      </c>
      <c r="E16">
        <v>0.28499999999999998</v>
      </c>
      <c r="F16">
        <v>-0.16299999999999998</v>
      </c>
      <c r="G16">
        <v>-0.159</v>
      </c>
      <c r="H16">
        <v>-0.127</v>
      </c>
      <c r="I16">
        <v>0.10699999999999998</v>
      </c>
      <c r="J16">
        <v>-0.34607218683651803</v>
      </c>
      <c r="K16">
        <v>-0.41952506596306066</v>
      </c>
      <c r="L16">
        <v>-0.62871287128712872</v>
      </c>
      <c r="M16">
        <v>0.60112359550561789</v>
      </c>
      <c r="N16">
        <v>0.75800000000000001</v>
      </c>
      <c r="O16">
        <v>0.74299999999999999</v>
      </c>
      <c r="P16">
        <v>0.502</v>
      </c>
      <c r="Q16">
        <v>0.72499999999999998</v>
      </c>
      <c r="R16">
        <v>-7.8999999999999959E-2</v>
      </c>
      <c r="S16">
        <v>-8.0999999999999961E-2</v>
      </c>
      <c r="T16">
        <v>-8.0999999999999961E-2</v>
      </c>
      <c r="U16">
        <v>-7.3000000000000065E-2</v>
      </c>
      <c r="V16">
        <v>-9.4384707287933051E-2</v>
      </c>
      <c r="W16">
        <v>-9.8300970873786364E-2</v>
      </c>
      <c r="X16">
        <v>-0.13893653516295021</v>
      </c>
      <c r="Y16">
        <v>-9.1478696741854715E-2</v>
      </c>
      <c r="Z16">
        <v>0.92400000000000004</v>
      </c>
      <c r="AA16">
        <v>0.96299999999999997</v>
      </c>
      <c r="AB16">
        <v>0.48599999999999999</v>
      </c>
      <c r="AC16">
        <v>0.92400000000000004</v>
      </c>
      <c r="AD16">
        <v>0.8640000000000001</v>
      </c>
      <c r="AE16">
        <v>0.92599999999999993</v>
      </c>
      <c r="AF16">
        <v>0.48199999999999998</v>
      </c>
      <c r="AG16">
        <v>0.92400000000000004</v>
      </c>
      <c r="AH16">
        <v>14.400000000000002</v>
      </c>
      <c r="AI16">
        <v>25.027027027027028</v>
      </c>
      <c r="AJ16">
        <v>120.5</v>
      </c>
      <c r="AK16" t="e">
        <v>#DIV/0!</v>
      </c>
      <c r="AL16" s="1">
        <f t="shared" si="0"/>
        <v>-0.22022844706222555</v>
      </c>
      <c r="AM16" s="1">
        <f t="shared" si="1"/>
        <v>-0.25891301841842351</v>
      </c>
      <c r="AN16" s="1">
        <f t="shared" si="2"/>
        <v>-0.38382470322503948</v>
      </c>
      <c r="AO16" s="1">
        <f t="shared" si="3"/>
        <v>0.25482244938188159</v>
      </c>
      <c r="AP16" s="1">
        <f t="shared" si="4"/>
        <v>1.7297001159828025E-2</v>
      </c>
    </row>
    <row r="17" spans="1:42">
      <c r="A17" t="s">
        <v>143</v>
      </c>
      <c r="B17">
        <v>0.28699999999999998</v>
      </c>
      <c r="C17">
        <v>0.247</v>
      </c>
      <c r="D17">
        <v>0.1</v>
      </c>
      <c r="E17">
        <v>0.28699999999999998</v>
      </c>
      <c r="F17">
        <v>-0.184</v>
      </c>
      <c r="G17">
        <v>-0.13200000000000001</v>
      </c>
      <c r="H17">
        <v>-0.10200000000000001</v>
      </c>
      <c r="I17">
        <v>0.10899999999999999</v>
      </c>
      <c r="J17">
        <v>-0.39065817409766457</v>
      </c>
      <c r="K17">
        <v>-0.34828496042216361</v>
      </c>
      <c r="L17">
        <v>-0.50495049504950495</v>
      </c>
      <c r="M17">
        <v>0.61235955056179769</v>
      </c>
      <c r="N17">
        <v>0.77100000000000002</v>
      </c>
      <c r="O17">
        <v>0.74299999999999999</v>
      </c>
      <c r="P17">
        <v>0.51100000000000001</v>
      </c>
      <c r="Q17">
        <v>0.73899999999999999</v>
      </c>
      <c r="R17">
        <v>-6.5999999999999948E-2</v>
      </c>
      <c r="S17">
        <v>-8.0999999999999961E-2</v>
      </c>
      <c r="T17">
        <v>-7.1999999999999953E-2</v>
      </c>
      <c r="U17">
        <v>-5.9000000000000052E-2</v>
      </c>
      <c r="V17">
        <v>-7.8853046594982018E-2</v>
      </c>
      <c r="W17">
        <v>-9.8300970873786364E-2</v>
      </c>
      <c r="X17">
        <v>-0.12349914236706683</v>
      </c>
      <c r="Y17">
        <v>-7.3934837092731895E-2</v>
      </c>
      <c r="Z17">
        <v>0.99099999999999999</v>
      </c>
      <c r="AA17">
        <v>0.99399999999999999</v>
      </c>
      <c r="AB17">
        <v>0.66300000000000003</v>
      </c>
      <c r="AC17">
        <v>0.98199999999999998</v>
      </c>
      <c r="AD17">
        <v>0.93100000000000005</v>
      </c>
      <c r="AE17">
        <v>0.95699999999999996</v>
      </c>
      <c r="AF17">
        <v>0.65900000000000003</v>
      </c>
      <c r="AG17">
        <v>0.98199999999999998</v>
      </c>
      <c r="AH17">
        <v>15.516666666666667</v>
      </c>
      <c r="AI17">
        <v>25.864864864864867</v>
      </c>
      <c r="AJ17">
        <v>164.75</v>
      </c>
      <c r="AK17" t="e">
        <v>#DIV/0!</v>
      </c>
      <c r="AL17" s="1">
        <f t="shared" si="0"/>
        <v>-0.23475561034632331</v>
      </c>
      <c r="AM17" s="1">
        <f t="shared" si="1"/>
        <v>-0.22329296564797499</v>
      </c>
      <c r="AN17" s="1">
        <f t="shared" si="2"/>
        <v>-0.31422481870828589</v>
      </c>
      <c r="AO17" s="1">
        <f t="shared" si="3"/>
        <v>0.26921235673453292</v>
      </c>
      <c r="AP17" s="1">
        <f t="shared" si="4"/>
        <v>1.7228373194104803E-2</v>
      </c>
    </row>
    <row r="18" spans="1:42">
      <c r="A18" t="s">
        <v>137</v>
      </c>
      <c r="B18">
        <v>0.28299999999999997</v>
      </c>
      <c r="C18">
        <v>0.214</v>
      </c>
      <c r="D18">
        <v>8.8999999999999996E-2</v>
      </c>
      <c r="E18">
        <v>0.28799999999999998</v>
      </c>
      <c r="F18">
        <v>-0.188</v>
      </c>
      <c r="G18">
        <v>-0.16500000000000001</v>
      </c>
      <c r="H18">
        <v>-0.11300000000000002</v>
      </c>
      <c r="I18">
        <v>0.10999999999999999</v>
      </c>
      <c r="J18">
        <v>-0.39915074309978771</v>
      </c>
      <c r="K18">
        <v>-0.43535620052770452</v>
      </c>
      <c r="L18">
        <v>-0.55940594059405946</v>
      </c>
      <c r="M18">
        <v>0.6179775280898876</v>
      </c>
      <c r="N18">
        <v>0.76300000000000001</v>
      </c>
      <c r="O18">
        <v>0.74399999999999999</v>
      </c>
      <c r="P18">
        <v>0.51200000000000001</v>
      </c>
      <c r="Q18">
        <v>0.73699999999999999</v>
      </c>
      <c r="R18">
        <v>-7.3999999999999955E-2</v>
      </c>
      <c r="S18">
        <v>-7.999999999999996E-2</v>
      </c>
      <c r="T18">
        <v>-7.0999999999999952E-2</v>
      </c>
      <c r="U18">
        <v>-6.1000000000000054E-2</v>
      </c>
      <c r="V18">
        <v>-8.8410991636798039E-2</v>
      </c>
      <c r="W18">
        <v>-9.7087378640776656E-2</v>
      </c>
      <c r="X18">
        <v>-0.12178387650085756</v>
      </c>
      <c r="Y18">
        <v>-7.6441102756892296E-2</v>
      </c>
      <c r="Z18">
        <v>0.99099999999999999</v>
      </c>
      <c r="AA18">
        <v>0.995</v>
      </c>
      <c r="AB18">
        <v>0.66400000000000003</v>
      </c>
      <c r="AC18">
        <v>0.98199999999999998</v>
      </c>
      <c r="AD18">
        <v>0.93100000000000005</v>
      </c>
      <c r="AE18">
        <v>0.95799999999999996</v>
      </c>
      <c r="AF18">
        <v>0.66</v>
      </c>
      <c r="AG18">
        <v>0.98199999999999998</v>
      </c>
      <c r="AH18">
        <v>15.516666666666667</v>
      </c>
      <c r="AI18">
        <v>25.891891891891891</v>
      </c>
      <c r="AJ18">
        <v>165</v>
      </c>
      <c r="AK18" t="e">
        <v>#DIV/0!</v>
      </c>
      <c r="AL18" s="1">
        <f t="shared" si="0"/>
        <v>-0.24378086736829288</v>
      </c>
      <c r="AM18" s="1">
        <f t="shared" si="1"/>
        <v>-0.26622178958424059</v>
      </c>
      <c r="AN18" s="1">
        <f t="shared" si="2"/>
        <v>-0.3405949085474585</v>
      </c>
      <c r="AO18" s="1">
        <f t="shared" si="3"/>
        <v>0.27076821266649764</v>
      </c>
      <c r="AP18" s="1">
        <f t="shared" si="4"/>
        <v>1.3493672649102385E-2</v>
      </c>
    </row>
    <row r="19" spans="1:42">
      <c r="A19" t="s">
        <v>94</v>
      </c>
      <c r="B19">
        <v>0.27</v>
      </c>
      <c r="C19">
        <v>0.182</v>
      </c>
      <c r="D19">
        <v>7.5999999999999998E-2</v>
      </c>
      <c r="E19">
        <v>0.28100000000000003</v>
      </c>
      <c r="F19">
        <v>-0.20099999999999996</v>
      </c>
      <c r="G19">
        <v>-0.19700000000000001</v>
      </c>
      <c r="H19">
        <v>-0.126</v>
      </c>
      <c r="I19">
        <v>0.10300000000000004</v>
      </c>
      <c r="J19">
        <v>-0.4267515923566878</v>
      </c>
      <c r="K19">
        <v>-0.51978891820580475</v>
      </c>
      <c r="L19">
        <v>-0.62376237623762376</v>
      </c>
      <c r="M19">
        <v>0.57865168539325862</v>
      </c>
      <c r="N19">
        <v>0.77200000000000002</v>
      </c>
      <c r="O19">
        <v>0.75600000000000001</v>
      </c>
      <c r="P19">
        <v>0.52600000000000002</v>
      </c>
      <c r="Q19">
        <v>0.749</v>
      </c>
      <c r="R19">
        <v>-6.4999999999999947E-2</v>
      </c>
      <c r="S19">
        <v>-6.7999999999999949E-2</v>
      </c>
      <c r="T19">
        <v>-5.699999999999994E-2</v>
      </c>
      <c r="U19">
        <v>-4.9000000000000044E-2</v>
      </c>
      <c r="V19">
        <v>-7.765830346475501E-2</v>
      </c>
      <c r="W19">
        <v>-8.2524271844660144E-2</v>
      </c>
      <c r="X19">
        <v>-9.7770154373927859E-2</v>
      </c>
      <c r="Y19">
        <v>-6.1403508771929877E-2</v>
      </c>
      <c r="Z19">
        <v>0.98199999999999998</v>
      </c>
      <c r="AA19">
        <v>0.99399999999999999</v>
      </c>
      <c r="AB19">
        <v>0.71</v>
      </c>
      <c r="AC19">
        <v>0.98199999999999998</v>
      </c>
      <c r="AD19">
        <v>0.92199999999999993</v>
      </c>
      <c r="AE19">
        <v>0.95699999999999996</v>
      </c>
      <c r="AF19">
        <v>0.70599999999999996</v>
      </c>
      <c r="AG19">
        <v>0.98199999999999998</v>
      </c>
      <c r="AH19">
        <v>15.366666666666665</v>
      </c>
      <c r="AI19">
        <v>25.864864864864867</v>
      </c>
      <c r="AJ19">
        <v>176.5</v>
      </c>
      <c r="AK19" t="e">
        <v>#DIV/0!</v>
      </c>
      <c r="AL19" s="1">
        <f t="shared" si="0"/>
        <v>-0.2522049479107214</v>
      </c>
      <c r="AM19" s="1">
        <f t="shared" si="1"/>
        <v>-0.30115659502523245</v>
      </c>
      <c r="AN19" s="1">
        <f t="shared" si="2"/>
        <v>-0.36076626530577582</v>
      </c>
      <c r="AO19" s="1">
        <f t="shared" si="3"/>
        <v>0.25862408831066436</v>
      </c>
      <c r="AP19" s="1">
        <f t="shared" si="4"/>
        <v>3.2095701999714822E-3</v>
      </c>
    </row>
    <row r="20" spans="1:42">
      <c r="A20" t="s">
        <v>90</v>
      </c>
      <c r="B20">
        <v>0.255</v>
      </c>
      <c r="C20">
        <v>0.13900000000000001</v>
      </c>
      <c r="D20">
        <v>6.2E-2</v>
      </c>
      <c r="E20">
        <v>0.28199999999999997</v>
      </c>
      <c r="F20">
        <v>-0.21599999999999997</v>
      </c>
      <c r="G20">
        <v>-0.24</v>
      </c>
      <c r="H20">
        <v>-0.14000000000000001</v>
      </c>
      <c r="I20">
        <v>0.10399999999999998</v>
      </c>
      <c r="J20">
        <v>-0.45859872611464964</v>
      </c>
      <c r="K20">
        <v>-0.63324538258575191</v>
      </c>
      <c r="L20">
        <v>-0.69306930693069313</v>
      </c>
      <c r="M20">
        <v>0.58426966292134819</v>
      </c>
      <c r="N20">
        <v>0.78100000000000003</v>
      </c>
      <c r="O20">
        <v>0.76200000000000001</v>
      </c>
      <c r="P20">
        <v>0.53900000000000003</v>
      </c>
      <c r="Q20">
        <v>0.76</v>
      </c>
      <c r="R20">
        <v>-5.5999999999999939E-2</v>
      </c>
      <c r="S20">
        <v>-6.1999999999999944E-2</v>
      </c>
      <c r="T20">
        <v>-4.3999999999999928E-2</v>
      </c>
      <c r="U20">
        <v>-3.8000000000000034E-2</v>
      </c>
      <c r="V20">
        <v>-6.6905615292711995E-2</v>
      </c>
      <c r="W20">
        <v>-7.5242718446601881E-2</v>
      </c>
      <c r="X20">
        <v>-7.5471698113207433E-2</v>
      </c>
      <c r="Y20">
        <v>-4.7619047619047658E-2</v>
      </c>
      <c r="Z20">
        <v>0.99099999999999999</v>
      </c>
      <c r="AA20">
        <v>0.995</v>
      </c>
      <c r="AB20">
        <v>0.68899999999999995</v>
      </c>
      <c r="AC20">
        <v>0.99099999999999999</v>
      </c>
      <c r="AD20">
        <v>0.93100000000000005</v>
      </c>
      <c r="AE20">
        <v>0.95799999999999996</v>
      </c>
      <c r="AF20">
        <v>0.68499999999999994</v>
      </c>
      <c r="AG20">
        <v>0.99099999999999999</v>
      </c>
      <c r="AH20">
        <v>15.516666666666667</v>
      </c>
      <c r="AI20">
        <v>25.891891891891891</v>
      </c>
      <c r="AJ20">
        <v>171.24999999999997</v>
      </c>
      <c r="AK20" t="e">
        <v>#DIV/0!</v>
      </c>
      <c r="AL20" s="1">
        <f t="shared" si="0"/>
        <v>-0.26275217070368084</v>
      </c>
      <c r="AM20" s="1">
        <f t="shared" si="1"/>
        <v>-0.35424405051617691</v>
      </c>
      <c r="AN20" s="1">
        <f t="shared" si="2"/>
        <v>-0.38427050252195027</v>
      </c>
      <c r="AO20" s="1">
        <f t="shared" si="3"/>
        <v>0.26832530765115026</v>
      </c>
      <c r="AP20" s="1">
        <f t="shared" si="4"/>
        <v>2.7865684737347247E-3</v>
      </c>
    </row>
    <row r="21" spans="1:42">
      <c r="A21" t="s">
        <v>86</v>
      </c>
      <c r="B21">
        <v>0.254</v>
      </c>
      <c r="C21">
        <v>0.16600000000000001</v>
      </c>
      <c r="D21">
        <v>7.3999999999999996E-2</v>
      </c>
      <c r="E21">
        <v>0.27700000000000002</v>
      </c>
      <c r="F21">
        <v>-0.21699999999999997</v>
      </c>
      <c r="G21">
        <v>-0.21299999999999999</v>
      </c>
      <c r="H21">
        <v>-0.128</v>
      </c>
      <c r="I21">
        <v>9.9000000000000032E-2</v>
      </c>
      <c r="J21">
        <v>-0.46072186836518042</v>
      </c>
      <c r="K21">
        <v>-0.56200527704485481</v>
      </c>
      <c r="L21">
        <v>-0.63366336633663367</v>
      </c>
      <c r="M21">
        <v>0.55617977528089912</v>
      </c>
      <c r="N21">
        <v>0.78200000000000003</v>
      </c>
      <c r="O21">
        <v>0.76</v>
      </c>
      <c r="P21">
        <v>0.53900000000000003</v>
      </c>
      <c r="Q21">
        <v>0.755</v>
      </c>
      <c r="R21">
        <v>-5.4999999999999938E-2</v>
      </c>
      <c r="S21">
        <v>-6.3999999999999946E-2</v>
      </c>
      <c r="T21">
        <v>-4.3999999999999928E-2</v>
      </c>
      <c r="U21">
        <v>-4.3000000000000038E-2</v>
      </c>
      <c r="V21">
        <v>-6.5710872162484987E-2</v>
      </c>
      <c r="W21">
        <v>-7.7669902912621297E-2</v>
      </c>
      <c r="X21">
        <v>-7.5471698113207433E-2</v>
      </c>
      <c r="Y21">
        <v>-5.3884711779448667E-2</v>
      </c>
      <c r="Z21">
        <v>0.99099999999999999</v>
      </c>
      <c r="AA21">
        <v>0.995</v>
      </c>
      <c r="AB21">
        <v>0.67900000000000005</v>
      </c>
      <c r="AC21">
        <v>0.99099999999999999</v>
      </c>
      <c r="AD21">
        <v>0.93100000000000005</v>
      </c>
      <c r="AE21">
        <v>0.95799999999999996</v>
      </c>
      <c r="AF21">
        <v>0.67500000000000004</v>
      </c>
      <c r="AG21">
        <v>0.99099999999999999</v>
      </c>
      <c r="AH21">
        <v>15.516666666666667</v>
      </c>
      <c r="AI21">
        <v>25.891891891891891</v>
      </c>
      <c r="AJ21">
        <v>168.75</v>
      </c>
      <c r="AK21" t="e">
        <v>#DIV/0!</v>
      </c>
      <c r="AL21" s="1">
        <f t="shared" si="0"/>
        <v>-0.26321637026383271</v>
      </c>
      <c r="AM21" s="1">
        <f t="shared" si="1"/>
        <v>-0.31983758997873807</v>
      </c>
      <c r="AN21" s="1">
        <f t="shared" si="2"/>
        <v>-0.35456753222492055</v>
      </c>
      <c r="AO21" s="1">
        <f t="shared" si="3"/>
        <v>0.25114753175072524</v>
      </c>
      <c r="AP21" s="1">
        <f t="shared" si="4"/>
        <v>-6.0344192565537375E-3</v>
      </c>
    </row>
    <row r="22" spans="1:42">
      <c r="A22" t="s">
        <v>120</v>
      </c>
      <c r="B22">
        <v>0.28100000000000003</v>
      </c>
      <c r="C22">
        <v>0.21099999999999999</v>
      </c>
      <c r="D22">
        <v>7.4999999999999997E-2</v>
      </c>
      <c r="E22">
        <v>0.27700000000000002</v>
      </c>
      <c r="F22">
        <v>-0.18999999999999995</v>
      </c>
      <c r="G22">
        <v>-0.16800000000000001</v>
      </c>
      <c r="H22">
        <v>-0.127</v>
      </c>
      <c r="I22">
        <v>9.9000000000000032E-2</v>
      </c>
      <c r="J22">
        <v>-0.40339702760084917</v>
      </c>
      <c r="K22">
        <v>-0.44327176781002642</v>
      </c>
      <c r="L22">
        <v>-0.62871287128712872</v>
      </c>
      <c r="M22">
        <v>0.55617977528089912</v>
      </c>
      <c r="N22">
        <v>0.75600000000000001</v>
      </c>
      <c r="O22">
        <v>0.746</v>
      </c>
      <c r="P22">
        <v>0.504</v>
      </c>
      <c r="Q22">
        <v>0.73199999999999998</v>
      </c>
      <c r="R22">
        <v>-8.0999999999999961E-2</v>
      </c>
      <c r="S22">
        <v>-7.7999999999999958E-2</v>
      </c>
      <c r="T22">
        <v>-7.8999999999999959E-2</v>
      </c>
      <c r="U22">
        <v>-6.6000000000000059E-2</v>
      </c>
      <c r="V22">
        <v>-9.6774193548387052E-2</v>
      </c>
      <c r="W22">
        <v>-9.466019417475724E-2</v>
      </c>
      <c r="X22">
        <v>-0.13550600343053168</v>
      </c>
      <c r="Y22">
        <v>-8.2706766917293298E-2</v>
      </c>
      <c r="Z22">
        <v>0.88700000000000001</v>
      </c>
      <c r="AA22">
        <v>0.95799999999999996</v>
      </c>
      <c r="AB22">
        <v>0.45700000000000002</v>
      </c>
      <c r="AC22">
        <v>0.89600000000000002</v>
      </c>
      <c r="AD22">
        <v>0.82699999999999996</v>
      </c>
      <c r="AE22">
        <v>0.92099999999999993</v>
      </c>
      <c r="AF22">
        <v>0.45300000000000001</v>
      </c>
      <c r="AG22">
        <v>0.89600000000000002</v>
      </c>
      <c r="AH22">
        <v>13.783333333333333</v>
      </c>
      <c r="AI22">
        <v>24.891891891891891</v>
      </c>
      <c r="AJ22">
        <v>113.25</v>
      </c>
      <c r="AK22" t="e">
        <v>#DIV/0!</v>
      </c>
      <c r="AL22" s="1">
        <f t="shared" si="0"/>
        <v>-0.25008561057461809</v>
      </c>
      <c r="AM22" s="1">
        <f t="shared" si="1"/>
        <v>-0.26896598099239183</v>
      </c>
      <c r="AN22" s="1">
        <f t="shared" si="2"/>
        <v>-0.38210943735883018</v>
      </c>
      <c r="AO22" s="1">
        <f t="shared" si="3"/>
        <v>0.23673650418180292</v>
      </c>
      <c r="AP22" s="1">
        <f t="shared" si="4"/>
        <v>-6.6745531964075983E-3</v>
      </c>
    </row>
    <row r="23" spans="1:42">
      <c r="A23" t="s">
        <v>114</v>
      </c>
      <c r="B23">
        <v>0.29699999999999999</v>
      </c>
      <c r="C23">
        <v>0.222</v>
      </c>
      <c r="D23">
        <v>7.5999999999999998E-2</v>
      </c>
      <c r="E23">
        <v>0.27100000000000002</v>
      </c>
      <c r="F23">
        <v>-0.17399999999999999</v>
      </c>
      <c r="G23">
        <v>-0.157</v>
      </c>
      <c r="H23">
        <v>-0.126</v>
      </c>
      <c r="I23">
        <v>9.3000000000000027E-2</v>
      </c>
      <c r="J23">
        <v>-0.36942675159235666</v>
      </c>
      <c r="K23">
        <v>-0.41424802110817943</v>
      </c>
      <c r="L23">
        <v>-0.62376237623762376</v>
      </c>
      <c r="M23">
        <v>0.52247191011235972</v>
      </c>
      <c r="N23">
        <v>0.76</v>
      </c>
      <c r="O23">
        <v>0.74099999999999999</v>
      </c>
      <c r="P23">
        <v>0.497</v>
      </c>
      <c r="Q23">
        <v>0.72399999999999998</v>
      </c>
      <c r="R23">
        <v>-7.6999999999999957E-2</v>
      </c>
      <c r="S23">
        <v>-8.2999999999999963E-2</v>
      </c>
      <c r="T23">
        <v>-8.5999999999999965E-2</v>
      </c>
      <c r="U23">
        <v>-7.4000000000000066E-2</v>
      </c>
      <c r="V23">
        <v>-9.1995221027479049E-2</v>
      </c>
      <c r="W23">
        <v>-0.10072815533980578</v>
      </c>
      <c r="X23">
        <v>-0.14751286449399653</v>
      </c>
      <c r="Y23">
        <v>-9.2731829573934915E-2</v>
      </c>
      <c r="Z23">
        <v>0.95099999999999996</v>
      </c>
      <c r="AA23">
        <v>0.97599999999999998</v>
      </c>
      <c r="AB23">
        <v>0.48199999999999998</v>
      </c>
      <c r="AC23">
        <v>0.94199999999999995</v>
      </c>
      <c r="AD23">
        <v>0.89100000000000001</v>
      </c>
      <c r="AE23">
        <v>0.93899999999999995</v>
      </c>
      <c r="AF23">
        <v>0.47799999999999998</v>
      </c>
      <c r="AG23">
        <v>0.94199999999999995</v>
      </c>
      <c r="AH23">
        <v>14.850000000000001</v>
      </c>
      <c r="AI23">
        <v>25.378378378378379</v>
      </c>
      <c r="AJ23">
        <v>119.49999999999999</v>
      </c>
      <c r="AK23" t="e">
        <v>#DIV/0!</v>
      </c>
      <c r="AL23" s="1">
        <f t="shared" si="0"/>
        <v>-0.23071098630991785</v>
      </c>
      <c r="AM23" s="1">
        <f t="shared" si="1"/>
        <v>-0.25748808822399261</v>
      </c>
      <c r="AN23" s="1">
        <f t="shared" si="2"/>
        <v>-0.38563762036581017</v>
      </c>
      <c r="AO23" s="1">
        <f t="shared" si="3"/>
        <v>0.21487004026921241</v>
      </c>
      <c r="AP23" s="1">
        <f t="shared" si="4"/>
        <v>-7.9204730203527272E-3</v>
      </c>
    </row>
    <row r="24" spans="1:42">
      <c r="A24" t="s">
        <v>138</v>
      </c>
      <c r="B24">
        <v>0.26800000000000002</v>
      </c>
      <c r="C24">
        <v>0.191</v>
      </c>
      <c r="D24">
        <v>8.3000000000000004E-2</v>
      </c>
      <c r="E24">
        <v>0.27400000000000002</v>
      </c>
      <c r="F24">
        <v>-0.20299999999999996</v>
      </c>
      <c r="G24">
        <v>-0.188</v>
      </c>
      <c r="H24">
        <v>-0.11900000000000001</v>
      </c>
      <c r="I24">
        <v>9.600000000000003E-2</v>
      </c>
      <c r="J24">
        <v>-0.43099787685774943</v>
      </c>
      <c r="K24">
        <v>-0.49604221635883905</v>
      </c>
      <c r="L24">
        <v>-0.58910891089108908</v>
      </c>
      <c r="M24">
        <v>0.53932584269662942</v>
      </c>
      <c r="N24">
        <v>0.76700000000000002</v>
      </c>
      <c r="O24">
        <v>0.74299999999999999</v>
      </c>
      <c r="P24">
        <v>0.50900000000000001</v>
      </c>
      <c r="Q24">
        <v>0.73499999999999999</v>
      </c>
      <c r="R24">
        <v>-6.9999999999999951E-2</v>
      </c>
      <c r="S24">
        <v>-8.0999999999999961E-2</v>
      </c>
      <c r="T24">
        <v>-7.3999999999999955E-2</v>
      </c>
      <c r="U24">
        <v>-6.3000000000000056E-2</v>
      </c>
      <c r="V24">
        <v>-8.3632019115890036E-2</v>
      </c>
      <c r="W24">
        <v>-9.8300970873786364E-2</v>
      </c>
      <c r="X24">
        <v>-0.12692967409948536</v>
      </c>
      <c r="Y24">
        <v>-7.8947368421052697E-2</v>
      </c>
      <c r="Z24">
        <v>0.99099999999999999</v>
      </c>
      <c r="AA24">
        <v>0.99399999999999999</v>
      </c>
      <c r="AB24">
        <v>0.66700000000000004</v>
      </c>
      <c r="AC24">
        <v>0.99099999999999999</v>
      </c>
      <c r="AD24">
        <v>0.93100000000000005</v>
      </c>
      <c r="AE24">
        <v>0.95699999999999996</v>
      </c>
      <c r="AF24">
        <v>0.66300000000000003</v>
      </c>
      <c r="AG24">
        <v>0.99099999999999999</v>
      </c>
      <c r="AH24">
        <v>15.516666666666667</v>
      </c>
      <c r="AI24">
        <v>25.864864864864867</v>
      </c>
      <c r="AJ24">
        <v>165.75</v>
      </c>
      <c r="AK24" t="e">
        <v>#DIV/0!</v>
      </c>
      <c r="AL24" s="1">
        <f t="shared" si="0"/>
        <v>-0.25731494798681975</v>
      </c>
      <c r="AM24" s="1">
        <f t="shared" si="1"/>
        <v>-0.29717159361631273</v>
      </c>
      <c r="AN24" s="1">
        <f t="shared" si="2"/>
        <v>-0.35801929249528719</v>
      </c>
      <c r="AO24" s="1">
        <f t="shared" si="3"/>
        <v>0.23018923713778836</v>
      </c>
      <c r="AP24" s="1">
        <f t="shared" si="4"/>
        <v>-1.3562855424515685E-2</v>
      </c>
    </row>
    <row r="25" spans="1:42">
      <c r="A25" t="s">
        <v>57</v>
      </c>
      <c r="B25">
        <v>0.27300000000000002</v>
      </c>
      <c r="C25">
        <v>0.17799999999999999</v>
      </c>
      <c r="D25">
        <v>5.8000000000000003E-2</v>
      </c>
      <c r="E25">
        <v>0.26200000000000001</v>
      </c>
      <c r="F25">
        <v>-0.19799999999999995</v>
      </c>
      <c r="G25">
        <v>-0.20100000000000001</v>
      </c>
      <c r="H25">
        <v>-0.14400000000000002</v>
      </c>
      <c r="I25">
        <v>8.4000000000000019E-2</v>
      </c>
      <c r="J25">
        <v>-0.42038216560509545</v>
      </c>
      <c r="K25">
        <v>-0.53034300791556732</v>
      </c>
      <c r="L25">
        <v>-0.71287128712871295</v>
      </c>
      <c r="M25">
        <v>0.47191011235955072</v>
      </c>
      <c r="N25">
        <v>0.77500000000000002</v>
      </c>
      <c r="O25">
        <v>0.75800000000000001</v>
      </c>
      <c r="P25">
        <v>0.52900000000000003</v>
      </c>
      <c r="Q25">
        <v>0.74199999999999999</v>
      </c>
      <c r="R25">
        <v>-6.1999999999999944E-2</v>
      </c>
      <c r="S25">
        <v>-6.5999999999999948E-2</v>
      </c>
      <c r="T25">
        <v>-5.3999999999999937E-2</v>
      </c>
      <c r="U25">
        <v>-5.600000000000005E-2</v>
      </c>
      <c r="V25">
        <v>-7.4074074074074014E-2</v>
      </c>
      <c r="W25">
        <v>-8.0097087378640713E-2</v>
      </c>
      <c r="X25">
        <v>-9.2624356775300065E-2</v>
      </c>
      <c r="Y25">
        <v>-7.0175438596491294E-2</v>
      </c>
      <c r="Z25">
        <v>0.98599999999999999</v>
      </c>
      <c r="AA25">
        <v>0.98599999999999999</v>
      </c>
      <c r="AB25">
        <v>0.63700000000000001</v>
      </c>
      <c r="AC25">
        <v>0.97699999999999998</v>
      </c>
      <c r="AD25">
        <v>0.92599999999999993</v>
      </c>
      <c r="AE25">
        <v>0.94899999999999995</v>
      </c>
      <c r="AF25">
        <v>0.63300000000000001</v>
      </c>
      <c r="AG25">
        <v>0.97699999999999998</v>
      </c>
      <c r="AH25">
        <v>15.433333333333334</v>
      </c>
      <c r="AI25">
        <v>25.648648648648649</v>
      </c>
      <c r="AJ25">
        <v>158.25</v>
      </c>
      <c r="AK25" t="e">
        <v>#DIV/0!</v>
      </c>
      <c r="AL25" s="1">
        <f t="shared" si="0"/>
        <v>-0.24722811983958473</v>
      </c>
      <c r="AM25" s="1">
        <f t="shared" si="1"/>
        <v>-0.30522004764710403</v>
      </c>
      <c r="AN25" s="1">
        <f t="shared" si="2"/>
        <v>-0.40274782195200654</v>
      </c>
      <c r="AO25" s="1">
        <f t="shared" si="3"/>
        <v>0.20086733688152972</v>
      </c>
      <c r="AP25" s="1">
        <f t="shared" si="4"/>
        <v>-2.318039147902751E-2</v>
      </c>
    </row>
    <row r="26" spans="1:42">
      <c r="A26" t="s">
        <v>147</v>
      </c>
      <c r="B26">
        <v>0.26400000000000001</v>
      </c>
      <c r="C26">
        <v>0.16500000000000001</v>
      </c>
      <c r="D26">
        <v>6.4000000000000001E-2</v>
      </c>
      <c r="E26">
        <v>0.245</v>
      </c>
      <c r="F26">
        <v>-0.20699999999999996</v>
      </c>
      <c r="G26">
        <v>-0.214</v>
      </c>
      <c r="H26">
        <v>-0.13800000000000001</v>
      </c>
      <c r="I26">
        <v>6.7000000000000004E-2</v>
      </c>
      <c r="J26">
        <v>-0.43949044585987257</v>
      </c>
      <c r="K26">
        <v>-0.56464379947229548</v>
      </c>
      <c r="L26">
        <v>-0.68316831683168322</v>
      </c>
      <c r="M26">
        <v>0.3764044943820225</v>
      </c>
      <c r="N26">
        <v>0.80500000000000005</v>
      </c>
      <c r="O26">
        <v>0.79400000000000004</v>
      </c>
      <c r="P26">
        <v>0.55800000000000005</v>
      </c>
      <c r="Q26">
        <v>0.78300000000000003</v>
      </c>
      <c r="R26">
        <v>-3.1999999999999917E-2</v>
      </c>
      <c r="S26">
        <v>-2.9999999999999916E-2</v>
      </c>
      <c r="T26">
        <v>-2.4999999999999911E-2</v>
      </c>
      <c r="U26">
        <v>-1.5000000000000013E-2</v>
      </c>
      <c r="V26">
        <v>-3.8231780167263939E-2</v>
      </c>
      <c r="W26">
        <v>-3.6407766990291163E-2</v>
      </c>
      <c r="X26">
        <v>-4.2881646655231413E-2</v>
      </c>
      <c r="Y26">
        <v>-1.8796992481203024E-2</v>
      </c>
      <c r="Z26">
        <v>0.95899999999999996</v>
      </c>
      <c r="AA26">
        <v>0.98099999999999998</v>
      </c>
      <c r="AB26">
        <v>0.63700000000000001</v>
      </c>
      <c r="AC26">
        <v>0.95899999999999996</v>
      </c>
      <c r="AD26">
        <v>0.89900000000000002</v>
      </c>
      <c r="AE26">
        <v>0.94399999999999995</v>
      </c>
      <c r="AF26">
        <v>0.63300000000000001</v>
      </c>
      <c r="AG26">
        <v>0.95899999999999996</v>
      </c>
      <c r="AH26">
        <v>14.983333333333334</v>
      </c>
      <c r="AI26">
        <v>25.513513513513512</v>
      </c>
      <c r="AJ26">
        <v>158.25</v>
      </c>
      <c r="AK26" t="e">
        <v>#DIV/0!</v>
      </c>
      <c r="AL26" s="1">
        <f t="shared" si="0"/>
        <v>-0.23886111301356824</v>
      </c>
      <c r="AM26" s="1">
        <f t="shared" si="1"/>
        <v>-0.30052578323129331</v>
      </c>
      <c r="AN26" s="1">
        <f t="shared" si="2"/>
        <v>-0.36302498174345732</v>
      </c>
      <c r="AO26" s="1">
        <f t="shared" si="3"/>
        <v>0.17880375095040973</v>
      </c>
      <c r="AP26" s="1">
        <f t="shared" si="4"/>
        <v>-3.0028681031579258E-2</v>
      </c>
    </row>
    <row r="27" spans="1:42">
      <c r="A27" t="s">
        <v>141</v>
      </c>
      <c r="B27">
        <v>0.25700000000000001</v>
      </c>
      <c r="C27">
        <v>0.16200000000000001</v>
      </c>
      <c r="D27">
        <v>6.0999999999999999E-2</v>
      </c>
      <c r="E27">
        <v>0.24399999999999999</v>
      </c>
      <c r="F27">
        <v>-0.21399999999999997</v>
      </c>
      <c r="G27">
        <v>-0.217</v>
      </c>
      <c r="H27">
        <v>-0.14100000000000001</v>
      </c>
      <c r="I27">
        <v>6.6000000000000003E-2</v>
      </c>
      <c r="J27">
        <v>-0.45435244161358807</v>
      </c>
      <c r="K27">
        <v>-0.57255936675461738</v>
      </c>
      <c r="L27">
        <v>-0.69801980198019808</v>
      </c>
      <c r="M27">
        <v>0.3707865168539326</v>
      </c>
      <c r="N27">
        <v>0.80400000000000005</v>
      </c>
      <c r="O27">
        <v>0.79400000000000004</v>
      </c>
      <c r="P27">
        <v>0.55800000000000005</v>
      </c>
      <c r="Q27">
        <v>0.78400000000000003</v>
      </c>
      <c r="R27">
        <v>-3.2999999999999918E-2</v>
      </c>
      <c r="S27">
        <v>-2.9999999999999916E-2</v>
      </c>
      <c r="T27">
        <v>-2.4999999999999911E-2</v>
      </c>
      <c r="U27">
        <v>-1.4000000000000012E-2</v>
      </c>
      <c r="V27">
        <v>-3.9426523297490947E-2</v>
      </c>
      <c r="W27">
        <v>-3.6407766990291163E-2</v>
      </c>
      <c r="X27">
        <v>-4.2881646655231413E-2</v>
      </c>
      <c r="Y27">
        <v>-1.7543859649122823E-2</v>
      </c>
      <c r="Z27">
        <v>0.95699999999999996</v>
      </c>
      <c r="AA27">
        <v>0.98099999999999998</v>
      </c>
      <c r="AB27">
        <v>0.628</v>
      </c>
      <c r="AC27">
        <v>0.95699999999999996</v>
      </c>
      <c r="AD27">
        <v>0.89700000000000002</v>
      </c>
      <c r="AE27">
        <v>0.94399999999999995</v>
      </c>
      <c r="AF27">
        <v>0.624</v>
      </c>
      <c r="AG27">
        <v>0.95699999999999996</v>
      </c>
      <c r="AH27">
        <v>14.950000000000001</v>
      </c>
      <c r="AI27">
        <v>25.513513513513512</v>
      </c>
      <c r="AJ27">
        <v>156</v>
      </c>
      <c r="AK27" t="e">
        <v>#DIV/0!</v>
      </c>
      <c r="AL27" s="1">
        <f t="shared" si="0"/>
        <v>-0.24688948245553952</v>
      </c>
      <c r="AM27" s="1">
        <f t="shared" si="1"/>
        <v>-0.30448356687245426</v>
      </c>
      <c r="AN27" s="1">
        <f t="shared" si="2"/>
        <v>-0.37045072431771475</v>
      </c>
      <c r="AO27" s="1">
        <f t="shared" si="3"/>
        <v>0.1766213286024049</v>
      </c>
      <c r="AP27" s="1">
        <f t="shared" si="4"/>
        <v>-3.5134076926567309E-2</v>
      </c>
    </row>
    <row r="28" spans="1:42">
      <c r="A28" t="s">
        <v>78</v>
      </c>
      <c r="B28">
        <v>0.23599999999999999</v>
      </c>
      <c r="C28">
        <v>0.14499999999999999</v>
      </c>
      <c r="D28">
        <v>5.2999999999999999E-2</v>
      </c>
      <c r="E28">
        <v>0.25700000000000001</v>
      </c>
      <c r="F28">
        <v>-0.23499999999999999</v>
      </c>
      <c r="G28">
        <v>-0.23400000000000001</v>
      </c>
      <c r="H28">
        <v>-0.14900000000000002</v>
      </c>
      <c r="I28">
        <v>7.9000000000000015E-2</v>
      </c>
      <c r="J28">
        <v>-0.49893842887473461</v>
      </c>
      <c r="K28">
        <v>-0.61741424802110823</v>
      </c>
      <c r="L28">
        <v>-0.73762376237623772</v>
      </c>
      <c r="M28">
        <v>0.44382022471910121</v>
      </c>
      <c r="N28">
        <v>0.79200000000000004</v>
      </c>
      <c r="O28">
        <v>0.77900000000000003</v>
      </c>
      <c r="P28">
        <v>0.55800000000000005</v>
      </c>
      <c r="Q28">
        <v>0.76400000000000001</v>
      </c>
      <c r="R28">
        <v>-4.4999999999999929E-2</v>
      </c>
      <c r="S28">
        <v>-4.4999999999999929E-2</v>
      </c>
      <c r="T28">
        <v>-2.4999999999999911E-2</v>
      </c>
      <c r="U28">
        <v>-3.400000000000003E-2</v>
      </c>
      <c r="V28">
        <v>-5.3763440860214971E-2</v>
      </c>
      <c r="W28">
        <v>-5.4611650485436813E-2</v>
      </c>
      <c r="X28">
        <v>-4.2881646655231413E-2</v>
      </c>
      <c r="Y28">
        <v>-4.2606516290726849E-2</v>
      </c>
      <c r="Z28">
        <v>0.97299999999999998</v>
      </c>
      <c r="AA28">
        <v>0.98699999999999999</v>
      </c>
      <c r="AB28">
        <v>0.71699999999999997</v>
      </c>
      <c r="AC28">
        <v>0.96399999999999997</v>
      </c>
      <c r="AD28">
        <v>0.91300000000000003</v>
      </c>
      <c r="AE28">
        <v>0.95</v>
      </c>
      <c r="AF28">
        <v>0.71299999999999997</v>
      </c>
      <c r="AG28">
        <v>0.96399999999999997</v>
      </c>
      <c r="AH28">
        <v>15.216666666666669</v>
      </c>
      <c r="AI28">
        <v>25.675675675675677</v>
      </c>
      <c r="AJ28">
        <v>178.25</v>
      </c>
      <c r="AK28" t="e">
        <v>#DIV/0!</v>
      </c>
      <c r="AL28" s="1">
        <f t="shared" si="0"/>
        <v>-0.27635093486747481</v>
      </c>
      <c r="AM28" s="1">
        <f t="shared" si="1"/>
        <v>-0.33601294925327252</v>
      </c>
      <c r="AN28" s="1">
        <f t="shared" si="2"/>
        <v>-0.39025270451573457</v>
      </c>
      <c r="AO28" s="1">
        <f t="shared" si="3"/>
        <v>0.20060685421418717</v>
      </c>
      <c r="AP28" s="1">
        <f t="shared" si="4"/>
        <v>-3.7872040326643805E-2</v>
      </c>
    </row>
    <row r="29" spans="1:42">
      <c r="A29" t="s">
        <v>115</v>
      </c>
      <c r="B29">
        <v>0.25700000000000001</v>
      </c>
      <c r="C29">
        <v>0.152</v>
      </c>
      <c r="D29">
        <v>6.3E-2</v>
      </c>
      <c r="E29">
        <v>0.24199999999999999</v>
      </c>
      <c r="F29">
        <v>-0.21399999999999997</v>
      </c>
      <c r="G29">
        <v>-0.22700000000000001</v>
      </c>
      <c r="H29">
        <v>-0.13900000000000001</v>
      </c>
      <c r="I29">
        <v>6.4000000000000001E-2</v>
      </c>
      <c r="J29">
        <v>-0.45435244161358807</v>
      </c>
      <c r="K29">
        <v>-0.59894459102902375</v>
      </c>
      <c r="L29">
        <v>-0.68811881188118817</v>
      </c>
      <c r="M29">
        <v>0.35955056179775285</v>
      </c>
      <c r="N29">
        <v>0.79400000000000004</v>
      </c>
      <c r="O29">
        <v>0.78200000000000003</v>
      </c>
      <c r="P29">
        <v>0.56100000000000005</v>
      </c>
      <c r="Q29">
        <v>0.77200000000000002</v>
      </c>
      <c r="R29">
        <v>-4.2999999999999927E-2</v>
      </c>
      <c r="S29">
        <v>-4.1999999999999926E-2</v>
      </c>
      <c r="T29">
        <v>-2.1999999999999909E-2</v>
      </c>
      <c r="U29">
        <v>-2.6000000000000023E-2</v>
      </c>
      <c r="V29">
        <v>-5.137395459976097E-2</v>
      </c>
      <c r="W29">
        <v>-5.0970873786407682E-2</v>
      </c>
      <c r="X29">
        <v>-3.7735849056603619E-2</v>
      </c>
      <c r="Y29">
        <v>-3.2581453634085239E-2</v>
      </c>
      <c r="Z29">
        <v>0.98699999999999999</v>
      </c>
      <c r="AA29">
        <v>0.99399999999999999</v>
      </c>
      <c r="AB29">
        <v>0.69699999999999995</v>
      </c>
      <c r="AC29">
        <v>0.96899999999999997</v>
      </c>
      <c r="AD29">
        <v>0.92700000000000005</v>
      </c>
      <c r="AE29">
        <v>0.95699999999999996</v>
      </c>
      <c r="AF29">
        <v>0.69299999999999995</v>
      </c>
      <c r="AG29">
        <v>0.96899999999999997</v>
      </c>
      <c r="AH29">
        <v>15.450000000000001</v>
      </c>
      <c r="AI29">
        <v>25.864864864864867</v>
      </c>
      <c r="AJ29">
        <v>173.24999999999997</v>
      </c>
      <c r="AK29" t="e">
        <v>#DIV/0!</v>
      </c>
      <c r="AL29" s="1">
        <f t="shared" si="0"/>
        <v>-0.25286319810667451</v>
      </c>
      <c r="AM29" s="1">
        <f t="shared" si="1"/>
        <v>-0.32495773240771569</v>
      </c>
      <c r="AN29" s="1">
        <f t="shared" si="2"/>
        <v>-0.36292733046889591</v>
      </c>
      <c r="AO29" s="1">
        <f t="shared" si="3"/>
        <v>0.16348455408183382</v>
      </c>
      <c r="AP29" s="1">
        <f t="shared" si="4"/>
        <v>-4.4689322012420353E-2</v>
      </c>
    </row>
    <row r="30" spans="1:42">
      <c r="A30" t="s">
        <v>127</v>
      </c>
      <c r="B30">
        <v>0.25700000000000001</v>
      </c>
      <c r="C30">
        <v>0.152</v>
      </c>
      <c r="D30">
        <v>6.3E-2</v>
      </c>
      <c r="E30">
        <v>0.24199999999999999</v>
      </c>
      <c r="F30">
        <v>-0.21399999999999997</v>
      </c>
      <c r="G30">
        <v>-0.22700000000000001</v>
      </c>
      <c r="H30">
        <v>-0.13900000000000001</v>
      </c>
      <c r="I30">
        <v>6.4000000000000001E-2</v>
      </c>
      <c r="J30">
        <v>-0.45435244161358807</v>
      </c>
      <c r="K30">
        <v>-0.59894459102902375</v>
      </c>
      <c r="L30">
        <v>-0.68811881188118817</v>
      </c>
      <c r="M30">
        <v>0.35955056179775285</v>
      </c>
      <c r="N30">
        <v>0.79400000000000004</v>
      </c>
      <c r="O30">
        <v>0.78200000000000003</v>
      </c>
      <c r="P30">
        <v>0.56100000000000005</v>
      </c>
      <c r="Q30">
        <v>0.77200000000000002</v>
      </c>
      <c r="R30">
        <v>-4.2999999999999927E-2</v>
      </c>
      <c r="S30">
        <v>-4.1999999999999926E-2</v>
      </c>
      <c r="T30">
        <v>-2.1999999999999909E-2</v>
      </c>
      <c r="U30">
        <v>-2.6000000000000023E-2</v>
      </c>
      <c r="V30">
        <v>-5.137395459976097E-2</v>
      </c>
      <c r="W30">
        <v>-5.0970873786407682E-2</v>
      </c>
      <c r="X30">
        <v>-3.7735849056603619E-2</v>
      </c>
      <c r="Y30">
        <v>-3.2581453634085239E-2</v>
      </c>
      <c r="Z30">
        <v>0.98699999999999999</v>
      </c>
      <c r="AA30">
        <v>0.99399999999999999</v>
      </c>
      <c r="AB30">
        <v>0.69699999999999995</v>
      </c>
      <c r="AC30">
        <v>0.96899999999999997</v>
      </c>
      <c r="AD30">
        <v>0.92700000000000005</v>
      </c>
      <c r="AE30">
        <v>0.95699999999999996</v>
      </c>
      <c r="AF30">
        <v>0.69299999999999995</v>
      </c>
      <c r="AG30">
        <v>0.96899999999999997</v>
      </c>
      <c r="AH30">
        <v>15.450000000000001</v>
      </c>
      <c r="AI30">
        <v>25.864864864864867</v>
      </c>
      <c r="AJ30">
        <v>173.24999999999997</v>
      </c>
      <c r="AK30" t="e">
        <v>#DIV/0!</v>
      </c>
      <c r="AL30" s="1">
        <f t="shared" si="0"/>
        <v>-0.25286319810667451</v>
      </c>
      <c r="AM30" s="1">
        <f t="shared" si="1"/>
        <v>-0.32495773240771569</v>
      </c>
      <c r="AN30" s="1">
        <f t="shared" si="2"/>
        <v>-0.36292733046889591</v>
      </c>
      <c r="AO30" s="1">
        <f t="shared" si="3"/>
        <v>0.16348455408183382</v>
      </c>
      <c r="AP30" s="1">
        <f t="shared" si="4"/>
        <v>-4.4689322012420353E-2</v>
      </c>
    </row>
    <row r="31" spans="1:42">
      <c r="A31" t="s">
        <v>139</v>
      </c>
      <c r="B31">
        <v>0.25700000000000001</v>
      </c>
      <c r="C31">
        <v>0.152</v>
      </c>
      <c r="D31">
        <v>6.3E-2</v>
      </c>
      <c r="E31">
        <v>0.24199999999999999</v>
      </c>
      <c r="F31">
        <v>-0.21399999999999997</v>
      </c>
      <c r="G31">
        <v>-0.22700000000000001</v>
      </c>
      <c r="H31">
        <v>-0.13900000000000001</v>
      </c>
      <c r="I31">
        <v>6.4000000000000001E-2</v>
      </c>
      <c r="J31">
        <v>-0.45435244161358807</v>
      </c>
      <c r="K31">
        <v>-0.59894459102902375</v>
      </c>
      <c r="L31">
        <v>-0.68811881188118817</v>
      </c>
      <c r="M31">
        <v>0.35955056179775285</v>
      </c>
      <c r="N31">
        <v>0.79400000000000004</v>
      </c>
      <c r="O31">
        <v>0.78200000000000003</v>
      </c>
      <c r="P31">
        <v>0.56100000000000005</v>
      </c>
      <c r="Q31">
        <v>0.77200000000000002</v>
      </c>
      <c r="R31">
        <v>-4.2999999999999927E-2</v>
      </c>
      <c r="S31">
        <v>-4.1999999999999926E-2</v>
      </c>
      <c r="T31">
        <v>-2.1999999999999909E-2</v>
      </c>
      <c r="U31">
        <v>-2.6000000000000023E-2</v>
      </c>
      <c r="V31">
        <v>-5.137395459976097E-2</v>
      </c>
      <c r="W31">
        <v>-5.0970873786407682E-2</v>
      </c>
      <c r="X31">
        <v>-3.7735849056603619E-2</v>
      </c>
      <c r="Y31">
        <v>-3.2581453634085239E-2</v>
      </c>
      <c r="Z31">
        <v>0.98699999999999999</v>
      </c>
      <c r="AA31">
        <v>0.99399999999999999</v>
      </c>
      <c r="AB31">
        <v>0.69699999999999995</v>
      </c>
      <c r="AC31">
        <v>0.96899999999999997</v>
      </c>
      <c r="AD31">
        <v>0.92700000000000005</v>
      </c>
      <c r="AE31">
        <v>0.95699999999999996</v>
      </c>
      <c r="AF31">
        <v>0.69299999999999995</v>
      </c>
      <c r="AG31">
        <v>0.96899999999999997</v>
      </c>
      <c r="AH31">
        <v>15.450000000000001</v>
      </c>
      <c r="AI31">
        <v>25.864864864864867</v>
      </c>
      <c r="AJ31">
        <v>173.24999999999997</v>
      </c>
      <c r="AK31" t="e">
        <v>#DIV/0!</v>
      </c>
      <c r="AL31" s="1">
        <f t="shared" si="0"/>
        <v>-0.25286319810667451</v>
      </c>
      <c r="AM31" s="1">
        <f t="shared" si="1"/>
        <v>-0.32495773240771569</v>
      </c>
      <c r="AN31" s="1">
        <f t="shared" si="2"/>
        <v>-0.36292733046889591</v>
      </c>
      <c r="AO31" s="1">
        <f t="shared" si="3"/>
        <v>0.16348455408183382</v>
      </c>
      <c r="AP31" s="1">
        <f t="shared" si="4"/>
        <v>-4.4689322012420353E-2</v>
      </c>
    </row>
    <row r="32" spans="1:42">
      <c r="A32" t="s">
        <v>49</v>
      </c>
      <c r="B32">
        <v>0.246</v>
      </c>
      <c r="C32">
        <v>0.152</v>
      </c>
      <c r="D32">
        <v>6.0999999999999999E-2</v>
      </c>
      <c r="E32">
        <v>0.25800000000000001</v>
      </c>
      <c r="F32">
        <v>-0.22499999999999998</v>
      </c>
      <c r="G32">
        <v>-0.22700000000000001</v>
      </c>
      <c r="H32">
        <v>-0.14100000000000001</v>
      </c>
      <c r="I32">
        <v>8.0000000000000016E-2</v>
      </c>
      <c r="J32">
        <v>-0.47770700636942676</v>
      </c>
      <c r="K32">
        <v>-0.59894459102902375</v>
      </c>
      <c r="L32">
        <v>-0.69801980198019808</v>
      </c>
      <c r="M32">
        <v>0.44943820224719111</v>
      </c>
      <c r="N32">
        <v>0.76900000000000002</v>
      </c>
      <c r="O32">
        <v>0.752</v>
      </c>
      <c r="P32">
        <v>0.52800000000000002</v>
      </c>
      <c r="Q32">
        <v>0.74199999999999999</v>
      </c>
      <c r="R32">
        <v>-6.7999999999999949E-2</v>
      </c>
      <c r="S32">
        <v>-7.1999999999999953E-2</v>
      </c>
      <c r="T32">
        <v>-5.4999999999999938E-2</v>
      </c>
      <c r="U32">
        <v>-5.600000000000005E-2</v>
      </c>
      <c r="V32">
        <v>-8.124253285543602E-2</v>
      </c>
      <c r="W32">
        <v>-8.7378640776698976E-2</v>
      </c>
      <c r="X32">
        <v>-9.433962264150933E-2</v>
      </c>
      <c r="Y32">
        <v>-7.0175438596491294E-2</v>
      </c>
      <c r="Z32">
        <v>0.98599999999999999</v>
      </c>
      <c r="AA32">
        <v>0.99299999999999999</v>
      </c>
      <c r="AB32">
        <v>0.64400000000000002</v>
      </c>
      <c r="AC32">
        <v>0.98599999999999999</v>
      </c>
      <c r="AD32">
        <v>0.92599999999999993</v>
      </c>
      <c r="AE32">
        <v>0.95599999999999996</v>
      </c>
      <c r="AF32">
        <v>0.64</v>
      </c>
      <c r="AG32">
        <v>0.98599999999999999</v>
      </c>
      <c r="AH32">
        <v>15.433333333333334</v>
      </c>
      <c r="AI32">
        <v>25.837837837837839</v>
      </c>
      <c r="AJ32">
        <v>160</v>
      </c>
      <c r="AK32" t="e">
        <v>#DIV/0!</v>
      </c>
      <c r="AL32" s="1">
        <f t="shared" si="0"/>
        <v>-0.2794747696124314</v>
      </c>
      <c r="AM32" s="1">
        <f t="shared" si="1"/>
        <v>-0.34316161590286137</v>
      </c>
      <c r="AN32" s="1">
        <f t="shared" si="2"/>
        <v>-0.39617971231085369</v>
      </c>
      <c r="AO32" s="1">
        <f t="shared" si="3"/>
        <v>0.18963138182534992</v>
      </c>
      <c r="AP32" s="1">
        <f t="shared" si="4"/>
        <v>-4.492169389354074E-2</v>
      </c>
    </row>
    <row r="33" spans="1:42">
      <c r="A33" t="s">
        <v>144</v>
      </c>
      <c r="B33">
        <v>0.248</v>
      </c>
      <c r="C33">
        <v>0.17699999999999999</v>
      </c>
      <c r="D33">
        <v>7.4999999999999997E-2</v>
      </c>
      <c r="E33">
        <v>0.254</v>
      </c>
      <c r="F33">
        <v>-0.22299999999999998</v>
      </c>
      <c r="G33">
        <v>-0.20200000000000001</v>
      </c>
      <c r="H33">
        <v>-0.127</v>
      </c>
      <c r="I33">
        <v>7.6000000000000012E-2</v>
      </c>
      <c r="J33">
        <v>-0.47346072186836513</v>
      </c>
      <c r="K33">
        <v>-0.53298153034300799</v>
      </c>
      <c r="L33">
        <v>-0.62871287128712872</v>
      </c>
      <c r="M33">
        <v>0.42696629213483156</v>
      </c>
      <c r="N33">
        <v>0.76400000000000001</v>
      </c>
      <c r="O33">
        <v>0.74199999999999999</v>
      </c>
      <c r="P33">
        <v>0.50700000000000001</v>
      </c>
      <c r="Q33">
        <v>0.73</v>
      </c>
      <c r="R33">
        <v>-7.2999999999999954E-2</v>
      </c>
      <c r="S33">
        <v>-8.1999999999999962E-2</v>
      </c>
      <c r="T33">
        <v>-7.5999999999999956E-2</v>
      </c>
      <c r="U33">
        <v>-6.800000000000006E-2</v>
      </c>
      <c r="V33">
        <v>-8.7216248506571031E-2</v>
      </c>
      <c r="W33">
        <v>-9.9514563106796072E-2</v>
      </c>
      <c r="X33">
        <v>-0.13036020583190389</v>
      </c>
      <c r="Y33">
        <v>-8.5213032581453699E-2</v>
      </c>
      <c r="Z33">
        <v>0.98599999999999999</v>
      </c>
      <c r="AA33">
        <v>0.99399999999999999</v>
      </c>
      <c r="AB33">
        <v>0.68100000000000005</v>
      </c>
      <c r="AC33">
        <v>0.97699999999999998</v>
      </c>
      <c r="AD33">
        <v>0.92599999999999993</v>
      </c>
      <c r="AE33">
        <v>0.95699999999999996</v>
      </c>
      <c r="AF33">
        <v>0.67700000000000005</v>
      </c>
      <c r="AG33">
        <v>0.97699999999999998</v>
      </c>
      <c r="AH33">
        <v>15.433333333333334</v>
      </c>
      <c r="AI33">
        <v>25.864864864864867</v>
      </c>
      <c r="AJ33">
        <v>169.25</v>
      </c>
      <c r="AK33" t="e">
        <v>#DIV/0!</v>
      </c>
      <c r="AL33" s="1">
        <f t="shared" si="0"/>
        <v>-0.28033848518746807</v>
      </c>
      <c r="AM33" s="1">
        <f t="shared" si="1"/>
        <v>-0.31624804672490203</v>
      </c>
      <c r="AN33" s="1">
        <f t="shared" si="2"/>
        <v>-0.3795365385595163</v>
      </c>
      <c r="AO33" s="1">
        <f t="shared" si="3"/>
        <v>0.17087662977668894</v>
      </c>
      <c r="AP33" s="1">
        <f t="shared" si="4"/>
        <v>-5.4730927705389579E-2</v>
      </c>
    </row>
    <row r="34" spans="1:42">
      <c r="A34" t="s">
        <v>11</v>
      </c>
      <c r="B34">
        <v>0.249</v>
      </c>
      <c r="C34">
        <v>0.156</v>
      </c>
      <c r="D34">
        <v>6.2E-2</v>
      </c>
      <c r="E34">
        <v>0.23</v>
      </c>
      <c r="F34">
        <v>-0.22199999999999998</v>
      </c>
      <c r="G34">
        <v>-0.223</v>
      </c>
      <c r="H34">
        <v>-0.14000000000000001</v>
      </c>
      <c r="I34">
        <v>5.2000000000000018E-2</v>
      </c>
      <c r="J34">
        <v>-0.47133757961783435</v>
      </c>
      <c r="K34">
        <v>-0.58839050131926118</v>
      </c>
      <c r="L34">
        <v>-0.69306930693069313</v>
      </c>
      <c r="M34">
        <v>0.29213483146067426</v>
      </c>
      <c r="N34">
        <v>0.80900000000000005</v>
      </c>
      <c r="O34">
        <v>0.79500000000000004</v>
      </c>
      <c r="P34">
        <v>0.56799999999999995</v>
      </c>
      <c r="Q34">
        <v>0.79100000000000004</v>
      </c>
      <c r="R34">
        <v>-2.7999999999999914E-2</v>
      </c>
      <c r="S34">
        <v>-2.8999999999999915E-2</v>
      </c>
      <c r="T34">
        <v>-1.5000000000000013E-2</v>
      </c>
      <c r="U34">
        <v>-7.0000000000000062E-3</v>
      </c>
      <c r="V34">
        <v>-3.3452807646355935E-2</v>
      </c>
      <c r="W34">
        <v>-3.5194174757281455E-2</v>
      </c>
      <c r="X34">
        <v>-2.5728987993138962E-2</v>
      </c>
      <c r="Y34">
        <v>-8.7719298245614117E-3</v>
      </c>
      <c r="Z34">
        <v>0.95199999999999996</v>
      </c>
      <c r="AA34">
        <v>0.98199999999999998</v>
      </c>
      <c r="AB34">
        <v>0.65700000000000003</v>
      </c>
      <c r="AC34">
        <v>0.94299999999999995</v>
      </c>
      <c r="AD34">
        <v>0.8919999999999999</v>
      </c>
      <c r="AE34">
        <v>0.94499999999999995</v>
      </c>
      <c r="AF34">
        <v>0.65300000000000002</v>
      </c>
      <c r="AG34">
        <v>0.94299999999999995</v>
      </c>
      <c r="AH34">
        <v>14.866666666666665</v>
      </c>
      <c r="AI34">
        <v>25.54054054054054</v>
      </c>
      <c r="AJ34">
        <v>163.25</v>
      </c>
      <c r="AK34" t="e">
        <v>#DIV/0!</v>
      </c>
      <c r="AL34" s="1">
        <f t="shared" ref="AL34:AL65" si="5">AVERAGE(J34,V34)</f>
        <v>-0.25239519363209512</v>
      </c>
      <c r="AM34" s="1">
        <f t="shared" ref="AM34:AM65" si="6">AVERAGE(K34,W34)</f>
        <v>-0.31179233803827133</v>
      </c>
      <c r="AN34" s="1">
        <f t="shared" ref="AN34:AN65" si="7">AVERAGE(L34,X34)</f>
        <v>-0.35939914746191604</v>
      </c>
      <c r="AO34" s="1">
        <f t="shared" ref="AO34:AO65" si="8">AVERAGE(M34,Y34)</f>
        <v>0.14168145081805641</v>
      </c>
      <c r="AP34" s="1">
        <f t="shared" ref="AP34:AP65" si="9">AVERAGE(J34,M34,V34,Y34)</f>
        <v>-5.5356871407019358E-2</v>
      </c>
    </row>
    <row r="35" spans="1:42">
      <c r="A35" t="s">
        <v>51</v>
      </c>
      <c r="B35">
        <v>0.25</v>
      </c>
      <c r="C35">
        <v>0.16</v>
      </c>
      <c r="D35">
        <v>6.4000000000000001E-2</v>
      </c>
      <c r="E35">
        <v>0.22900000000000001</v>
      </c>
      <c r="F35">
        <v>-0.22099999999999997</v>
      </c>
      <c r="G35">
        <v>-0.219</v>
      </c>
      <c r="H35">
        <v>-0.13800000000000001</v>
      </c>
      <c r="I35">
        <v>5.1000000000000018E-2</v>
      </c>
      <c r="J35">
        <v>-0.46921443736730356</v>
      </c>
      <c r="K35">
        <v>-0.57783641160949872</v>
      </c>
      <c r="L35">
        <v>-0.68316831683168322</v>
      </c>
      <c r="M35">
        <v>0.28651685393258436</v>
      </c>
      <c r="N35">
        <v>0.81</v>
      </c>
      <c r="O35">
        <v>0.79900000000000004</v>
      </c>
      <c r="P35">
        <v>0.57199999999999995</v>
      </c>
      <c r="Q35">
        <v>0.78900000000000003</v>
      </c>
      <c r="R35">
        <v>-2.6999999999999913E-2</v>
      </c>
      <c r="S35">
        <v>-2.4999999999999911E-2</v>
      </c>
      <c r="T35">
        <v>-1.100000000000001E-2</v>
      </c>
      <c r="U35">
        <v>-9.000000000000008E-3</v>
      </c>
      <c r="V35">
        <v>-3.2258064516128927E-2</v>
      </c>
      <c r="W35">
        <v>-3.0339805825242611E-2</v>
      </c>
      <c r="X35">
        <v>-1.8867924528301903E-2</v>
      </c>
      <c r="Y35">
        <v>-1.1278195488721814E-2</v>
      </c>
      <c r="Z35">
        <v>0.95399999999999996</v>
      </c>
      <c r="AA35">
        <v>0.97799999999999998</v>
      </c>
      <c r="AB35">
        <v>0.629</v>
      </c>
      <c r="AC35">
        <v>0.93600000000000005</v>
      </c>
      <c r="AD35">
        <v>0.89399999999999991</v>
      </c>
      <c r="AE35">
        <v>0.94099999999999995</v>
      </c>
      <c r="AF35">
        <v>0.625</v>
      </c>
      <c r="AG35">
        <v>0.93600000000000005</v>
      </c>
      <c r="AH35">
        <v>14.899999999999999</v>
      </c>
      <c r="AI35">
        <v>25.432432432432432</v>
      </c>
      <c r="AJ35">
        <v>156.25</v>
      </c>
      <c r="AK35" t="e">
        <v>#DIV/0!</v>
      </c>
      <c r="AL35" s="1">
        <f t="shared" si="5"/>
        <v>-0.25073625094171625</v>
      </c>
      <c r="AM35" s="1">
        <f t="shared" si="6"/>
        <v>-0.30408810871737069</v>
      </c>
      <c r="AN35" s="1">
        <f t="shared" si="7"/>
        <v>-0.35101812067999255</v>
      </c>
      <c r="AO35" s="1">
        <f t="shared" si="8"/>
        <v>0.13761932922193126</v>
      </c>
      <c r="AP35" s="1">
        <f t="shared" si="9"/>
        <v>-5.6558460859892482E-2</v>
      </c>
    </row>
    <row r="36" spans="1:42">
      <c r="A36" t="s">
        <v>131</v>
      </c>
      <c r="B36">
        <v>0.25900000000000001</v>
      </c>
      <c r="C36">
        <v>0.159</v>
      </c>
      <c r="D36">
        <v>6.5000000000000002E-2</v>
      </c>
      <c r="E36">
        <v>0.24099999999999999</v>
      </c>
      <c r="F36">
        <v>-0.21199999999999997</v>
      </c>
      <c r="G36">
        <v>-0.22</v>
      </c>
      <c r="H36">
        <v>-0.13700000000000001</v>
      </c>
      <c r="I36">
        <v>6.3E-2</v>
      </c>
      <c r="J36">
        <v>-0.45010615711252649</v>
      </c>
      <c r="K36">
        <v>-0.58047493403693928</v>
      </c>
      <c r="L36">
        <v>-0.67821782178217827</v>
      </c>
      <c r="M36">
        <v>0.35393258426966295</v>
      </c>
      <c r="N36">
        <v>0.75700000000000001</v>
      </c>
      <c r="O36">
        <v>0.73</v>
      </c>
      <c r="P36">
        <v>0.49299999999999999</v>
      </c>
      <c r="Q36">
        <v>0.72</v>
      </c>
      <c r="R36">
        <v>-7.999999999999996E-2</v>
      </c>
      <c r="S36">
        <v>-9.3999999999999972E-2</v>
      </c>
      <c r="T36">
        <v>-8.9999999999999969E-2</v>
      </c>
      <c r="U36">
        <v>-7.8000000000000069E-2</v>
      </c>
      <c r="V36">
        <v>-9.5579450418160058E-2</v>
      </c>
      <c r="W36">
        <v>-0.1140776699029126</v>
      </c>
      <c r="X36">
        <v>-0.15437392795883356</v>
      </c>
      <c r="Y36">
        <v>-9.7744360902255717E-2</v>
      </c>
      <c r="Z36">
        <v>0.995</v>
      </c>
      <c r="AA36">
        <v>0.995</v>
      </c>
      <c r="AB36">
        <v>0.69399999999999995</v>
      </c>
      <c r="AC36">
        <v>0.995</v>
      </c>
      <c r="AD36">
        <v>0.93500000000000005</v>
      </c>
      <c r="AE36">
        <v>0.95799999999999996</v>
      </c>
      <c r="AF36">
        <v>0.69</v>
      </c>
      <c r="AG36">
        <v>0.995</v>
      </c>
      <c r="AH36">
        <v>15.583333333333334</v>
      </c>
      <c r="AI36">
        <v>25.891891891891891</v>
      </c>
      <c r="AJ36">
        <v>172.49999999999997</v>
      </c>
      <c r="AK36" t="e">
        <v>#DIV/0!</v>
      </c>
      <c r="AL36" s="1">
        <f t="shared" si="5"/>
        <v>-0.27284280376534326</v>
      </c>
      <c r="AM36" s="1">
        <f t="shared" si="6"/>
        <v>-0.34727630196992593</v>
      </c>
      <c r="AN36" s="1">
        <f t="shared" si="7"/>
        <v>-0.4162958748705059</v>
      </c>
      <c r="AO36" s="1">
        <f t="shared" si="8"/>
        <v>0.1280941116837036</v>
      </c>
      <c r="AP36" s="1">
        <f t="shared" si="9"/>
        <v>-7.2374346040819826E-2</v>
      </c>
    </row>
    <row r="37" spans="1:42">
      <c r="A37" t="s">
        <v>47</v>
      </c>
      <c r="B37">
        <v>0.23</v>
      </c>
      <c r="C37">
        <v>0.14899999999999999</v>
      </c>
      <c r="D37">
        <v>5.7000000000000002E-2</v>
      </c>
      <c r="E37">
        <v>0.224</v>
      </c>
      <c r="F37">
        <v>-0.24099999999999996</v>
      </c>
      <c r="G37">
        <v>-0.23</v>
      </c>
      <c r="H37">
        <v>-0.14500000000000002</v>
      </c>
      <c r="I37">
        <v>4.6000000000000013E-2</v>
      </c>
      <c r="J37">
        <v>-0.51167728237791932</v>
      </c>
      <c r="K37">
        <v>-0.60686015831134565</v>
      </c>
      <c r="L37">
        <v>-0.7178217821782179</v>
      </c>
      <c r="M37">
        <v>0.25842696629213491</v>
      </c>
      <c r="N37">
        <v>0.81</v>
      </c>
      <c r="O37">
        <v>0.79500000000000004</v>
      </c>
      <c r="P37">
        <v>0.57199999999999995</v>
      </c>
      <c r="Q37">
        <v>0.78900000000000003</v>
      </c>
      <c r="R37">
        <v>-2.6999999999999913E-2</v>
      </c>
      <c r="S37">
        <v>-2.8999999999999915E-2</v>
      </c>
      <c r="T37">
        <v>-1.100000000000001E-2</v>
      </c>
      <c r="U37">
        <v>-9.000000000000008E-3</v>
      </c>
      <c r="V37">
        <v>-3.2258064516128927E-2</v>
      </c>
      <c r="W37">
        <v>-3.5194174757281455E-2</v>
      </c>
      <c r="X37">
        <v>-1.8867924528301903E-2</v>
      </c>
      <c r="Y37">
        <v>-1.1278195488721814E-2</v>
      </c>
      <c r="Z37">
        <v>0.95699999999999996</v>
      </c>
      <c r="AA37">
        <v>0.98199999999999998</v>
      </c>
      <c r="AB37">
        <v>0.69099999999999995</v>
      </c>
      <c r="AC37">
        <v>0.95</v>
      </c>
      <c r="AD37">
        <v>0.89700000000000002</v>
      </c>
      <c r="AE37">
        <v>0.94499999999999995</v>
      </c>
      <c r="AF37">
        <v>0.68699999999999994</v>
      </c>
      <c r="AG37">
        <v>0.95</v>
      </c>
      <c r="AH37">
        <v>14.950000000000001</v>
      </c>
      <c r="AI37">
        <v>25.54054054054054</v>
      </c>
      <c r="AJ37">
        <v>171.74999999999997</v>
      </c>
      <c r="AK37" t="e">
        <v>#DIV/0!</v>
      </c>
      <c r="AL37" s="1">
        <f t="shared" si="5"/>
        <v>-0.27196767344702411</v>
      </c>
      <c r="AM37" s="1">
        <f t="shared" si="6"/>
        <v>-0.32102716653431357</v>
      </c>
      <c r="AN37" s="1">
        <f t="shared" si="7"/>
        <v>-0.36834485335325989</v>
      </c>
      <c r="AO37" s="1">
        <f t="shared" si="8"/>
        <v>0.12357438540170655</v>
      </c>
      <c r="AP37" s="1">
        <f t="shared" si="9"/>
        <v>-7.4196644022658798E-2</v>
      </c>
    </row>
    <row r="38" spans="1:42">
      <c r="A38" t="s">
        <v>55</v>
      </c>
      <c r="B38">
        <v>0.24399999999999999</v>
      </c>
      <c r="C38">
        <v>0.156</v>
      </c>
      <c r="D38">
        <v>0.06</v>
      </c>
      <c r="E38">
        <v>0.218</v>
      </c>
      <c r="F38">
        <v>-0.22699999999999998</v>
      </c>
      <c r="G38">
        <v>-0.223</v>
      </c>
      <c r="H38">
        <v>-0.14200000000000002</v>
      </c>
      <c r="I38">
        <v>4.0000000000000008E-2</v>
      </c>
      <c r="J38">
        <v>-0.48195329087048833</v>
      </c>
      <c r="K38">
        <v>-0.58839050131926118</v>
      </c>
      <c r="L38">
        <v>-0.70297029702970304</v>
      </c>
      <c r="M38">
        <v>0.22471910112359555</v>
      </c>
      <c r="N38">
        <v>0.81</v>
      </c>
      <c r="O38">
        <v>0.79500000000000004</v>
      </c>
      <c r="P38">
        <v>0.57199999999999995</v>
      </c>
      <c r="Q38">
        <v>0.79100000000000004</v>
      </c>
      <c r="R38">
        <v>-2.6999999999999913E-2</v>
      </c>
      <c r="S38">
        <v>-2.8999999999999915E-2</v>
      </c>
      <c r="T38">
        <v>-1.100000000000001E-2</v>
      </c>
      <c r="U38">
        <v>-7.0000000000000062E-3</v>
      </c>
      <c r="V38">
        <v>-3.2258064516128927E-2</v>
      </c>
      <c r="W38">
        <v>-3.5194174757281455E-2</v>
      </c>
      <c r="X38">
        <v>-1.8867924528301903E-2</v>
      </c>
      <c r="Y38">
        <v>-8.7719298245614117E-3</v>
      </c>
      <c r="Z38">
        <v>0.95299999999999996</v>
      </c>
      <c r="AA38">
        <v>0.98299999999999998</v>
      </c>
      <c r="AB38">
        <v>0.66200000000000003</v>
      </c>
      <c r="AC38">
        <v>0.94599999999999995</v>
      </c>
      <c r="AD38">
        <v>0.89300000000000002</v>
      </c>
      <c r="AE38">
        <v>0.94599999999999995</v>
      </c>
      <c r="AF38">
        <v>0.65800000000000003</v>
      </c>
      <c r="AG38">
        <v>0.94599999999999995</v>
      </c>
      <c r="AH38">
        <v>14.883333333333335</v>
      </c>
      <c r="AI38">
        <v>25.567567567567568</v>
      </c>
      <c r="AJ38">
        <v>164.5</v>
      </c>
      <c r="AK38" t="e">
        <v>#DIV/0!</v>
      </c>
      <c r="AL38" s="1">
        <f t="shared" si="5"/>
        <v>-0.25710567769330861</v>
      </c>
      <c r="AM38" s="1">
        <f t="shared" si="6"/>
        <v>-0.31179233803827133</v>
      </c>
      <c r="AN38" s="1">
        <f t="shared" si="7"/>
        <v>-0.36091911077900246</v>
      </c>
      <c r="AO38" s="1">
        <f t="shared" si="8"/>
        <v>0.10797358564951708</v>
      </c>
      <c r="AP38" s="1">
        <f t="shared" si="9"/>
        <v>-7.4566046021895788E-2</v>
      </c>
    </row>
    <row r="39" spans="1:42">
      <c r="A39" t="s">
        <v>132</v>
      </c>
      <c r="B39">
        <v>0.215</v>
      </c>
      <c r="C39">
        <v>0.126</v>
      </c>
      <c r="D39">
        <v>4.3999999999999997E-2</v>
      </c>
      <c r="E39">
        <v>0.254</v>
      </c>
      <c r="F39">
        <v>-0.25600000000000001</v>
      </c>
      <c r="G39">
        <v>-0.253</v>
      </c>
      <c r="H39">
        <v>-0.15800000000000003</v>
      </c>
      <c r="I39">
        <v>7.6000000000000012E-2</v>
      </c>
      <c r="J39">
        <v>-0.54352441613588109</v>
      </c>
      <c r="K39">
        <v>-0.66754617414248019</v>
      </c>
      <c r="L39">
        <v>-0.78217821782178232</v>
      </c>
      <c r="M39">
        <v>0.42696629213483156</v>
      </c>
      <c r="N39">
        <v>0.753</v>
      </c>
      <c r="O39">
        <v>0.72899999999999998</v>
      </c>
      <c r="P39">
        <v>0.49099999999999999</v>
      </c>
      <c r="Q39">
        <v>0.72599999999999998</v>
      </c>
      <c r="R39">
        <v>-8.3999999999999964E-2</v>
      </c>
      <c r="S39">
        <v>-9.4999999999999973E-2</v>
      </c>
      <c r="T39">
        <v>-9.1999999999999971E-2</v>
      </c>
      <c r="U39">
        <v>-7.2000000000000064E-2</v>
      </c>
      <c r="V39">
        <v>-0.10035842293906806</v>
      </c>
      <c r="W39">
        <v>-0.11529126213592231</v>
      </c>
      <c r="X39">
        <v>-0.15780445969125209</v>
      </c>
      <c r="Y39">
        <v>-9.0225563909774514E-2</v>
      </c>
      <c r="Z39">
        <v>0.99099999999999999</v>
      </c>
      <c r="AA39">
        <v>0.99199999999999999</v>
      </c>
      <c r="AB39">
        <v>0.69799999999999995</v>
      </c>
      <c r="AC39">
        <v>0.98199999999999998</v>
      </c>
      <c r="AD39">
        <v>0.93100000000000005</v>
      </c>
      <c r="AE39">
        <v>0.95499999999999996</v>
      </c>
      <c r="AF39">
        <v>0.69399999999999995</v>
      </c>
      <c r="AG39">
        <v>0.98199999999999998</v>
      </c>
      <c r="AH39">
        <v>15.516666666666667</v>
      </c>
      <c r="AI39">
        <v>25.810810810810811</v>
      </c>
      <c r="AJ39">
        <v>173.49999999999997</v>
      </c>
      <c r="AK39" t="e">
        <v>#DIV/0!</v>
      </c>
      <c r="AL39" s="1">
        <f t="shared" si="5"/>
        <v>-0.32194141953747457</v>
      </c>
      <c r="AM39" s="1">
        <f t="shared" si="6"/>
        <v>-0.39141871813920126</v>
      </c>
      <c r="AN39" s="1">
        <f t="shared" si="7"/>
        <v>-0.46999133875651722</v>
      </c>
      <c r="AO39" s="1">
        <f t="shared" si="8"/>
        <v>0.16837036411252854</v>
      </c>
      <c r="AP39" s="1">
        <f t="shared" si="9"/>
        <v>-7.6785527712473017E-2</v>
      </c>
    </row>
    <row r="40" spans="1:42">
      <c r="A40" t="s">
        <v>121</v>
      </c>
      <c r="B40">
        <v>0.24399999999999999</v>
      </c>
      <c r="C40">
        <v>0.152</v>
      </c>
      <c r="D40">
        <v>6.4000000000000001E-2</v>
      </c>
      <c r="E40">
        <v>0.222</v>
      </c>
      <c r="F40">
        <v>-0.22699999999999998</v>
      </c>
      <c r="G40">
        <v>-0.22700000000000001</v>
      </c>
      <c r="H40">
        <v>-0.13800000000000001</v>
      </c>
      <c r="I40">
        <v>4.4000000000000011E-2</v>
      </c>
      <c r="J40">
        <v>-0.48195329087048833</v>
      </c>
      <c r="K40">
        <v>-0.59894459102902375</v>
      </c>
      <c r="L40">
        <v>-0.68316831683168322</v>
      </c>
      <c r="M40">
        <v>0.24719101123595513</v>
      </c>
      <c r="N40">
        <v>0.79500000000000004</v>
      </c>
      <c r="O40">
        <v>0.77900000000000003</v>
      </c>
      <c r="P40">
        <v>0.55800000000000005</v>
      </c>
      <c r="Q40">
        <v>0.77100000000000002</v>
      </c>
      <c r="R40">
        <v>-4.1999999999999926E-2</v>
      </c>
      <c r="S40">
        <v>-4.4999999999999929E-2</v>
      </c>
      <c r="T40">
        <v>-2.4999999999999911E-2</v>
      </c>
      <c r="U40">
        <v>-2.7000000000000024E-2</v>
      </c>
      <c r="V40">
        <v>-5.0179211469533962E-2</v>
      </c>
      <c r="W40">
        <v>-5.4611650485436813E-2</v>
      </c>
      <c r="X40">
        <v>-4.2881646655231413E-2</v>
      </c>
      <c r="Y40">
        <v>-3.3834586466165439E-2</v>
      </c>
      <c r="Z40">
        <v>0.98599999999999999</v>
      </c>
      <c r="AA40">
        <v>0.99399999999999999</v>
      </c>
      <c r="AB40">
        <v>0.64800000000000002</v>
      </c>
      <c r="AC40">
        <v>0.97699999999999998</v>
      </c>
      <c r="AD40">
        <v>0.92599999999999993</v>
      </c>
      <c r="AE40">
        <v>0.95699999999999996</v>
      </c>
      <c r="AF40">
        <v>0.64400000000000002</v>
      </c>
      <c r="AG40">
        <v>0.97699999999999998</v>
      </c>
      <c r="AH40">
        <v>15.433333333333334</v>
      </c>
      <c r="AI40">
        <v>25.864864864864867</v>
      </c>
      <c r="AJ40">
        <v>161</v>
      </c>
      <c r="AK40" t="e">
        <v>#DIV/0!</v>
      </c>
      <c r="AL40" s="1">
        <f t="shared" si="5"/>
        <v>-0.26606625117001115</v>
      </c>
      <c r="AM40" s="1">
        <f t="shared" si="6"/>
        <v>-0.32677812075723028</v>
      </c>
      <c r="AN40" s="1">
        <f t="shared" si="7"/>
        <v>-0.36302498174345732</v>
      </c>
      <c r="AO40" s="1">
        <f t="shared" si="8"/>
        <v>0.10667821238489485</v>
      </c>
      <c r="AP40" s="1">
        <f t="shared" si="9"/>
        <v>-7.9694019392558144E-2</v>
      </c>
    </row>
    <row r="41" spans="1:42">
      <c r="A41" t="s">
        <v>133</v>
      </c>
      <c r="B41">
        <v>0.24399999999999999</v>
      </c>
      <c r="C41">
        <v>0.152</v>
      </c>
      <c r="D41">
        <v>6.4000000000000001E-2</v>
      </c>
      <c r="E41">
        <v>0.222</v>
      </c>
      <c r="F41">
        <v>-0.22699999999999998</v>
      </c>
      <c r="G41">
        <v>-0.22700000000000001</v>
      </c>
      <c r="H41">
        <v>-0.13800000000000001</v>
      </c>
      <c r="I41">
        <v>4.4000000000000011E-2</v>
      </c>
      <c r="J41">
        <v>-0.48195329087048833</v>
      </c>
      <c r="K41">
        <v>-0.59894459102902375</v>
      </c>
      <c r="L41">
        <v>-0.68316831683168322</v>
      </c>
      <c r="M41">
        <v>0.24719101123595513</v>
      </c>
      <c r="N41">
        <v>0.79500000000000004</v>
      </c>
      <c r="O41">
        <v>0.77900000000000003</v>
      </c>
      <c r="P41">
        <v>0.55800000000000005</v>
      </c>
      <c r="Q41">
        <v>0.77100000000000002</v>
      </c>
      <c r="R41">
        <v>-4.1999999999999926E-2</v>
      </c>
      <c r="S41">
        <v>-4.4999999999999929E-2</v>
      </c>
      <c r="T41">
        <v>-2.4999999999999911E-2</v>
      </c>
      <c r="U41">
        <v>-2.7000000000000024E-2</v>
      </c>
      <c r="V41">
        <v>-5.0179211469533962E-2</v>
      </c>
      <c r="W41">
        <v>-5.4611650485436813E-2</v>
      </c>
      <c r="X41">
        <v>-4.2881646655231413E-2</v>
      </c>
      <c r="Y41">
        <v>-3.3834586466165439E-2</v>
      </c>
      <c r="Z41">
        <v>0.98599999999999999</v>
      </c>
      <c r="AA41">
        <v>0.99399999999999999</v>
      </c>
      <c r="AB41">
        <v>0.64800000000000002</v>
      </c>
      <c r="AC41">
        <v>0.97699999999999998</v>
      </c>
      <c r="AD41">
        <v>0.92599999999999993</v>
      </c>
      <c r="AE41">
        <v>0.95699999999999996</v>
      </c>
      <c r="AF41">
        <v>0.64400000000000002</v>
      </c>
      <c r="AG41">
        <v>0.97699999999999998</v>
      </c>
      <c r="AH41">
        <v>15.433333333333334</v>
      </c>
      <c r="AI41">
        <v>25.864864864864867</v>
      </c>
      <c r="AJ41">
        <v>161</v>
      </c>
      <c r="AK41" t="e">
        <v>#DIV/0!</v>
      </c>
      <c r="AL41" s="1">
        <f t="shared" si="5"/>
        <v>-0.26606625117001115</v>
      </c>
      <c r="AM41" s="1">
        <f t="shared" si="6"/>
        <v>-0.32677812075723028</v>
      </c>
      <c r="AN41" s="1">
        <f t="shared" si="7"/>
        <v>-0.36302498174345732</v>
      </c>
      <c r="AO41" s="1">
        <f t="shared" si="8"/>
        <v>0.10667821238489485</v>
      </c>
      <c r="AP41" s="1">
        <f t="shared" si="9"/>
        <v>-7.9694019392558144E-2</v>
      </c>
    </row>
    <row r="42" spans="1:42">
      <c r="A42" t="s">
        <v>145</v>
      </c>
      <c r="B42">
        <v>0.24399999999999999</v>
      </c>
      <c r="C42">
        <v>0.152</v>
      </c>
      <c r="D42">
        <v>6.4000000000000001E-2</v>
      </c>
      <c r="E42">
        <v>0.222</v>
      </c>
      <c r="F42">
        <v>-0.22699999999999998</v>
      </c>
      <c r="G42">
        <v>-0.22700000000000001</v>
      </c>
      <c r="H42">
        <v>-0.13800000000000001</v>
      </c>
      <c r="I42">
        <v>4.4000000000000011E-2</v>
      </c>
      <c r="J42">
        <v>-0.48195329087048833</v>
      </c>
      <c r="K42">
        <v>-0.59894459102902375</v>
      </c>
      <c r="L42">
        <v>-0.68316831683168322</v>
      </c>
      <c r="M42">
        <v>0.24719101123595513</v>
      </c>
      <c r="N42">
        <v>0.79500000000000004</v>
      </c>
      <c r="O42">
        <v>0.77900000000000003</v>
      </c>
      <c r="P42">
        <v>0.55800000000000005</v>
      </c>
      <c r="Q42">
        <v>0.77100000000000002</v>
      </c>
      <c r="R42">
        <v>-4.1999999999999926E-2</v>
      </c>
      <c r="S42">
        <v>-4.4999999999999929E-2</v>
      </c>
      <c r="T42">
        <v>-2.4999999999999911E-2</v>
      </c>
      <c r="U42">
        <v>-2.7000000000000024E-2</v>
      </c>
      <c r="V42">
        <v>-5.0179211469533962E-2</v>
      </c>
      <c r="W42">
        <v>-5.4611650485436813E-2</v>
      </c>
      <c r="X42">
        <v>-4.2881646655231413E-2</v>
      </c>
      <c r="Y42">
        <v>-3.3834586466165439E-2</v>
      </c>
      <c r="Z42">
        <v>0.98599999999999999</v>
      </c>
      <c r="AA42">
        <v>0.99399999999999999</v>
      </c>
      <c r="AB42">
        <v>0.64800000000000002</v>
      </c>
      <c r="AC42">
        <v>0.97699999999999998</v>
      </c>
      <c r="AD42">
        <v>0.92599999999999993</v>
      </c>
      <c r="AE42">
        <v>0.95699999999999996</v>
      </c>
      <c r="AF42">
        <v>0.64400000000000002</v>
      </c>
      <c r="AG42">
        <v>0.97699999999999998</v>
      </c>
      <c r="AH42">
        <v>15.433333333333334</v>
      </c>
      <c r="AI42">
        <v>25.864864864864867</v>
      </c>
      <c r="AJ42">
        <v>161</v>
      </c>
      <c r="AK42" t="e">
        <v>#DIV/0!</v>
      </c>
      <c r="AL42" s="1">
        <f t="shared" si="5"/>
        <v>-0.26606625117001115</v>
      </c>
      <c r="AM42" s="1">
        <f t="shared" si="6"/>
        <v>-0.32677812075723028</v>
      </c>
      <c r="AN42" s="1">
        <f t="shared" si="7"/>
        <v>-0.36302498174345732</v>
      </c>
      <c r="AO42" s="1">
        <f t="shared" si="8"/>
        <v>0.10667821238489485</v>
      </c>
      <c r="AP42" s="1">
        <f t="shared" si="9"/>
        <v>-7.9694019392558144E-2</v>
      </c>
    </row>
    <row r="43" spans="1:42">
      <c r="A43" t="s">
        <v>106</v>
      </c>
      <c r="B43">
        <v>0.22900000000000001</v>
      </c>
      <c r="C43">
        <v>0.123</v>
      </c>
      <c r="D43">
        <v>5.0999999999999997E-2</v>
      </c>
      <c r="E43">
        <v>0.23</v>
      </c>
      <c r="F43">
        <v>-0.24199999999999997</v>
      </c>
      <c r="G43">
        <v>-0.25600000000000001</v>
      </c>
      <c r="H43">
        <v>-0.15100000000000002</v>
      </c>
      <c r="I43">
        <v>5.2000000000000018E-2</v>
      </c>
      <c r="J43">
        <v>-0.5138004246284501</v>
      </c>
      <c r="K43">
        <v>-0.67546174142480209</v>
      </c>
      <c r="L43">
        <v>-0.74752475247524763</v>
      </c>
      <c r="M43">
        <v>0.29213483146067426</v>
      </c>
      <c r="N43">
        <v>0.78700000000000003</v>
      </c>
      <c r="O43">
        <v>0.77700000000000002</v>
      </c>
      <c r="P43">
        <v>0.55200000000000005</v>
      </c>
      <c r="Q43">
        <v>0.75600000000000001</v>
      </c>
      <c r="R43">
        <v>-4.9999999999999933E-2</v>
      </c>
      <c r="S43">
        <v>-4.6999999999999931E-2</v>
      </c>
      <c r="T43">
        <v>-3.0999999999999917E-2</v>
      </c>
      <c r="U43">
        <v>-4.2000000000000037E-2</v>
      </c>
      <c r="V43">
        <v>-5.9737156511349983E-2</v>
      </c>
      <c r="W43">
        <v>-5.703883495145623E-2</v>
      </c>
      <c r="X43">
        <v>-5.3173241852486994E-2</v>
      </c>
      <c r="Y43">
        <v>-5.2631578947368467E-2</v>
      </c>
      <c r="Z43">
        <v>0.95799999999999996</v>
      </c>
      <c r="AA43">
        <v>0.98199999999999998</v>
      </c>
      <c r="AB43">
        <v>0.68700000000000006</v>
      </c>
      <c r="AC43">
        <v>0.94</v>
      </c>
      <c r="AD43">
        <v>0.89799999999999991</v>
      </c>
      <c r="AE43">
        <v>0.94499999999999995</v>
      </c>
      <c r="AF43">
        <v>0.68300000000000005</v>
      </c>
      <c r="AG43">
        <v>0.94</v>
      </c>
      <c r="AH43">
        <v>14.966666666666665</v>
      </c>
      <c r="AI43">
        <v>25.54054054054054</v>
      </c>
      <c r="AJ43">
        <v>170.75</v>
      </c>
      <c r="AK43" t="e">
        <v>#DIV/0!</v>
      </c>
      <c r="AL43" s="1">
        <f t="shared" si="5"/>
        <v>-0.28676879056990007</v>
      </c>
      <c r="AM43" s="1">
        <f t="shared" si="6"/>
        <v>-0.36625028818812916</v>
      </c>
      <c r="AN43" s="1">
        <f t="shared" si="7"/>
        <v>-0.40034899716386729</v>
      </c>
      <c r="AO43" s="1">
        <f t="shared" si="8"/>
        <v>0.11975162625665289</v>
      </c>
      <c r="AP43" s="1">
        <f t="shared" si="9"/>
        <v>-8.3508582156623573E-2</v>
      </c>
    </row>
    <row r="44" spans="1:42">
      <c r="A44" t="s">
        <v>82</v>
      </c>
      <c r="B44">
        <v>0.23</v>
      </c>
      <c r="C44">
        <v>0.14299999999999999</v>
      </c>
      <c r="D44">
        <v>5.8000000000000003E-2</v>
      </c>
      <c r="E44">
        <v>0.22900000000000001</v>
      </c>
      <c r="F44">
        <v>-0.24099999999999996</v>
      </c>
      <c r="G44">
        <v>-0.23600000000000002</v>
      </c>
      <c r="H44">
        <v>-0.14400000000000002</v>
      </c>
      <c r="I44">
        <v>5.1000000000000018E-2</v>
      </c>
      <c r="J44">
        <v>-0.51167728237791932</v>
      </c>
      <c r="K44">
        <v>-0.62269129287598945</v>
      </c>
      <c r="L44">
        <v>-0.71287128712871295</v>
      </c>
      <c r="M44">
        <v>0.28651685393258436</v>
      </c>
      <c r="N44">
        <v>0.78600000000000003</v>
      </c>
      <c r="O44">
        <v>0.77800000000000002</v>
      </c>
      <c r="P44">
        <v>0.55200000000000005</v>
      </c>
      <c r="Q44">
        <v>0.75900000000000001</v>
      </c>
      <c r="R44">
        <v>-5.0999999999999934E-2</v>
      </c>
      <c r="S44">
        <v>-4.599999999999993E-2</v>
      </c>
      <c r="T44">
        <v>-3.0999999999999917E-2</v>
      </c>
      <c r="U44">
        <v>-3.9000000000000035E-2</v>
      </c>
      <c r="V44">
        <v>-6.0931899641576984E-2</v>
      </c>
      <c r="W44">
        <v>-5.5825242718446522E-2</v>
      </c>
      <c r="X44">
        <v>-5.3173241852486994E-2</v>
      </c>
      <c r="Y44">
        <v>-4.8872180451127858E-2</v>
      </c>
      <c r="Z44">
        <v>0.97699999999999998</v>
      </c>
      <c r="AA44">
        <v>0.98599999999999999</v>
      </c>
      <c r="AB44">
        <v>0.71499999999999997</v>
      </c>
      <c r="AC44">
        <v>0.96799999999999997</v>
      </c>
      <c r="AD44">
        <v>0.91700000000000004</v>
      </c>
      <c r="AE44">
        <v>0.94899999999999995</v>
      </c>
      <c r="AF44">
        <v>0.71099999999999997</v>
      </c>
      <c r="AG44">
        <v>0.96799999999999997</v>
      </c>
      <c r="AH44">
        <v>15.283333333333335</v>
      </c>
      <c r="AI44">
        <v>25.648648648648649</v>
      </c>
      <c r="AJ44">
        <v>177.75</v>
      </c>
      <c r="AK44" t="e">
        <v>#DIV/0!</v>
      </c>
      <c r="AL44" s="1">
        <f t="shared" si="5"/>
        <v>-0.28630459100974814</v>
      </c>
      <c r="AM44" s="1">
        <f t="shared" si="6"/>
        <v>-0.33925826779721802</v>
      </c>
      <c r="AN44" s="1">
        <f t="shared" si="7"/>
        <v>-0.38302226449059995</v>
      </c>
      <c r="AO44" s="1">
        <f t="shared" si="8"/>
        <v>0.11882233674072826</v>
      </c>
      <c r="AP44" s="1">
        <f t="shared" si="9"/>
        <v>-8.3741127134509943E-2</v>
      </c>
    </row>
    <row r="45" spans="1:42">
      <c r="A45" t="s">
        <v>135</v>
      </c>
      <c r="B45">
        <v>0.23499999999999999</v>
      </c>
      <c r="C45">
        <v>0.14000000000000001</v>
      </c>
      <c r="D45">
        <v>5.7000000000000002E-2</v>
      </c>
      <c r="E45">
        <v>0.21299999999999999</v>
      </c>
      <c r="F45">
        <v>-0.23599999999999999</v>
      </c>
      <c r="G45">
        <v>-0.23899999999999999</v>
      </c>
      <c r="H45">
        <v>-0.14500000000000002</v>
      </c>
      <c r="I45">
        <v>3.5000000000000003E-2</v>
      </c>
      <c r="J45">
        <v>-0.50106157112526539</v>
      </c>
      <c r="K45">
        <v>-0.63060686015831136</v>
      </c>
      <c r="L45">
        <v>-0.7178217821782179</v>
      </c>
      <c r="M45">
        <v>0.1966292134831461</v>
      </c>
      <c r="N45">
        <v>0.80800000000000005</v>
      </c>
      <c r="O45">
        <v>0.79300000000000004</v>
      </c>
      <c r="P45">
        <v>0.56499999999999995</v>
      </c>
      <c r="Q45">
        <v>0.78600000000000003</v>
      </c>
      <c r="R45">
        <v>-2.8999999999999915E-2</v>
      </c>
      <c r="S45">
        <v>-3.0999999999999917E-2</v>
      </c>
      <c r="T45">
        <v>-1.8000000000000016E-2</v>
      </c>
      <c r="U45">
        <v>-1.2000000000000011E-2</v>
      </c>
      <c r="V45">
        <v>-3.4647550776582936E-2</v>
      </c>
      <c r="W45">
        <v>-3.7621359223300871E-2</v>
      </c>
      <c r="X45">
        <v>-3.0874785591766752E-2</v>
      </c>
      <c r="Y45">
        <v>-1.5037593984962419E-2</v>
      </c>
      <c r="Z45">
        <v>0.96899999999999997</v>
      </c>
      <c r="AA45">
        <v>0.98799999999999999</v>
      </c>
      <c r="AB45">
        <v>0.67200000000000004</v>
      </c>
      <c r="AC45">
        <v>0.96899999999999997</v>
      </c>
      <c r="AD45">
        <v>0.90900000000000003</v>
      </c>
      <c r="AE45">
        <v>0.95099999999999996</v>
      </c>
      <c r="AF45">
        <v>0.66800000000000004</v>
      </c>
      <c r="AG45">
        <v>0.96899999999999997</v>
      </c>
      <c r="AH45">
        <v>15.15</v>
      </c>
      <c r="AI45">
        <v>25.702702702702702</v>
      </c>
      <c r="AJ45">
        <v>167</v>
      </c>
      <c r="AK45" t="e">
        <v>#DIV/0!</v>
      </c>
      <c r="AL45" s="1">
        <f t="shared" si="5"/>
        <v>-0.26785456095092419</v>
      </c>
      <c r="AM45" s="1">
        <f t="shared" si="6"/>
        <v>-0.33411410969080613</v>
      </c>
      <c r="AN45" s="1">
        <f t="shared" si="7"/>
        <v>-0.37434828388499231</v>
      </c>
      <c r="AO45" s="1">
        <f t="shared" si="8"/>
        <v>9.0795809749091849E-2</v>
      </c>
      <c r="AP45" s="1">
        <f t="shared" si="9"/>
        <v>-8.8529375600916158E-2</v>
      </c>
    </row>
    <row r="46" spans="1:42">
      <c r="A46" t="s">
        <v>110</v>
      </c>
      <c r="B46">
        <v>0.22</v>
      </c>
      <c r="C46">
        <v>0.129</v>
      </c>
      <c r="D46">
        <v>5.5E-2</v>
      </c>
      <c r="E46">
        <v>0.23100000000000001</v>
      </c>
      <c r="F46">
        <v>-0.251</v>
      </c>
      <c r="G46">
        <v>-0.25</v>
      </c>
      <c r="H46">
        <v>-0.14700000000000002</v>
      </c>
      <c r="I46">
        <v>5.3000000000000019E-2</v>
      </c>
      <c r="J46">
        <v>-0.53290870488322717</v>
      </c>
      <c r="K46">
        <v>-0.65963060686015829</v>
      </c>
      <c r="L46">
        <v>-0.72772277227722781</v>
      </c>
      <c r="M46">
        <v>0.29775280898876416</v>
      </c>
      <c r="N46">
        <v>0.78200000000000003</v>
      </c>
      <c r="O46">
        <v>0.77800000000000002</v>
      </c>
      <c r="P46">
        <v>0.55200000000000005</v>
      </c>
      <c r="Q46">
        <v>0.749</v>
      </c>
      <c r="R46">
        <v>-5.4999999999999938E-2</v>
      </c>
      <c r="S46">
        <v>-4.599999999999993E-2</v>
      </c>
      <c r="T46">
        <v>-3.0999999999999917E-2</v>
      </c>
      <c r="U46">
        <v>-4.9000000000000044E-2</v>
      </c>
      <c r="V46">
        <v>-6.5710872162484987E-2</v>
      </c>
      <c r="W46">
        <v>-5.5825242718446522E-2</v>
      </c>
      <c r="X46">
        <v>-5.3173241852486994E-2</v>
      </c>
      <c r="Y46">
        <v>-6.1403508771929877E-2</v>
      </c>
      <c r="Z46">
        <v>0.95799999999999996</v>
      </c>
      <c r="AA46">
        <v>0.98299999999999998</v>
      </c>
      <c r="AB46">
        <v>0.70199999999999996</v>
      </c>
      <c r="AC46">
        <v>0.94</v>
      </c>
      <c r="AD46">
        <v>0.89799999999999991</v>
      </c>
      <c r="AE46">
        <v>0.94599999999999995</v>
      </c>
      <c r="AF46">
        <v>0.69799999999999995</v>
      </c>
      <c r="AG46">
        <v>0.94</v>
      </c>
      <c r="AH46">
        <v>14.966666666666665</v>
      </c>
      <c r="AI46">
        <v>25.567567567567568</v>
      </c>
      <c r="AJ46">
        <v>174.49999999999997</v>
      </c>
      <c r="AK46" t="e">
        <v>#DIV/0!</v>
      </c>
      <c r="AL46" s="1">
        <f t="shared" si="5"/>
        <v>-0.29930978852285606</v>
      </c>
      <c r="AM46" s="1">
        <f t="shared" si="6"/>
        <v>-0.35772792478930238</v>
      </c>
      <c r="AN46" s="1">
        <f t="shared" si="7"/>
        <v>-0.39044800706485738</v>
      </c>
      <c r="AO46" s="1">
        <f t="shared" si="8"/>
        <v>0.11817465010841714</v>
      </c>
      <c r="AP46" s="1">
        <f t="shared" si="9"/>
        <v>-9.0567569207219478E-2</v>
      </c>
    </row>
    <row r="47" spans="1:42">
      <c r="A47" t="s">
        <v>129</v>
      </c>
      <c r="B47">
        <v>0.224</v>
      </c>
      <c r="C47">
        <v>0.13500000000000001</v>
      </c>
      <c r="D47">
        <v>5.3999999999999999E-2</v>
      </c>
      <c r="E47">
        <v>0.20799999999999999</v>
      </c>
      <c r="F47">
        <v>-0.24699999999999997</v>
      </c>
      <c r="G47">
        <v>-0.24399999999999999</v>
      </c>
      <c r="H47">
        <v>-0.14800000000000002</v>
      </c>
      <c r="I47">
        <v>0.03</v>
      </c>
      <c r="J47">
        <v>-0.52441613588110403</v>
      </c>
      <c r="K47">
        <v>-0.64379947229551449</v>
      </c>
      <c r="L47">
        <v>-0.73267326732673277</v>
      </c>
      <c r="M47">
        <v>0.16853932584269662</v>
      </c>
      <c r="N47">
        <v>0.80300000000000005</v>
      </c>
      <c r="O47">
        <v>0.79300000000000004</v>
      </c>
      <c r="P47">
        <v>0.56499999999999995</v>
      </c>
      <c r="Q47">
        <v>0.78700000000000003</v>
      </c>
      <c r="R47">
        <v>-3.3999999999999919E-2</v>
      </c>
      <c r="S47">
        <v>-3.0999999999999917E-2</v>
      </c>
      <c r="T47">
        <v>-1.8000000000000016E-2</v>
      </c>
      <c r="U47">
        <v>-1.100000000000001E-2</v>
      </c>
      <c r="V47">
        <v>-4.0621266427717947E-2</v>
      </c>
      <c r="W47">
        <v>-3.7621359223300871E-2</v>
      </c>
      <c r="X47">
        <v>-3.0874785591766752E-2</v>
      </c>
      <c r="Y47">
        <v>-1.3784461152882217E-2</v>
      </c>
      <c r="Z47">
        <v>0.97199999999999998</v>
      </c>
      <c r="AA47">
        <v>0.99</v>
      </c>
      <c r="AB47">
        <v>0.66900000000000004</v>
      </c>
      <c r="AC47">
        <v>0.97199999999999998</v>
      </c>
      <c r="AD47">
        <v>0.91199999999999992</v>
      </c>
      <c r="AE47">
        <v>0.95299999999999996</v>
      </c>
      <c r="AF47">
        <v>0.66500000000000004</v>
      </c>
      <c r="AG47">
        <v>0.97199999999999998</v>
      </c>
      <c r="AH47">
        <v>15.2</v>
      </c>
      <c r="AI47">
        <v>25.756756756756758</v>
      </c>
      <c r="AJ47">
        <v>166.25</v>
      </c>
      <c r="AK47" t="e">
        <v>#DIV/0!</v>
      </c>
      <c r="AL47" s="1">
        <f t="shared" si="5"/>
        <v>-0.28251870115441097</v>
      </c>
      <c r="AM47" s="1">
        <f t="shared" si="6"/>
        <v>-0.34071041575940769</v>
      </c>
      <c r="AN47" s="1">
        <f t="shared" si="7"/>
        <v>-0.38177402645924974</v>
      </c>
      <c r="AO47" s="1">
        <f t="shared" si="8"/>
        <v>7.737743234490721E-2</v>
      </c>
      <c r="AP47" s="1">
        <f t="shared" si="9"/>
        <v>-0.10257063440475191</v>
      </c>
    </row>
    <row r="48" spans="1:42">
      <c r="A48" t="s">
        <v>53</v>
      </c>
      <c r="B48">
        <v>0.22700000000000001</v>
      </c>
      <c r="C48">
        <v>0.13100000000000001</v>
      </c>
      <c r="D48">
        <v>4.5999999999999999E-2</v>
      </c>
      <c r="E48">
        <v>0.22800000000000001</v>
      </c>
      <c r="F48">
        <v>-0.24399999999999997</v>
      </c>
      <c r="G48">
        <v>-0.248</v>
      </c>
      <c r="H48">
        <v>-0.15600000000000003</v>
      </c>
      <c r="I48">
        <v>5.0000000000000017E-2</v>
      </c>
      <c r="J48">
        <v>-0.51804670912951167</v>
      </c>
      <c r="K48">
        <v>-0.65435356200527706</v>
      </c>
      <c r="L48">
        <v>-0.77227722772277241</v>
      </c>
      <c r="M48">
        <v>0.28089887640449451</v>
      </c>
      <c r="N48">
        <v>0.76</v>
      </c>
      <c r="O48">
        <v>0.74199999999999999</v>
      </c>
      <c r="P48">
        <v>0.51500000000000001</v>
      </c>
      <c r="Q48">
        <v>0.73299999999999998</v>
      </c>
      <c r="R48">
        <v>-7.6999999999999957E-2</v>
      </c>
      <c r="S48">
        <v>-8.1999999999999962E-2</v>
      </c>
      <c r="T48">
        <v>-6.7999999999999949E-2</v>
      </c>
      <c r="U48">
        <v>-6.5000000000000058E-2</v>
      </c>
      <c r="V48">
        <v>-9.1995221027479049E-2</v>
      </c>
      <c r="W48">
        <v>-9.9514563106796072E-2</v>
      </c>
      <c r="X48">
        <v>-0.11663807890222977</v>
      </c>
      <c r="Y48">
        <v>-8.1453634085213097E-2</v>
      </c>
      <c r="Z48">
        <v>0.99</v>
      </c>
      <c r="AA48">
        <v>0.98599999999999999</v>
      </c>
      <c r="AB48">
        <v>0.63200000000000001</v>
      </c>
      <c r="AC48">
        <v>0.98099999999999998</v>
      </c>
      <c r="AD48">
        <v>0.92999999999999994</v>
      </c>
      <c r="AE48">
        <v>0.94899999999999995</v>
      </c>
      <c r="AF48">
        <v>0.628</v>
      </c>
      <c r="AG48">
        <v>0.98099999999999998</v>
      </c>
      <c r="AH48">
        <v>15.5</v>
      </c>
      <c r="AI48">
        <v>25.648648648648649</v>
      </c>
      <c r="AJ48">
        <v>157</v>
      </c>
      <c r="AK48" t="e">
        <v>#DIV/0!</v>
      </c>
      <c r="AL48" s="1">
        <f t="shared" si="5"/>
        <v>-0.30502096507849535</v>
      </c>
      <c r="AM48" s="1">
        <f t="shared" si="6"/>
        <v>-0.37693406255603656</v>
      </c>
      <c r="AN48" s="1">
        <f t="shared" si="7"/>
        <v>-0.44445765331250109</v>
      </c>
      <c r="AO48" s="1">
        <f t="shared" si="8"/>
        <v>9.9722621159640701E-2</v>
      </c>
      <c r="AP48" s="1">
        <f t="shared" si="9"/>
        <v>-0.10264917195942733</v>
      </c>
    </row>
    <row r="49" spans="1:42">
      <c r="A49" t="s">
        <v>125</v>
      </c>
      <c r="B49">
        <v>0.21</v>
      </c>
      <c r="C49">
        <v>0.11600000000000001</v>
      </c>
      <c r="D49">
        <v>4.8000000000000001E-2</v>
      </c>
      <c r="E49">
        <v>0.23699999999999999</v>
      </c>
      <c r="F49">
        <v>-0.26100000000000001</v>
      </c>
      <c r="G49">
        <v>-0.26300000000000001</v>
      </c>
      <c r="H49">
        <v>-0.15400000000000003</v>
      </c>
      <c r="I49">
        <v>5.8999999999999997E-2</v>
      </c>
      <c r="J49">
        <v>-0.55414012738853513</v>
      </c>
      <c r="K49">
        <v>-0.69393139841688656</v>
      </c>
      <c r="L49">
        <v>-0.7623762376237625</v>
      </c>
      <c r="M49">
        <v>0.33146067415730335</v>
      </c>
      <c r="N49">
        <v>0.751</v>
      </c>
      <c r="O49">
        <v>0.72699999999999998</v>
      </c>
      <c r="P49">
        <v>0.48399999999999999</v>
      </c>
      <c r="Q49">
        <v>0.71399999999999997</v>
      </c>
      <c r="R49">
        <v>-8.5999999999999965E-2</v>
      </c>
      <c r="S49">
        <v>-9.6999999999999975E-2</v>
      </c>
      <c r="T49">
        <v>-9.8999999999999977E-2</v>
      </c>
      <c r="U49">
        <v>-8.4000000000000075E-2</v>
      </c>
      <c r="V49">
        <v>-0.10274790919952206</v>
      </c>
      <c r="W49">
        <v>-0.11771844660194172</v>
      </c>
      <c r="X49">
        <v>-0.16981132075471694</v>
      </c>
      <c r="Y49">
        <v>-0.10526315789473693</v>
      </c>
      <c r="Z49">
        <v>0.99099999999999999</v>
      </c>
      <c r="AA49">
        <v>0.995</v>
      </c>
      <c r="AB49">
        <v>0.71799999999999997</v>
      </c>
      <c r="AC49">
        <v>0.99099999999999999</v>
      </c>
      <c r="AD49">
        <v>0.93100000000000005</v>
      </c>
      <c r="AE49">
        <v>0.95799999999999996</v>
      </c>
      <c r="AF49">
        <v>0.71399999999999997</v>
      </c>
      <c r="AG49">
        <v>0.99099999999999999</v>
      </c>
      <c r="AH49">
        <v>15.516666666666667</v>
      </c>
      <c r="AI49">
        <v>25.891891891891891</v>
      </c>
      <c r="AJ49">
        <v>178.5</v>
      </c>
      <c r="AK49" t="e">
        <v>#DIV/0!</v>
      </c>
      <c r="AL49" s="1">
        <f t="shared" si="5"/>
        <v>-0.32844401829402858</v>
      </c>
      <c r="AM49" s="1">
        <f t="shared" si="6"/>
        <v>-0.40582492250941415</v>
      </c>
      <c r="AN49" s="1">
        <f t="shared" si="7"/>
        <v>-0.46609377918923972</v>
      </c>
      <c r="AO49" s="1">
        <f t="shared" si="8"/>
        <v>0.1130987581312832</v>
      </c>
      <c r="AP49" s="1">
        <f t="shared" si="9"/>
        <v>-0.10767263008137271</v>
      </c>
    </row>
    <row r="50" spans="1:42">
      <c r="A50" t="s">
        <v>45</v>
      </c>
      <c r="B50">
        <v>0.22800000000000001</v>
      </c>
      <c r="C50">
        <v>0.158</v>
      </c>
      <c r="D50">
        <v>5.7000000000000002E-2</v>
      </c>
      <c r="E50">
        <v>0.224</v>
      </c>
      <c r="F50">
        <v>-0.24299999999999997</v>
      </c>
      <c r="G50">
        <v>-0.221</v>
      </c>
      <c r="H50">
        <v>-0.14500000000000002</v>
      </c>
      <c r="I50">
        <v>4.6000000000000013E-2</v>
      </c>
      <c r="J50">
        <v>-0.51592356687898089</v>
      </c>
      <c r="K50">
        <v>-0.58311345646437995</v>
      </c>
      <c r="L50">
        <v>-0.7178217821782179</v>
      </c>
      <c r="M50">
        <v>0.25842696629213491</v>
      </c>
      <c r="N50">
        <v>0.73699999999999999</v>
      </c>
      <c r="O50">
        <v>0.72099999999999997</v>
      </c>
      <c r="P50">
        <v>0.48499999999999999</v>
      </c>
      <c r="Q50">
        <v>0.71099999999999997</v>
      </c>
      <c r="R50">
        <v>-9.9999999999999978E-2</v>
      </c>
      <c r="S50">
        <v>-0.10299999999999998</v>
      </c>
      <c r="T50">
        <v>-9.7999999999999976E-2</v>
      </c>
      <c r="U50">
        <v>-8.7000000000000077E-2</v>
      </c>
      <c r="V50">
        <v>-0.1194743130227001</v>
      </c>
      <c r="W50">
        <v>-0.12499999999999999</v>
      </c>
      <c r="X50">
        <v>-0.16809605488850768</v>
      </c>
      <c r="Y50">
        <v>-0.10902255639097753</v>
      </c>
      <c r="Z50">
        <v>0.98599999999999999</v>
      </c>
      <c r="AA50">
        <v>0.99299999999999999</v>
      </c>
      <c r="AB50">
        <v>0.68899999999999995</v>
      </c>
      <c r="AC50">
        <v>0.98599999999999999</v>
      </c>
      <c r="AD50">
        <v>0.92599999999999993</v>
      </c>
      <c r="AE50">
        <v>0.95599999999999996</v>
      </c>
      <c r="AF50">
        <v>0.68499999999999994</v>
      </c>
      <c r="AG50">
        <v>0.98599999999999999</v>
      </c>
      <c r="AH50">
        <v>15.433333333333334</v>
      </c>
      <c r="AI50">
        <v>25.837837837837839</v>
      </c>
      <c r="AJ50">
        <v>171.24999999999997</v>
      </c>
      <c r="AK50" t="e">
        <v>#DIV/0!</v>
      </c>
      <c r="AL50" s="1">
        <f t="shared" si="5"/>
        <v>-0.31769893995084048</v>
      </c>
      <c r="AM50" s="1">
        <f t="shared" si="6"/>
        <v>-0.35405672823218998</v>
      </c>
      <c r="AN50" s="1">
        <f t="shared" si="7"/>
        <v>-0.44295891853336278</v>
      </c>
      <c r="AO50" s="1">
        <f t="shared" si="8"/>
        <v>7.4702204950578693E-2</v>
      </c>
      <c r="AP50" s="1">
        <f t="shared" si="9"/>
        <v>-0.1214983675001309</v>
      </c>
    </row>
    <row r="51" spans="1:42">
      <c r="A51" t="s">
        <v>103</v>
      </c>
      <c r="B51">
        <v>0.28299999999999997</v>
      </c>
      <c r="C51">
        <v>0.19600000000000001</v>
      </c>
      <c r="D51">
        <v>5.8999999999999997E-2</v>
      </c>
      <c r="E51">
        <v>0.23599999999999999</v>
      </c>
      <c r="F51">
        <v>-0.188</v>
      </c>
      <c r="G51">
        <v>-0.183</v>
      </c>
      <c r="H51">
        <v>-0.14300000000000002</v>
      </c>
      <c r="I51">
        <v>5.7999999999999996E-2</v>
      </c>
      <c r="J51">
        <v>-0.39915074309978771</v>
      </c>
      <c r="K51">
        <v>-0.48284960422163586</v>
      </c>
      <c r="L51">
        <v>-0.70792079207920799</v>
      </c>
      <c r="M51">
        <v>0.3258426966292135</v>
      </c>
      <c r="N51">
        <v>0.64300000000000002</v>
      </c>
      <c r="O51">
        <v>0.61199999999999999</v>
      </c>
      <c r="P51">
        <v>0.36899999999999999</v>
      </c>
      <c r="Q51">
        <v>0.60599999999999998</v>
      </c>
      <c r="R51">
        <v>-0.19399999999999995</v>
      </c>
      <c r="S51">
        <v>-0.21199999999999997</v>
      </c>
      <c r="T51">
        <v>-0.21399999999999997</v>
      </c>
      <c r="U51">
        <v>-0.19200000000000006</v>
      </c>
      <c r="V51">
        <v>-0.23178016726403819</v>
      </c>
      <c r="W51">
        <v>-0.25728155339805825</v>
      </c>
      <c r="X51">
        <v>-0.36706689536878212</v>
      </c>
      <c r="Y51">
        <v>-0.24060150375939857</v>
      </c>
      <c r="Z51">
        <v>0.97099999999999997</v>
      </c>
      <c r="AA51">
        <v>0.99</v>
      </c>
      <c r="AB51">
        <v>0.622</v>
      </c>
      <c r="AC51">
        <v>0.97099999999999997</v>
      </c>
      <c r="AD51">
        <v>0.91100000000000003</v>
      </c>
      <c r="AE51">
        <v>0.95299999999999996</v>
      </c>
      <c r="AF51">
        <v>0.61799999999999999</v>
      </c>
      <c r="AG51">
        <v>0.97099999999999997</v>
      </c>
      <c r="AH51">
        <v>15.183333333333334</v>
      </c>
      <c r="AI51">
        <v>25.756756756756758</v>
      </c>
      <c r="AJ51">
        <v>154.5</v>
      </c>
      <c r="AK51" t="e">
        <v>#DIV/0!</v>
      </c>
      <c r="AL51" s="1">
        <f t="shared" si="5"/>
        <v>-0.31546545518191293</v>
      </c>
      <c r="AM51" s="1">
        <f t="shared" si="6"/>
        <v>-0.37006557880984703</v>
      </c>
      <c r="AN51" s="1">
        <f t="shared" si="7"/>
        <v>-0.53749384372399511</v>
      </c>
      <c r="AO51" s="1">
        <f t="shared" si="8"/>
        <v>4.2620596434907468E-2</v>
      </c>
      <c r="AP51" s="1">
        <f t="shared" si="9"/>
        <v>-0.13642242937350274</v>
      </c>
    </row>
    <row r="52" spans="1:42">
      <c r="A52" t="s">
        <v>126</v>
      </c>
      <c r="B52">
        <v>0.215</v>
      </c>
      <c r="C52">
        <v>0.11</v>
      </c>
      <c r="D52">
        <v>4.5999999999999999E-2</v>
      </c>
      <c r="E52">
        <v>0.218</v>
      </c>
      <c r="F52">
        <v>-0.25600000000000001</v>
      </c>
      <c r="G52">
        <v>-0.26900000000000002</v>
      </c>
      <c r="H52">
        <v>-0.15600000000000003</v>
      </c>
      <c r="I52">
        <v>4.0000000000000008E-2</v>
      </c>
      <c r="J52">
        <v>-0.54352441613588109</v>
      </c>
      <c r="K52">
        <v>-0.70976253298153036</v>
      </c>
      <c r="L52">
        <v>-0.77227722772277241</v>
      </c>
      <c r="M52">
        <v>0.22471910112359555</v>
      </c>
      <c r="N52">
        <v>0.72099999999999997</v>
      </c>
      <c r="O52">
        <v>0.70599999999999996</v>
      </c>
      <c r="P52">
        <v>0.45</v>
      </c>
      <c r="Q52">
        <v>0.68799999999999994</v>
      </c>
      <c r="R52">
        <v>-0.11599999999999999</v>
      </c>
      <c r="S52">
        <v>-0.11799999999999999</v>
      </c>
      <c r="T52">
        <v>-0.13299999999999995</v>
      </c>
      <c r="U52">
        <v>-0.1100000000000001</v>
      </c>
      <c r="V52">
        <v>-0.13859020310633213</v>
      </c>
      <c r="W52">
        <v>-0.14320388349514562</v>
      </c>
      <c r="X52">
        <v>-0.22813036020583183</v>
      </c>
      <c r="Y52">
        <v>-0.13784461152882216</v>
      </c>
      <c r="Z52">
        <v>0.99</v>
      </c>
      <c r="AA52">
        <v>0.99</v>
      </c>
      <c r="AB52">
        <v>0.71099999999999997</v>
      </c>
      <c r="AC52">
        <v>0.98199999999999998</v>
      </c>
      <c r="AD52">
        <v>0.92999999999999994</v>
      </c>
      <c r="AE52">
        <v>0.95299999999999996</v>
      </c>
      <c r="AF52">
        <v>0.70699999999999996</v>
      </c>
      <c r="AG52">
        <v>0.98199999999999998</v>
      </c>
      <c r="AH52">
        <v>15.5</v>
      </c>
      <c r="AI52">
        <v>25.756756756756758</v>
      </c>
      <c r="AJ52">
        <v>176.75</v>
      </c>
      <c r="AK52" t="e">
        <v>#DIV/0!</v>
      </c>
      <c r="AL52" s="1">
        <f t="shared" si="5"/>
        <v>-0.34105730962110659</v>
      </c>
      <c r="AM52" s="1">
        <f t="shared" si="6"/>
        <v>-0.42648320823833796</v>
      </c>
      <c r="AN52" s="1">
        <f t="shared" si="7"/>
        <v>-0.50020379396430215</v>
      </c>
      <c r="AO52" s="1">
        <f t="shared" si="8"/>
        <v>4.3437244797386698E-2</v>
      </c>
      <c r="AP52" s="1">
        <f t="shared" si="9"/>
        <v>-0.14881003241185997</v>
      </c>
    </row>
    <row r="53" spans="1:42">
      <c r="A53" t="s">
        <v>95</v>
      </c>
      <c r="B53">
        <v>0.24199999999999999</v>
      </c>
      <c r="C53">
        <v>0.128</v>
      </c>
      <c r="D53">
        <v>4.8000000000000001E-2</v>
      </c>
      <c r="E53">
        <v>0.23400000000000001</v>
      </c>
      <c r="F53">
        <v>-0.22899999999999998</v>
      </c>
      <c r="G53">
        <v>-0.251</v>
      </c>
      <c r="H53">
        <v>-0.15400000000000003</v>
      </c>
      <c r="I53">
        <v>5.6000000000000022E-2</v>
      </c>
      <c r="J53">
        <v>-0.4861995753715499</v>
      </c>
      <c r="K53">
        <v>-0.66226912928759896</v>
      </c>
      <c r="L53">
        <v>-0.7623762376237625</v>
      </c>
      <c r="M53">
        <v>0.31460674157303387</v>
      </c>
      <c r="N53">
        <v>0.628</v>
      </c>
      <c r="O53">
        <v>0.59499999999999997</v>
      </c>
      <c r="P53">
        <v>0.34899999999999998</v>
      </c>
      <c r="Q53">
        <v>0.59699999999999998</v>
      </c>
      <c r="R53">
        <v>-0.20899999999999996</v>
      </c>
      <c r="S53">
        <v>-0.22899999999999998</v>
      </c>
      <c r="T53">
        <v>-0.23399999999999999</v>
      </c>
      <c r="U53">
        <v>-0.20100000000000007</v>
      </c>
      <c r="V53">
        <v>-0.24970131421744321</v>
      </c>
      <c r="W53">
        <v>-0.27791262135922329</v>
      </c>
      <c r="X53">
        <v>-0.40137221269296741</v>
      </c>
      <c r="Y53">
        <v>-0.25187969924812037</v>
      </c>
      <c r="Z53">
        <v>0.96399999999999997</v>
      </c>
      <c r="AA53">
        <v>0.98199999999999998</v>
      </c>
      <c r="AB53">
        <v>0.64500000000000002</v>
      </c>
      <c r="AC53">
        <v>0.97099999999999997</v>
      </c>
      <c r="AD53">
        <v>0.90399999999999991</v>
      </c>
      <c r="AE53">
        <v>0.94499999999999995</v>
      </c>
      <c r="AF53">
        <v>0.64100000000000001</v>
      </c>
      <c r="AG53">
        <v>0.97099999999999997</v>
      </c>
      <c r="AH53">
        <v>15.066666666666666</v>
      </c>
      <c r="AI53">
        <v>25.54054054054054</v>
      </c>
      <c r="AJ53">
        <v>160.25</v>
      </c>
      <c r="AK53" t="e">
        <v>#DIV/0!</v>
      </c>
      <c r="AL53" s="1">
        <f t="shared" si="5"/>
        <v>-0.36795044479449657</v>
      </c>
      <c r="AM53" s="1">
        <f t="shared" si="6"/>
        <v>-0.47009087532341109</v>
      </c>
      <c r="AN53" s="1">
        <f t="shared" si="7"/>
        <v>-0.58187422515836495</v>
      </c>
      <c r="AO53" s="1">
        <f t="shared" si="8"/>
        <v>3.1363521162456748E-2</v>
      </c>
      <c r="AP53" s="1">
        <f t="shared" si="9"/>
        <v>-0.1682934618160199</v>
      </c>
    </row>
    <row r="54" spans="1:42">
      <c r="A54" t="s">
        <v>13</v>
      </c>
      <c r="B54">
        <v>0.29599999999999999</v>
      </c>
      <c r="C54">
        <v>0.20100000000000001</v>
      </c>
      <c r="D54">
        <v>9.5000000000000001E-2</v>
      </c>
      <c r="E54">
        <v>0.23799999999999999</v>
      </c>
      <c r="F54">
        <v>-0.17499999999999999</v>
      </c>
      <c r="G54">
        <v>-0.17799999999999999</v>
      </c>
      <c r="H54">
        <v>-0.10700000000000001</v>
      </c>
      <c r="I54">
        <v>0.06</v>
      </c>
      <c r="J54">
        <v>-0.37154989384288745</v>
      </c>
      <c r="K54">
        <v>-0.46965699208443268</v>
      </c>
      <c r="L54">
        <v>-0.52970297029702973</v>
      </c>
      <c r="M54">
        <v>0.33707865168539325</v>
      </c>
      <c r="N54">
        <v>0.55500000000000005</v>
      </c>
      <c r="O54">
        <v>0.50900000000000001</v>
      </c>
      <c r="P54">
        <v>0.34</v>
      </c>
      <c r="Q54">
        <v>0.54300000000000004</v>
      </c>
      <c r="R54">
        <v>-0.28199999999999992</v>
      </c>
      <c r="S54">
        <v>-0.31499999999999995</v>
      </c>
      <c r="T54">
        <v>-0.24299999999999994</v>
      </c>
      <c r="U54">
        <v>-0.255</v>
      </c>
      <c r="V54">
        <v>-0.33691756272401424</v>
      </c>
      <c r="W54">
        <v>-0.38228155339805819</v>
      </c>
      <c r="X54">
        <v>-0.41680960548885071</v>
      </c>
      <c r="Y54">
        <v>-0.31954887218045114</v>
      </c>
      <c r="Z54">
        <v>0.995</v>
      </c>
      <c r="AA54">
        <v>0.995</v>
      </c>
      <c r="AB54">
        <v>0.73899999999999999</v>
      </c>
      <c r="AC54">
        <v>0.995</v>
      </c>
      <c r="AD54">
        <v>0.93500000000000005</v>
      </c>
      <c r="AE54">
        <v>0.95799999999999996</v>
      </c>
      <c r="AF54">
        <v>0.73499999999999999</v>
      </c>
      <c r="AG54">
        <v>0.995</v>
      </c>
      <c r="AH54">
        <v>15.583333333333334</v>
      </c>
      <c r="AI54">
        <v>25.891891891891891</v>
      </c>
      <c r="AJ54">
        <v>183.75</v>
      </c>
      <c r="AK54" t="e">
        <v>#DIV/0!</v>
      </c>
      <c r="AL54" s="1">
        <f t="shared" si="5"/>
        <v>-0.35423372828345084</v>
      </c>
      <c r="AM54" s="1">
        <f t="shared" si="6"/>
        <v>-0.42596927274124541</v>
      </c>
      <c r="AN54" s="1">
        <f t="shared" si="7"/>
        <v>-0.47325628789294022</v>
      </c>
      <c r="AO54" s="1">
        <f t="shared" si="8"/>
        <v>8.7648897524710556E-3</v>
      </c>
      <c r="AP54" s="1">
        <f t="shared" si="9"/>
        <v>-0.17273441926548988</v>
      </c>
    </row>
    <row r="55" spans="1:42">
      <c r="A55" t="s">
        <v>87</v>
      </c>
      <c r="B55">
        <v>0.20399999999999999</v>
      </c>
      <c r="C55">
        <v>0.112</v>
      </c>
      <c r="D55">
        <v>3.7999999999999999E-2</v>
      </c>
      <c r="E55">
        <v>0.23599999999999999</v>
      </c>
      <c r="F55">
        <v>-0.26700000000000002</v>
      </c>
      <c r="G55">
        <v>-0.26700000000000002</v>
      </c>
      <c r="H55">
        <v>-0.16400000000000001</v>
      </c>
      <c r="I55">
        <v>5.7999999999999996E-2</v>
      </c>
      <c r="J55">
        <v>-0.56687898089171984</v>
      </c>
      <c r="K55">
        <v>-0.70448548812664913</v>
      </c>
      <c r="L55">
        <v>-0.81188118811881183</v>
      </c>
      <c r="M55">
        <v>0.3258426966292135</v>
      </c>
      <c r="N55">
        <v>0.61899999999999999</v>
      </c>
      <c r="O55">
        <v>0.58799999999999997</v>
      </c>
      <c r="P55">
        <v>0.34300000000000003</v>
      </c>
      <c r="Q55">
        <v>0.59299999999999997</v>
      </c>
      <c r="R55">
        <v>-0.21799999999999997</v>
      </c>
      <c r="S55">
        <v>-0.23599999999999999</v>
      </c>
      <c r="T55">
        <v>-0.23999999999999994</v>
      </c>
      <c r="U55">
        <v>-0.20500000000000007</v>
      </c>
      <c r="V55">
        <v>-0.26045400238948624</v>
      </c>
      <c r="W55">
        <v>-0.28640776699029125</v>
      </c>
      <c r="X55">
        <v>-0.41166380789022289</v>
      </c>
      <c r="Y55">
        <v>-0.25689223057644117</v>
      </c>
      <c r="Z55">
        <v>0.96699999999999997</v>
      </c>
      <c r="AA55">
        <v>0.98599999999999999</v>
      </c>
      <c r="AB55">
        <v>0.65800000000000003</v>
      </c>
      <c r="AC55">
        <v>0.94899999999999995</v>
      </c>
      <c r="AD55">
        <v>0.90700000000000003</v>
      </c>
      <c r="AE55">
        <v>0.94899999999999995</v>
      </c>
      <c r="AF55">
        <v>0.65400000000000003</v>
      </c>
      <c r="AG55">
        <v>0.94899999999999995</v>
      </c>
      <c r="AH55">
        <v>15.116666666666667</v>
      </c>
      <c r="AI55">
        <v>25.648648648648649</v>
      </c>
      <c r="AJ55">
        <v>163.5</v>
      </c>
      <c r="AK55" t="e">
        <v>#DIV/0!</v>
      </c>
      <c r="AL55" s="1">
        <f t="shared" si="5"/>
        <v>-0.41366649164060304</v>
      </c>
      <c r="AM55" s="1">
        <f t="shared" si="6"/>
        <v>-0.49544662755847019</v>
      </c>
      <c r="AN55" s="1">
        <f t="shared" si="7"/>
        <v>-0.61177249800451738</v>
      </c>
      <c r="AO55" s="1">
        <f t="shared" si="8"/>
        <v>3.4475233026386165E-2</v>
      </c>
      <c r="AP55" s="1">
        <f t="shared" si="9"/>
        <v>-0.18959562930710844</v>
      </c>
    </row>
    <row r="56" spans="1:42">
      <c r="A56" t="s">
        <v>91</v>
      </c>
      <c r="B56">
        <v>0.17799999999999999</v>
      </c>
      <c r="C56">
        <v>0.112</v>
      </c>
      <c r="D56">
        <v>0.04</v>
      </c>
      <c r="E56">
        <v>0.20599999999999999</v>
      </c>
      <c r="F56">
        <v>-0.29299999999999998</v>
      </c>
      <c r="G56">
        <v>-0.26700000000000002</v>
      </c>
      <c r="H56">
        <v>-0.16200000000000001</v>
      </c>
      <c r="I56">
        <v>2.7999999999999997E-2</v>
      </c>
      <c r="J56">
        <v>-0.62208067940552014</v>
      </c>
      <c r="K56">
        <v>-0.70448548812664913</v>
      </c>
      <c r="L56">
        <v>-0.80198019801980192</v>
      </c>
      <c r="M56">
        <v>0.15730337078651685</v>
      </c>
      <c r="N56">
        <v>0.63</v>
      </c>
      <c r="O56">
        <v>0.59799999999999998</v>
      </c>
      <c r="P56">
        <v>0.34699999999999998</v>
      </c>
      <c r="Q56">
        <v>0.60399999999999998</v>
      </c>
      <c r="R56">
        <v>-0.20699999999999996</v>
      </c>
      <c r="S56">
        <v>-0.22599999999999998</v>
      </c>
      <c r="T56">
        <v>-0.23599999999999999</v>
      </c>
      <c r="U56">
        <v>-0.19400000000000006</v>
      </c>
      <c r="V56">
        <v>-0.24731182795698922</v>
      </c>
      <c r="W56">
        <v>-0.27427184466019416</v>
      </c>
      <c r="X56">
        <v>-0.40480274442538594</v>
      </c>
      <c r="Y56">
        <v>-0.24310776942355897</v>
      </c>
      <c r="Z56">
        <v>0.97099999999999997</v>
      </c>
      <c r="AA56">
        <v>0.99199999999999999</v>
      </c>
      <c r="AB56">
        <v>0.63600000000000001</v>
      </c>
      <c r="AC56">
        <v>0.97099999999999997</v>
      </c>
      <c r="AD56">
        <v>0.91100000000000003</v>
      </c>
      <c r="AE56">
        <v>0.95499999999999996</v>
      </c>
      <c r="AF56">
        <v>0.63200000000000001</v>
      </c>
      <c r="AG56">
        <v>0.97099999999999997</v>
      </c>
      <c r="AH56">
        <v>15.183333333333334</v>
      </c>
      <c r="AI56">
        <v>25.810810810810811</v>
      </c>
      <c r="AJ56">
        <v>158</v>
      </c>
      <c r="AK56" t="e">
        <v>#DIV/0!</v>
      </c>
      <c r="AL56" s="1">
        <f t="shared" si="5"/>
        <v>-0.4346962536812547</v>
      </c>
      <c r="AM56" s="1">
        <f t="shared" si="6"/>
        <v>-0.48937866639342165</v>
      </c>
      <c r="AN56" s="1">
        <f t="shared" si="7"/>
        <v>-0.60339147122259396</v>
      </c>
      <c r="AO56" s="1">
        <f t="shared" si="8"/>
        <v>-4.2902199318521059E-2</v>
      </c>
      <c r="AP56" s="1">
        <f t="shared" si="9"/>
        <v>-0.23879922649988786</v>
      </c>
    </row>
    <row r="57" spans="1:42">
      <c r="A57" t="s">
        <v>99</v>
      </c>
      <c r="B57">
        <v>0.21</v>
      </c>
      <c r="C57">
        <v>0.124</v>
      </c>
      <c r="D57">
        <v>4.5999999999999999E-2</v>
      </c>
      <c r="E57">
        <v>0.184</v>
      </c>
      <c r="F57">
        <v>-0.26100000000000001</v>
      </c>
      <c r="G57">
        <v>-0.255</v>
      </c>
      <c r="H57">
        <v>-0.15600000000000003</v>
      </c>
      <c r="I57">
        <v>6.0000000000000053E-3</v>
      </c>
      <c r="J57">
        <v>-0.55414012738853513</v>
      </c>
      <c r="K57">
        <v>-0.67282321899736153</v>
      </c>
      <c r="L57">
        <v>-0.77227722772277241</v>
      </c>
      <c r="M57">
        <v>3.370786516853936E-2</v>
      </c>
      <c r="N57">
        <v>0.63200000000000001</v>
      </c>
      <c r="O57">
        <v>0.58199999999999996</v>
      </c>
      <c r="P57">
        <v>0.34100000000000003</v>
      </c>
      <c r="Q57">
        <v>0.6</v>
      </c>
      <c r="R57">
        <v>-0.20499999999999996</v>
      </c>
      <c r="S57">
        <v>-0.24199999999999999</v>
      </c>
      <c r="T57">
        <v>-0.24199999999999994</v>
      </c>
      <c r="U57">
        <v>-0.19800000000000006</v>
      </c>
      <c r="V57">
        <v>-0.24492234169653521</v>
      </c>
      <c r="W57">
        <v>-0.2936893203883495</v>
      </c>
      <c r="X57">
        <v>-0.41509433962264142</v>
      </c>
      <c r="Y57">
        <v>-0.24812030075187977</v>
      </c>
      <c r="Z57">
        <v>0.95299999999999996</v>
      </c>
      <c r="AA57">
        <v>0.95499999999999996</v>
      </c>
      <c r="AB57">
        <v>0.60899999999999999</v>
      </c>
      <c r="AC57">
        <v>0.96799999999999997</v>
      </c>
      <c r="AD57">
        <v>0.89300000000000002</v>
      </c>
      <c r="AE57">
        <v>0.91799999999999993</v>
      </c>
      <c r="AF57">
        <v>0.60499999999999998</v>
      </c>
      <c r="AG57">
        <v>0.96799999999999997</v>
      </c>
      <c r="AH57">
        <v>14.883333333333335</v>
      </c>
      <c r="AI57">
        <v>24.810810810810811</v>
      </c>
      <c r="AJ57">
        <v>151.25</v>
      </c>
      <c r="AK57" t="e">
        <v>#DIV/0!</v>
      </c>
      <c r="AL57" s="1">
        <f t="shared" si="5"/>
        <v>-0.39953123454253514</v>
      </c>
      <c r="AM57" s="1">
        <f t="shared" si="6"/>
        <v>-0.48325626969285551</v>
      </c>
      <c r="AN57" s="1">
        <f t="shared" si="7"/>
        <v>-0.59368578367270697</v>
      </c>
      <c r="AO57" s="1">
        <f t="shared" si="8"/>
        <v>-0.10720621779167021</v>
      </c>
      <c r="AP57" s="1">
        <f t="shared" si="9"/>
        <v>-0.25336872616710265</v>
      </c>
    </row>
    <row r="58" spans="1:42">
      <c r="A58" t="s">
        <v>48</v>
      </c>
      <c r="B58">
        <v>0.216</v>
      </c>
      <c r="C58">
        <v>0.13</v>
      </c>
      <c r="D58">
        <v>5.6000000000000001E-2</v>
      </c>
      <c r="E58">
        <v>0.21</v>
      </c>
      <c r="F58">
        <v>-0.255</v>
      </c>
      <c r="G58">
        <v>-0.249</v>
      </c>
      <c r="H58">
        <v>-0.14600000000000002</v>
      </c>
      <c r="I58">
        <v>3.2000000000000001E-2</v>
      </c>
      <c r="J58">
        <v>-0.54140127388535031</v>
      </c>
      <c r="K58">
        <v>-0.65699208443271762</v>
      </c>
      <c r="L58">
        <v>-0.72277227722772286</v>
      </c>
      <c r="M58">
        <v>0.17977528089887643</v>
      </c>
      <c r="N58">
        <v>0.55500000000000005</v>
      </c>
      <c r="O58">
        <v>0.50600000000000001</v>
      </c>
      <c r="P58">
        <v>0.32200000000000001</v>
      </c>
      <c r="Q58">
        <v>0.53100000000000003</v>
      </c>
      <c r="R58">
        <v>-0.28199999999999992</v>
      </c>
      <c r="S58">
        <v>-0.31799999999999995</v>
      </c>
      <c r="T58">
        <v>-0.26099999999999995</v>
      </c>
      <c r="U58">
        <v>-0.26700000000000002</v>
      </c>
      <c r="V58">
        <v>-0.33691756272401424</v>
      </c>
      <c r="W58">
        <v>-0.38592233009708732</v>
      </c>
      <c r="X58">
        <v>-0.44768439108061747</v>
      </c>
      <c r="Y58">
        <v>-0.33458646616541354</v>
      </c>
      <c r="Z58">
        <v>0.99099999999999999</v>
      </c>
      <c r="AA58">
        <v>0.995</v>
      </c>
      <c r="AB58">
        <v>0.84699999999999998</v>
      </c>
      <c r="AC58">
        <v>0.99099999999999999</v>
      </c>
      <c r="AD58">
        <v>0.93100000000000005</v>
      </c>
      <c r="AE58">
        <v>0.95799999999999996</v>
      </c>
      <c r="AF58">
        <v>0.84299999999999997</v>
      </c>
      <c r="AG58">
        <v>0.99099999999999999</v>
      </c>
      <c r="AH58">
        <v>15.516666666666667</v>
      </c>
      <c r="AI58">
        <v>25.891891891891891</v>
      </c>
      <c r="AJ58">
        <v>210.75</v>
      </c>
      <c r="AK58" t="e">
        <v>#DIV/0!</v>
      </c>
      <c r="AL58" s="1">
        <f t="shared" si="5"/>
        <v>-0.4391594183046823</v>
      </c>
      <c r="AM58" s="1">
        <f t="shared" si="6"/>
        <v>-0.52145720726490241</v>
      </c>
      <c r="AN58" s="1">
        <f t="shared" si="7"/>
        <v>-0.58522833415417019</v>
      </c>
      <c r="AO58" s="1">
        <f t="shared" si="8"/>
        <v>-7.7405592633268558E-2</v>
      </c>
      <c r="AP58" s="1">
        <f t="shared" si="9"/>
        <v>-0.25828250546897547</v>
      </c>
    </row>
    <row r="59" spans="1:42">
      <c r="A59" t="s">
        <v>21</v>
      </c>
      <c r="B59">
        <v>0.23499999999999999</v>
      </c>
      <c r="C59">
        <v>0.153</v>
      </c>
      <c r="D59">
        <v>5.3999999999999999E-2</v>
      </c>
      <c r="E59">
        <v>0.19900000000000001</v>
      </c>
      <c r="F59">
        <v>-0.23599999999999999</v>
      </c>
      <c r="G59">
        <v>-0.22600000000000001</v>
      </c>
      <c r="H59">
        <v>-0.14800000000000002</v>
      </c>
      <c r="I59">
        <v>2.1000000000000019E-2</v>
      </c>
      <c r="J59">
        <v>-0.50106157112526539</v>
      </c>
      <c r="K59">
        <v>-0.59630606860158308</v>
      </c>
      <c r="L59">
        <v>-0.73267326732673277</v>
      </c>
      <c r="M59">
        <v>0.11797752808988775</v>
      </c>
      <c r="N59">
        <v>0.53100000000000003</v>
      </c>
      <c r="O59">
        <v>0.47799999999999998</v>
      </c>
      <c r="P59">
        <v>0.28899999999999998</v>
      </c>
      <c r="Q59">
        <v>0.50800000000000001</v>
      </c>
      <c r="R59">
        <v>-0.30599999999999994</v>
      </c>
      <c r="S59">
        <v>-0.34599999999999997</v>
      </c>
      <c r="T59">
        <v>-0.29399999999999998</v>
      </c>
      <c r="U59">
        <v>-0.29000000000000004</v>
      </c>
      <c r="V59">
        <v>-0.36559139784946232</v>
      </c>
      <c r="W59">
        <v>-0.4199029126213592</v>
      </c>
      <c r="X59">
        <v>-0.50428816466552318</v>
      </c>
      <c r="Y59">
        <v>-0.36340852130325818</v>
      </c>
      <c r="Z59">
        <v>0.995</v>
      </c>
      <c r="AA59">
        <v>0.995</v>
      </c>
      <c r="AB59">
        <v>0.80900000000000005</v>
      </c>
      <c r="AC59">
        <v>0.995</v>
      </c>
      <c r="AD59">
        <v>0.93500000000000005</v>
      </c>
      <c r="AE59">
        <v>0.95799999999999996</v>
      </c>
      <c r="AF59">
        <v>0.80500000000000005</v>
      </c>
      <c r="AG59">
        <v>0.995</v>
      </c>
      <c r="AH59">
        <v>15.583333333333334</v>
      </c>
      <c r="AI59">
        <v>25.891891891891891</v>
      </c>
      <c r="AJ59">
        <v>201.25</v>
      </c>
      <c r="AK59" t="e">
        <v>#DIV/0!</v>
      </c>
      <c r="AL59" s="1">
        <f t="shared" si="5"/>
        <v>-0.43332648448736388</v>
      </c>
      <c r="AM59" s="1">
        <f t="shared" si="6"/>
        <v>-0.50810449061147112</v>
      </c>
      <c r="AN59" s="1">
        <f t="shared" si="7"/>
        <v>-0.61848071599612797</v>
      </c>
      <c r="AO59" s="1">
        <f t="shared" si="8"/>
        <v>-0.12271549660668521</v>
      </c>
      <c r="AP59" s="1">
        <f t="shared" si="9"/>
        <v>-0.27802099054702456</v>
      </c>
    </row>
    <row r="60" spans="1:42">
      <c r="A60" t="s">
        <v>107</v>
      </c>
      <c r="B60">
        <v>0.191</v>
      </c>
      <c r="C60">
        <v>9.6000000000000002E-2</v>
      </c>
      <c r="D60">
        <v>2.8000000000000001E-2</v>
      </c>
      <c r="E60">
        <v>0.19</v>
      </c>
      <c r="F60">
        <v>-0.27999999999999997</v>
      </c>
      <c r="G60">
        <v>-0.28300000000000003</v>
      </c>
      <c r="H60">
        <v>-0.17400000000000002</v>
      </c>
      <c r="I60">
        <v>1.2000000000000011E-2</v>
      </c>
      <c r="J60">
        <v>-0.59447983014861994</v>
      </c>
      <c r="K60">
        <v>-0.7467018469656993</v>
      </c>
      <c r="L60">
        <v>-0.86138613861386137</v>
      </c>
      <c r="M60">
        <v>6.7415730337078719E-2</v>
      </c>
      <c r="N60">
        <v>0.59499999999999997</v>
      </c>
      <c r="O60">
        <v>0.49</v>
      </c>
      <c r="P60">
        <v>0.28499999999999998</v>
      </c>
      <c r="Q60">
        <v>0.56000000000000005</v>
      </c>
      <c r="R60">
        <v>-0.24199999999999999</v>
      </c>
      <c r="S60">
        <v>-0.33399999999999996</v>
      </c>
      <c r="T60">
        <v>-0.29799999999999999</v>
      </c>
      <c r="U60">
        <v>-0.23799999999999999</v>
      </c>
      <c r="V60">
        <v>-0.28912783751493432</v>
      </c>
      <c r="W60">
        <v>-0.4053398058252427</v>
      </c>
      <c r="X60">
        <v>-0.51114922813036023</v>
      </c>
      <c r="Y60">
        <v>-0.2982456140350877</v>
      </c>
      <c r="Z60">
        <v>0.99099999999999999</v>
      </c>
      <c r="AA60">
        <v>0.995</v>
      </c>
      <c r="AB60">
        <v>0.60099999999999998</v>
      </c>
      <c r="AC60">
        <v>0.99099999999999999</v>
      </c>
      <c r="AD60">
        <v>0.93100000000000005</v>
      </c>
      <c r="AE60">
        <v>0.95799999999999996</v>
      </c>
      <c r="AF60">
        <v>0.59699999999999998</v>
      </c>
      <c r="AG60">
        <v>0.99099999999999999</v>
      </c>
      <c r="AH60">
        <v>15.516666666666667</v>
      </c>
      <c r="AI60">
        <v>25.891891891891891</v>
      </c>
      <c r="AJ60">
        <v>149.25</v>
      </c>
      <c r="AK60" t="e">
        <v>#DIV/0!</v>
      </c>
      <c r="AL60" s="1">
        <f t="shared" si="5"/>
        <v>-0.44180383383177713</v>
      </c>
      <c r="AM60" s="1">
        <f t="shared" si="6"/>
        <v>-0.57602082639547103</v>
      </c>
      <c r="AN60" s="1">
        <f t="shared" si="7"/>
        <v>-0.68626768337211086</v>
      </c>
      <c r="AO60" s="1">
        <f t="shared" si="8"/>
        <v>-0.1154149418490045</v>
      </c>
      <c r="AP60" s="1">
        <f t="shared" si="9"/>
        <v>-0.2786093878403908</v>
      </c>
    </row>
    <row r="61" spans="1:42">
      <c r="A61" t="s">
        <v>33</v>
      </c>
      <c r="B61">
        <v>0.185</v>
      </c>
      <c r="C61">
        <v>0.14799999999999999</v>
      </c>
      <c r="D61">
        <v>6.2E-2</v>
      </c>
      <c r="E61">
        <v>0.19800000000000001</v>
      </c>
      <c r="F61">
        <v>-0.28599999999999998</v>
      </c>
      <c r="G61">
        <v>-0.23100000000000001</v>
      </c>
      <c r="H61">
        <v>-0.14000000000000001</v>
      </c>
      <c r="I61">
        <v>2.0000000000000018E-2</v>
      </c>
      <c r="J61">
        <v>-0.60721868365180465</v>
      </c>
      <c r="K61">
        <v>-0.60949868073878632</v>
      </c>
      <c r="L61">
        <v>-0.69306930693069313</v>
      </c>
      <c r="M61">
        <v>0.11235955056179786</v>
      </c>
      <c r="N61">
        <v>0.56799999999999995</v>
      </c>
      <c r="O61">
        <v>0.504</v>
      </c>
      <c r="P61">
        <v>0.32500000000000001</v>
      </c>
      <c r="Q61">
        <v>0.54200000000000004</v>
      </c>
      <c r="R61">
        <v>-0.26900000000000002</v>
      </c>
      <c r="S61">
        <v>-0.31999999999999995</v>
      </c>
      <c r="T61">
        <v>-0.25799999999999995</v>
      </c>
      <c r="U61">
        <v>-0.25600000000000001</v>
      </c>
      <c r="V61">
        <v>-0.32138590203106338</v>
      </c>
      <c r="W61">
        <v>-0.38834951456310673</v>
      </c>
      <c r="X61">
        <v>-0.44253859348198965</v>
      </c>
      <c r="Y61">
        <v>-0.32080200501253131</v>
      </c>
      <c r="Z61">
        <v>0.995</v>
      </c>
      <c r="AA61">
        <v>0.995</v>
      </c>
      <c r="AB61">
        <v>0.79300000000000004</v>
      </c>
      <c r="AC61">
        <v>0.995</v>
      </c>
      <c r="AD61">
        <v>0.93500000000000005</v>
      </c>
      <c r="AE61">
        <v>0.95799999999999996</v>
      </c>
      <c r="AF61">
        <v>0.78900000000000003</v>
      </c>
      <c r="AG61">
        <v>0.995</v>
      </c>
      <c r="AH61">
        <v>15.583333333333334</v>
      </c>
      <c r="AI61">
        <v>25.891891891891891</v>
      </c>
      <c r="AJ61">
        <v>197.25</v>
      </c>
      <c r="AK61" t="e">
        <v>#DIV/0!</v>
      </c>
      <c r="AL61" s="1">
        <f t="shared" si="5"/>
        <v>-0.46430229284143398</v>
      </c>
      <c r="AM61" s="1">
        <f t="shared" si="6"/>
        <v>-0.49892409765094653</v>
      </c>
      <c r="AN61" s="1">
        <f t="shared" si="7"/>
        <v>-0.56780395020634145</v>
      </c>
      <c r="AO61" s="1">
        <f t="shared" si="8"/>
        <v>-0.10422122722536672</v>
      </c>
      <c r="AP61" s="1">
        <f t="shared" si="9"/>
        <v>-0.28426176003340037</v>
      </c>
    </row>
    <row r="62" spans="1:42">
      <c r="A62" t="s">
        <v>83</v>
      </c>
      <c r="B62">
        <v>0.16400000000000001</v>
      </c>
      <c r="C62">
        <v>7.9000000000000001E-2</v>
      </c>
      <c r="D62">
        <v>3.7999999999999999E-2</v>
      </c>
      <c r="E62">
        <v>0.16300000000000001</v>
      </c>
      <c r="F62">
        <v>-0.30699999999999994</v>
      </c>
      <c r="G62">
        <v>-0.3</v>
      </c>
      <c r="H62">
        <v>-0.16400000000000001</v>
      </c>
      <c r="I62">
        <v>-1.4999999999999986E-2</v>
      </c>
      <c r="J62">
        <v>-0.65180467091295102</v>
      </c>
      <c r="K62">
        <v>-0.79155672823218992</v>
      </c>
      <c r="L62">
        <v>-0.81188118811881183</v>
      </c>
      <c r="M62">
        <v>-8.4269662921348243E-2</v>
      </c>
      <c r="N62">
        <v>0.66600000000000004</v>
      </c>
      <c r="O62">
        <v>0.63100000000000001</v>
      </c>
      <c r="P62">
        <v>0.38100000000000001</v>
      </c>
      <c r="Q62">
        <v>0.63800000000000001</v>
      </c>
      <c r="R62">
        <v>-0.17099999999999993</v>
      </c>
      <c r="S62">
        <v>-0.19299999999999995</v>
      </c>
      <c r="T62">
        <v>-0.20199999999999996</v>
      </c>
      <c r="U62">
        <v>-0.16000000000000003</v>
      </c>
      <c r="V62">
        <v>-0.20430107526881713</v>
      </c>
      <c r="W62">
        <v>-0.23422330097087374</v>
      </c>
      <c r="X62">
        <v>-0.34648370497427095</v>
      </c>
      <c r="Y62">
        <v>-0.2005012531328321</v>
      </c>
      <c r="Z62">
        <v>0.97299999999999998</v>
      </c>
      <c r="AA62">
        <v>0.99199999999999999</v>
      </c>
      <c r="AB62">
        <v>0.628</v>
      </c>
      <c r="AC62">
        <v>0.97299999999999998</v>
      </c>
      <c r="AD62">
        <v>0.91300000000000003</v>
      </c>
      <c r="AE62">
        <v>0.95499999999999996</v>
      </c>
      <c r="AF62">
        <v>0.624</v>
      </c>
      <c r="AG62">
        <v>0.97299999999999998</v>
      </c>
      <c r="AH62">
        <v>15.216666666666669</v>
      </c>
      <c r="AI62">
        <v>25.810810810810811</v>
      </c>
      <c r="AJ62">
        <v>156</v>
      </c>
      <c r="AK62" t="e">
        <v>#DIV/0!</v>
      </c>
      <c r="AL62" s="1">
        <f t="shared" si="5"/>
        <v>-0.42805287309088408</v>
      </c>
      <c r="AM62" s="1">
        <f t="shared" si="6"/>
        <v>-0.51289001460153183</v>
      </c>
      <c r="AN62" s="1">
        <f t="shared" si="7"/>
        <v>-0.57918244654654139</v>
      </c>
      <c r="AO62" s="1">
        <f t="shared" si="8"/>
        <v>-0.14238545802709018</v>
      </c>
      <c r="AP62" s="1">
        <f t="shared" si="9"/>
        <v>-0.28521916555898713</v>
      </c>
    </row>
    <row r="63" spans="1:42">
      <c r="A63" t="s">
        <v>130</v>
      </c>
      <c r="B63">
        <v>0.191</v>
      </c>
      <c r="C63">
        <v>0.109</v>
      </c>
      <c r="D63">
        <v>4.2000000000000003E-2</v>
      </c>
      <c r="E63">
        <v>0.19700000000000001</v>
      </c>
      <c r="F63">
        <v>-0.27999999999999997</v>
      </c>
      <c r="G63">
        <v>-0.27</v>
      </c>
      <c r="H63">
        <v>-0.16</v>
      </c>
      <c r="I63">
        <v>1.9000000000000017E-2</v>
      </c>
      <c r="J63">
        <v>-0.59447983014861994</v>
      </c>
      <c r="K63">
        <v>-0.71240105540897103</v>
      </c>
      <c r="L63">
        <v>-0.79207920792079201</v>
      </c>
      <c r="M63">
        <v>0.10674157303370796</v>
      </c>
      <c r="N63">
        <v>0.56000000000000005</v>
      </c>
      <c r="O63">
        <v>0.502</v>
      </c>
      <c r="P63">
        <v>0.31</v>
      </c>
      <c r="Q63">
        <v>0.53100000000000003</v>
      </c>
      <c r="R63">
        <v>-0.27699999999999991</v>
      </c>
      <c r="S63">
        <v>-0.32199999999999995</v>
      </c>
      <c r="T63">
        <v>-0.27299999999999996</v>
      </c>
      <c r="U63">
        <v>-0.26700000000000002</v>
      </c>
      <c r="V63">
        <v>-0.33094384707287922</v>
      </c>
      <c r="W63">
        <v>-0.39077669902912615</v>
      </c>
      <c r="X63">
        <v>-0.46826758147512859</v>
      </c>
      <c r="Y63">
        <v>-0.33458646616541354</v>
      </c>
      <c r="Z63">
        <v>0.995</v>
      </c>
      <c r="AA63">
        <v>0.995</v>
      </c>
      <c r="AB63">
        <v>0.81499999999999995</v>
      </c>
      <c r="AC63">
        <v>0.995</v>
      </c>
      <c r="AD63">
        <v>0.93500000000000005</v>
      </c>
      <c r="AE63">
        <v>0.95799999999999996</v>
      </c>
      <c r="AF63">
        <v>0.81099999999999994</v>
      </c>
      <c r="AG63">
        <v>0.995</v>
      </c>
      <c r="AH63">
        <v>15.583333333333334</v>
      </c>
      <c r="AI63">
        <v>25.891891891891891</v>
      </c>
      <c r="AJ63">
        <v>202.74999999999997</v>
      </c>
      <c r="AK63" t="e">
        <v>#DIV/0!</v>
      </c>
      <c r="AL63" s="1">
        <f t="shared" si="5"/>
        <v>-0.4627118386107496</v>
      </c>
      <c r="AM63" s="1">
        <f t="shared" si="6"/>
        <v>-0.55158887721904859</v>
      </c>
      <c r="AN63" s="1">
        <f t="shared" si="7"/>
        <v>-0.6301733946979603</v>
      </c>
      <c r="AO63" s="1">
        <f t="shared" si="8"/>
        <v>-0.11392244656585279</v>
      </c>
      <c r="AP63" s="1">
        <f t="shared" si="9"/>
        <v>-0.28831714258830121</v>
      </c>
    </row>
    <row r="64" spans="1:42">
      <c r="A64" t="s">
        <v>62</v>
      </c>
      <c r="B64">
        <v>0.216</v>
      </c>
      <c r="C64">
        <v>0.123</v>
      </c>
      <c r="D64">
        <v>5.5E-2</v>
      </c>
      <c r="E64">
        <v>0.19700000000000001</v>
      </c>
      <c r="F64">
        <v>-0.255</v>
      </c>
      <c r="G64">
        <v>-0.25600000000000001</v>
      </c>
      <c r="H64">
        <v>-0.14700000000000002</v>
      </c>
      <c r="I64">
        <v>1.9000000000000017E-2</v>
      </c>
      <c r="J64">
        <v>-0.54140127388535031</v>
      </c>
      <c r="K64">
        <v>-0.67546174142480209</v>
      </c>
      <c r="L64">
        <v>-0.72772277227722781</v>
      </c>
      <c r="M64">
        <v>0.10674157303370796</v>
      </c>
      <c r="N64">
        <v>0.51</v>
      </c>
      <c r="O64">
        <v>0.46300000000000002</v>
      </c>
      <c r="P64">
        <v>0.30599999999999999</v>
      </c>
      <c r="Q64">
        <v>0.496</v>
      </c>
      <c r="R64">
        <v>-0.32699999999999996</v>
      </c>
      <c r="S64">
        <v>-0.36099999999999993</v>
      </c>
      <c r="T64">
        <v>-0.27699999999999997</v>
      </c>
      <c r="U64">
        <v>-0.30200000000000005</v>
      </c>
      <c r="V64">
        <v>-0.39068100358422936</v>
      </c>
      <c r="W64">
        <v>-0.43810679611650477</v>
      </c>
      <c r="X64">
        <v>-0.47512864493996565</v>
      </c>
      <c r="Y64">
        <v>-0.37844611528822059</v>
      </c>
      <c r="Z64">
        <v>0.98599999999999999</v>
      </c>
      <c r="AA64">
        <v>0.995</v>
      </c>
      <c r="AB64">
        <v>0.59599999999999997</v>
      </c>
      <c r="AC64">
        <v>0.98599999999999999</v>
      </c>
      <c r="AD64">
        <v>0.92599999999999993</v>
      </c>
      <c r="AE64">
        <v>0.95799999999999996</v>
      </c>
      <c r="AF64">
        <v>0.59199999999999997</v>
      </c>
      <c r="AG64">
        <v>0.98599999999999999</v>
      </c>
      <c r="AH64">
        <v>15.433333333333334</v>
      </c>
      <c r="AI64">
        <v>25.891891891891891</v>
      </c>
      <c r="AJ64">
        <v>148</v>
      </c>
      <c r="AK64" t="e">
        <v>#DIV/0!</v>
      </c>
      <c r="AL64" s="1">
        <f t="shared" si="5"/>
        <v>-0.46604113873478981</v>
      </c>
      <c r="AM64" s="1">
        <f t="shared" si="6"/>
        <v>-0.55678426877065346</v>
      </c>
      <c r="AN64" s="1">
        <f t="shared" si="7"/>
        <v>-0.60142570860859679</v>
      </c>
      <c r="AO64" s="1">
        <f t="shared" si="8"/>
        <v>-0.13585227112725631</v>
      </c>
      <c r="AP64" s="1">
        <f t="shared" si="9"/>
        <v>-0.30094670493102305</v>
      </c>
    </row>
    <row r="65" spans="1:42">
      <c r="A65" t="s">
        <v>74</v>
      </c>
      <c r="B65">
        <v>0.214</v>
      </c>
      <c r="C65">
        <v>0.13300000000000001</v>
      </c>
      <c r="D65">
        <v>5.7000000000000002E-2</v>
      </c>
      <c r="E65">
        <v>0.19</v>
      </c>
      <c r="F65">
        <v>-0.25700000000000001</v>
      </c>
      <c r="G65">
        <v>-0.246</v>
      </c>
      <c r="H65">
        <v>-0.14500000000000002</v>
      </c>
      <c r="I65">
        <v>1.2000000000000011E-2</v>
      </c>
      <c r="J65">
        <v>-0.54564755838641188</v>
      </c>
      <c r="K65">
        <v>-0.64907651715039572</v>
      </c>
      <c r="L65">
        <v>-0.7178217821782179</v>
      </c>
      <c r="M65">
        <v>6.7415730337078719E-2</v>
      </c>
      <c r="N65">
        <v>0.52500000000000002</v>
      </c>
      <c r="O65">
        <v>0.48199999999999998</v>
      </c>
      <c r="P65">
        <v>0.31900000000000001</v>
      </c>
      <c r="Q65">
        <v>0.51200000000000001</v>
      </c>
      <c r="R65">
        <v>-0.31199999999999994</v>
      </c>
      <c r="S65">
        <v>-0.34199999999999997</v>
      </c>
      <c r="T65">
        <v>-0.26399999999999996</v>
      </c>
      <c r="U65">
        <v>-0.28600000000000003</v>
      </c>
      <c r="V65">
        <v>-0.37275985663082434</v>
      </c>
      <c r="W65">
        <v>-0.41504854368932037</v>
      </c>
      <c r="X65">
        <v>-0.45283018867924524</v>
      </c>
      <c r="Y65">
        <v>-0.35839598997493738</v>
      </c>
      <c r="Z65">
        <v>0.98499999999999999</v>
      </c>
      <c r="AA65">
        <v>0.98299999999999998</v>
      </c>
      <c r="AB65">
        <v>0.61699999999999999</v>
      </c>
      <c r="AC65">
        <v>0.99399999999999999</v>
      </c>
      <c r="AD65">
        <v>0.92500000000000004</v>
      </c>
      <c r="AE65">
        <v>0.94599999999999995</v>
      </c>
      <c r="AF65">
        <v>0.61299999999999999</v>
      </c>
      <c r="AG65">
        <v>0.99399999999999999</v>
      </c>
      <c r="AH65">
        <v>15.416666666666668</v>
      </c>
      <c r="AI65">
        <v>25.567567567567568</v>
      </c>
      <c r="AJ65">
        <v>153.25</v>
      </c>
      <c r="AK65" t="e">
        <v>#DIV/0!</v>
      </c>
      <c r="AL65" s="1">
        <f t="shared" si="5"/>
        <v>-0.45920370750861811</v>
      </c>
      <c r="AM65" s="1">
        <f t="shared" si="6"/>
        <v>-0.53206253041985807</v>
      </c>
      <c r="AN65" s="1">
        <f t="shared" si="7"/>
        <v>-0.5853259854287316</v>
      </c>
      <c r="AO65" s="1">
        <f t="shared" si="8"/>
        <v>-0.14549012981892934</v>
      </c>
      <c r="AP65" s="1">
        <f t="shared" si="9"/>
        <v>-0.30234691866377372</v>
      </c>
    </row>
    <row r="66" spans="1:42">
      <c r="A66" t="s">
        <v>37</v>
      </c>
      <c r="B66">
        <v>0.216</v>
      </c>
      <c r="C66">
        <v>0.11799999999999999</v>
      </c>
      <c r="D66">
        <v>5.2999999999999999E-2</v>
      </c>
      <c r="E66">
        <v>0.19400000000000001</v>
      </c>
      <c r="F66">
        <v>-0.255</v>
      </c>
      <c r="G66">
        <v>-0.26100000000000001</v>
      </c>
      <c r="H66">
        <v>-0.14900000000000002</v>
      </c>
      <c r="I66">
        <v>1.6000000000000014E-2</v>
      </c>
      <c r="J66">
        <v>-0.54140127388535031</v>
      </c>
      <c r="K66">
        <v>-0.68865435356200533</v>
      </c>
      <c r="L66">
        <v>-0.73762376237623772</v>
      </c>
      <c r="M66">
        <v>8.9887640449438283E-2</v>
      </c>
      <c r="N66">
        <v>0.51100000000000001</v>
      </c>
      <c r="O66">
        <v>0.46800000000000003</v>
      </c>
      <c r="P66">
        <v>0.309</v>
      </c>
      <c r="Q66">
        <v>0.497</v>
      </c>
      <c r="R66">
        <v>-0.32599999999999996</v>
      </c>
      <c r="S66">
        <v>-0.35599999999999993</v>
      </c>
      <c r="T66">
        <v>-0.27399999999999997</v>
      </c>
      <c r="U66">
        <v>-0.30100000000000005</v>
      </c>
      <c r="V66">
        <v>-0.38948626045400236</v>
      </c>
      <c r="W66">
        <v>-0.43203883495145623</v>
      </c>
      <c r="X66">
        <v>-0.46998284734133788</v>
      </c>
      <c r="Y66">
        <v>-0.37719298245614041</v>
      </c>
      <c r="Z66">
        <v>0.995</v>
      </c>
      <c r="AA66">
        <v>0.995</v>
      </c>
      <c r="AB66">
        <v>0.59399999999999997</v>
      </c>
      <c r="AC66">
        <v>0.995</v>
      </c>
      <c r="AD66">
        <v>0.93500000000000005</v>
      </c>
      <c r="AE66">
        <v>0.95799999999999996</v>
      </c>
      <c r="AF66">
        <v>0.59</v>
      </c>
      <c r="AG66">
        <v>0.995</v>
      </c>
      <c r="AH66">
        <v>15.583333333333334</v>
      </c>
      <c r="AI66">
        <v>25.891891891891891</v>
      </c>
      <c r="AJ66">
        <v>147.5</v>
      </c>
      <c r="AK66" t="e">
        <v>#DIV/0!</v>
      </c>
      <c r="AL66" s="1">
        <f t="shared" ref="AL66:AL97" si="10">AVERAGE(J66,V66)</f>
        <v>-0.46544376716967634</v>
      </c>
      <c r="AM66" s="1">
        <f t="shared" ref="AM66:AM97" si="11">AVERAGE(K66,W66)</f>
        <v>-0.56034659425673072</v>
      </c>
      <c r="AN66" s="1">
        <f t="shared" ref="AN66:AN97" si="12">AVERAGE(L66,X66)</f>
        <v>-0.60380330485878786</v>
      </c>
      <c r="AO66" s="1">
        <f t="shared" ref="AO66:AO97" si="13">AVERAGE(M66,Y66)</f>
        <v>-0.14365267100335105</v>
      </c>
      <c r="AP66" s="1">
        <f t="shared" ref="AP66:AP97" si="14">AVERAGE(J66,M66,V66,Y66)</f>
        <v>-0.30454821908651369</v>
      </c>
    </row>
    <row r="67" spans="1:42">
      <c r="A67" t="s">
        <v>116</v>
      </c>
      <c r="B67">
        <v>0.22600000000000001</v>
      </c>
      <c r="C67">
        <v>0.11899999999999999</v>
      </c>
      <c r="D67">
        <v>4.5999999999999999E-2</v>
      </c>
      <c r="E67">
        <v>0.20799999999999999</v>
      </c>
      <c r="F67">
        <v>-0.24499999999999997</v>
      </c>
      <c r="G67">
        <v>-0.26</v>
      </c>
      <c r="H67">
        <v>-0.15600000000000003</v>
      </c>
      <c r="I67">
        <v>0.03</v>
      </c>
      <c r="J67">
        <v>-0.52016985138004246</v>
      </c>
      <c r="K67">
        <v>-0.68601583113456466</v>
      </c>
      <c r="L67">
        <v>-0.77227722772277241</v>
      </c>
      <c r="M67">
        <v>0.16853932584269662</v>
      </c>
      <c r="N67">
        <v>0.46300000000000002</v>
      </c>
      <c r="O67">
        <v>0.40600000000000003</v>
      </c>
      <c r="P67">
        <v>0.26400000000000001</v>
      </c>
      <c r="Q67">
        <v>0.45300000000000001</v>
      </c>
      <c r="R67">
        <v>-0.37399999999999994</v>
      </c>
      <c r="S67">
        <v>-0.41799999999999993</v>
      </c>
      <c r="T67">
        <v>-0.31899999999999995</v>
      </c>
      <c r="U67">
        <v>-0.34500000000000003</v>
      </c>
      <c r="V67">
        <v>-0.44683393070489841</v>
      </c>
      <c r="W67">
        <v>-0.50728155339805814</v>
      </c>
      <c r="X67">
        <v>-0.54716981132075471</v>
      </c>
      <c r="Y67">
        <v>-0.43233082706766918</v>
      </c>
      <c r="Z67">
        <v>0.97299999999999998</v>
      </c>
      <c r="AA67">
        <v>0.99199999999999999</v>
      </c>
      <c r="AB67">
        <v>0.57099999999999995</v>
      </c>
      <c r="AC67">
        <v>0.97299999999999998</v>
      </c>
      <c r="AD67">
        <v>0.91300000000000003</v>
      </c>
      <c r="AE67">
        <v>0.95499999999999996</v>
      </c>
      <c r="AF67">
        <v>0.56699999999999995</v>
      </c>
      <c r="AG67">
        <v>0.97299999999999998</v>
      </c>
      <c r="AH67">
        <v>15.216666666666669</v>
      </c>
      <c r="AI67">
        <v>25.810810810810811</v>
      </c>
      <c r="AJ67">
        <v>141.74999999999997</v>
      </c>
      <c r="AK67" t="e">
        <v>#DIV/0!</v>
      </c>
      <c r="AL67" s="1">
        <f t="shared" si="10"/>
        <v>-0.48350189104247043</v>
      </c>
      <c r="AM67" s="1">
        <f t="shared" si="11"/>
        <v>-0.59664869226631145</v>
      </c>
      <c r="AN67" s="1">
        <f t="shared" si="12"/>
        <v>-0.65972351952176356</v>
      </c>
      <c r="AO67" s="1">
        <f t="shared" si="13"/>
        <v>-0.13189575061248626</v>
      </c>
      <c r="AP67" s="1">
        <f t="shared" si="14"/>
        <v>-0.30769882082747835</v>
      </c>
    </row>
    <row r="68" spans="1:42">
      <c r="A68" t="s">
        <v>122</v>
      </c>
      <c r="B68">
        <v>0.221</v>
      </c>
      <c r="C68">
        <v>0.11899999999999999</v>
      </c>
      <c r="D68">
        <v>4.5999999999999999E-2</v>
      </c>
      <c r="E68">
        <v>0.20899999999999999</v>
      </c>
      <c r="F68">
        <v>-0.24999999999999997</v>
      </c>
      <c r="G68">
        <v>-0.26</v>
      </c>
      <c r="H68">
        <v>-0.15600000000000003</v>
      </c>
      <c r="I68">
        <v>3.1E-2</v>
      </c>
      <c r="J68">
        <v>-0.53078556263269638</v>
      </c>
      <c r="K68">
        <v>-0.68601583113456466</v>
      </c>
      <c r="L68">
        <v>-0.77227722772277241</v>
      </c>
      <c r="M68">
        <v>0.17415730337078653</v>
      </c>
      <c r="N68">
        <v>0.46200000000000002</v>
      </c>
      <c r="O68">
        <v>0.40799999999999997</v>
      </c>
      <c r="P68">
        <v>0.26500000000000001</v>
      </c>
      <c r="Q68">
        <v>0.45500000000000002</v>
      </c>
      <c r="R68">
        <v>-0.37499999999999994</v>
      </c>
      <c r="S68">
        <v>-0.41599999999999998</v>
      </c>
      <c r="T68">
        <v>-0.31799999999999995</v>
      </c>
      <c r="U68">
        <v>-0.34300000000000003</v>
      </c>
      <c r="V68">
        <v>-0.4480286738351254</v>
      </c>
      <c r="W68">
        <v>-0.50485436893203883</v>
      </c>
      <c r="X68">
        <v>-0.54545454545454541</v>
      </c>
      <c r="Y68">
        <v>-0.42982456140350878</v>
      </c>
      <c r="Z68">
        <v>0.97799999999999998</v>
      </c>
      <c r="AA68">
        <v>0.99199999999999999</v>
      </c>
      <c r="AB68">
        <v>0.56899999999999995</v>
      </c>
      <c r="AC68">
        <v>0.97799999999999998</v>
      </c>
      <c r="AD68">
        <v>0.91799999999999993</v>
      </c>
      <c r="AE68">
        <v>0.95499999999999996</v>
      </c>
      <c r="AF68">
        <v>0.56499999999999995</v>
      </c>
      <c r="AG68">
        <v>0.97799999999999998</v>
      </c>
      <c r="AH68">
        <v>15.299999999999999</v>
      </c>
      <c r="AI68">
        <v>25.810810810810811</v>
      </c>
      <c r="AJ68">
        <v>141.24999999999997</v>
      </c>
      <c r="AK68" t="e">
        <v>#DIV/0!</v>
      </c>
      <c r="AL68" s="1">
        <f t="shared" si="10"/>
        <v>-0.48940711823391092</v>
      </c>
      <c r="AM68" s="1">
        <f t="shared" si="11"/>
        <v>-0.5954351000333018</v>
      </c>
      <c r="AN68" s="1">
        <f t="shared" si="12"/>
        <v>-0.65886588658865897</v>
      </c>
      <c r="AO68" s="1">
        <f t="shared" si="13"/>
        <v>-0.12783362901636114</v>
      </c>
      <c r="AP68" s="1">
        <f t="shared" si="14"/>
        <v>-0.308620373625136</v>
      </c>
    </row>
    <row r="69" spans="1:42">
      <c r="A69" t="s">
        <v>66</v>
      </c>
      <c r="B69">
        <v>0.20799999999999999</v>
      </c>
      <c r="C69">
        <v>0.122</v>
      </c>
      <c r="D69">
        <v>5.5E-2</v>
      </c>
      <c r="E69">
        <v>0.189</v>
      </c>
      <c r="F69">
        <v>-0.26300000000000001</v>
      </c>
      <c r="G69">
        <v>-0.25700000000000001</v>
      </c>
      <c r="H69">
        <v>-0.14700000000000002</v>
      </c>
      <c r="I69">
        <v>1.100000000000001E-2</v>
      </c>
      <c r="J69">
        <v>-0.5583864118895967</v>
      </c>
      <c r="K69">
        <v>-0.67810026385224276</v>
      </c>
      <c r="L69">
        <v>-0.72772277227722781</v>
      </c>
      <c r="M69">
        <v>6.1797752808988825E-2</v>
      </c>
      <c r="N69">
        <v>0.51800000000000002</v>
      </c>
      <c r="O69">
        <v>0.47099999999999997</v>
      </c>
      <c r="P69">
        <v>0.311</v>
      </c>
      <c r="Q69">
        <v>0.505</v>
      </c>
      <c r="R69">
        <v>-0.31899999999999995</v>
      </c>
      <c r="S69">
        <v>-0.35299999999999998</v>
      </c>
      <c r="T69">
        <v>-0.27199999999999996</v>
      </c>
      <c r="U69">
        <v>-0.29300000000000004</v>
      </c>
      <c r="V69">
        <v>-0.38112305854241335</v>
      </c>
      <c r="W69">
        <v>-0.42839805825242716</v>
      </c>
      <c r="X69">
        <v>-0.46655231560891935</v>
      </c>
      <c r="Y69">
        <v>-0.36716791979949875</v>
      </c>
      <c r="Z69">
        <v>0.99299999999999999</v>
      </c>
      <c r="AA69">
        <v>0.995</v>
      </c>
      <c r="AB69">
        <v>0.60899999999999999</v>
      </c>
      <c r="AC69">
        <v>0.99299999999999999</v>
      </c>
      <c r="AD69">
        <v>0.93300000000000005</v>
      </c>
      <c r="AE69">
        <v>0.95799999999999996</v>
      </c>
      <c r="AF69">
        <v>0.60499999999999998</v>
      </c>
      <c r="AG69">
        <v>0.99299999999999999</v>
      </c>
      <c r="AH69">
        <v>15.55</v>
      </c>
      <c r="AI69">
        <v>25.891891891891891</v>
      </c>
      <c r="AJ69">
        <v>151.25</v>
      </c>
      <c r="AK69" t="e">
        <v>#DIV/0!</v>
      </c>
      <c r="AL69" s="1">
        <f t="shared" si="10"/>
        <v>-0.46975473521600503</v>
      </c>
      <c r="AM69" s="1">
        <f t="shared" si="11"/>
        <v>-0.5532491610523349</v>
      </c>
      <c r="AN69" s="1">
        <f t="shared" si="12"/>
        <v>-0.59713754394307361</v>
      </c>
      <c r="AO69" s="1">
        <f t="shared" si="13"/>
        <v>-0.15268508349525498</v>
      </c>
      <c r="AP69" s="1">
        <f t="shared" si="14"/>
        <v>-0.31121990935562999</v>
      </c>
    </row>
    <row r="70" spans="1:42">
      <c r="A70" t="s">
        <v>27</v>
      </c>
      <c r="B70">
        <v>0.192</v>
      </c>
      <c r="C70">
        <v>0.13200000000000001</v>
      </c>
      <c r="D70">
        <v>5.5E-2</v>
      </c>
      <c r="E70">
        <v>0.186</v>
      </c>
      <c r="F70">
        <v>-0.27899999999999997</v>
      </c>
      <c r="G70">
        <v>-0.247</v>
      </c>
      <c r="H70">
        <v>-0.14700000000000002</v>
      </c>
      <c r="I70">
        <v>8.0000000000000071E-3</v>
      </c>
      <c r="J70">
        <v>-0.59235668789808915</v>
      </c>
      <c r="K70">
        <v>-0.65171503957783639</v>
      </c>
      <c r="L70">
        <v>-0.72772277227722781</v>
      </c>
      <c r="M70">
        <v>4.4943820224719142E-2</v>
      </c>
      <c r="N70">
        <v>0.53700000000000003</v>
      </c>
      <c r="O70">
        <v>0.49299999999999999</v>
      </c>
      <c r="P70">
        <v>0.30399999999999999</v>
      </c>
      <c r="Q70">
        <v>0.51100000000000001</v>
      </c>
      <c r="R70">
        <v>-0.29999999999999993</v>
      </c>
      <c r="S70">
        <v>-0.33099999999999996</v>
      </c>
      <c r="T70">
        <v>-0.27899999999999997</v>
      </c>
      <c r="U70">
        <v>-0.28700000000000003</v>
      </c>
      <c r="V70">
        <v>-0.3584229390681003</v>
      </c>
      <c r="W70">
        <v>-0.40169902912621358</v>
      </c>
      <c r="X70">
        <v>-0.47855917667238418</v>
      </c>
      <c r="Y70">
        <v>-0.35964912280701755</v>
      </c>
      <c r="Z70">
        <v>0.99099999999999999</v>
      </c>
      <c r="AA70">
        <v>0.995</v>
      </c>
      <c r="AB70">
        <v>0.77300000000000002</v>
      </c>
      <c r="AC70">
        <v>0.99099999999999999</v>
      </c>
      <c r="AD70">
        <v>0.93100000000000005</v>
      </c>
      <c r="AE70">
        <v>0.95799999999999996</v>
      </c>
      <c r="AF70">
        <v>0.76900000000000002</v>
      </c>
      <c r="AG70">
        <v>0.99099999999999999</v>
      </c>
      <c r="AH70">
        <v>15.516666666666667</v>
      </c>
      <c r="AI70">
        <v>25.891891891891891</v>
      </c>
      <c r="AJ70">
        <v>192.25</v>
      </c>
      <c r="AK70" t="e">
        <v>#DIV/0!</v>
      </c>
      <c r="AL70" s="1">
        <f t="shared" si="10"/>
        <v>-0.47538981348309473</v>
      </c>
      <c r="AM70" s="1">
        <f t="shared" si="11"/>
        <v>-0.52670703435202504</v>
      </c>
      <c r="AN70" s="1">
        <f t="shared" si="12"/>
        <v>-0.60314097447480597</v>
      </c>
      <c r="AO70" s="1">
        <f t="shared" si="13"/>
        <v>-0.1573526512911492</v>
      </c>
      <c r="AP70" s="1">
        <f t="shared" si="14"/>
        <v>-0.31637123238712195</v>
      </c>
    </row>
    <row r="71" spans="1:42">
      <c r="A71" t="s">
        <v>43</v>
      </c>
      <c r="B71">
        <v>0.19900000000000001</v>
      </c>
      <c r="C71">
        <v>0.11899999999999999</v>
      </c>
      <c r="D71">
        <v>5.5E-2</v>
      </c>
      <c r="E71">
        <v>0.183</v>
      </c>
      <c r="F71">
        <v>-0.27199999999999996</v>
      </c>
      <c r="G71">
        <v>-0.26</v>
      </c>
      <c r="H71">
        <v>-0.14700000000000002</v>
      </c>
      <c r="I71">
        <v>5.0000000000000044E-3</v>
      </c>
      <c r="J71">
        <v>-0.57749469214437366</v>
      </c>
      <c r="K71">
        <v>-0.68601583113456466</v>
      </c>
      <c r="L71">
        <v>-0.72772277227722781</v>
      </c>
      <c r="M71">
        <v>2.8089887640449465E-2</v>
      </c>
      <c r="N71">
        <v>0.52100000000000002</v>
      </c>
      <c r="O71">
        <v>0.47499999999999998</v>
      </c>
      <c r="P71">
        <v>0.314</v>
      </c>
      <c r="Q71">
        <v>0.50900000000000001</v>
      </c>
      <c r="R71">
        <v>-0.31599999999999995</v>
      </c>
      <c r="S71">
        <v>-0.34899999999999998</v>
      </c>
      <c r="T71">
        <v>-0.26899999999999996</v>
      </c>
      <c r="U71">
        <v>-0.28900000000000003</v>
      </c>
      <c r="V71">
        <v>-0.37753882915173231</v>
      </c>
      <c r="W71">
        <v>-0.42354368932038833</v>
      </c>
      <c r="X71">
        <v>-0.46140651801029153</v>
      </c>
      <c r="Y71">
        <v>-0.36215538847117795</v>
      </c>
      <c r="Z71">
        <v>0.995</v>
      </c>
      <c r="AA71">
        <v>0.995</v>
      </c>
      <c r="AB71">
        <v>0.61299999999999999</v>
      </c>
      <c r="AC71">
        <v>0.995</v>
      </c>
      <c r="AD71">
        <v>0.93500000000000005</v>
      </c>
      <c r="AE71">
        <v>0.95799999999999996</v>
      </c>
      <c r="AF71">
        <v>0.60899999999999999</v>
      </c>
      <c r="AG71">
        <v>0.995</v>
      </c>
      <c r="AH71">
        <v>15.583333333333334</v>
      </c>
      <c r="AI71">
        <v>25.891891891891891</v>
      </c>
      <c r="AJ71">
        <v>152.25</v>
      </c>
      <c r="AK71" t="e">
        <v>#DIV/0!</v>
      </c>
      <c r="AL71" s="1">
        <f t="shared" si="10"/>
        <v>-0.47751676064805298</v>
      </c>
      <c r="AM71" s="1">
        <f t="shared" si="11"/>
        <v>-0.55477976022747644</v>
      </c>
      <c r="AN71" s="1">
        <f t="shared" si="12"/>
        <v>-0.59456464514375962</v>
      </c>
      <c r="AO71" s="1">
        <f t="shared" si="13"/>
        <v>-0.16703275041536425</v>
      </c>
      <c r="AP71" s="1">
        <f t="shared" si="14"/>
        <v>-0.32227475553170859</v>
      </c>
    </row>
    <row r="72" spans="1:42">
      <c r="A72" t="s">
        <v>136</v>
      </c>
      <c r="B72">
        <v>0.20300000000000001</v>
      </c>
      <c r="C72">
        <v>0.13800000000000001</v>
      </c>
      <c r="D72">
        <v>5.6000000000000001E-2</v>
      </c>
      <c r="E72">
        <v>0.17100000000000001</v>
      </c>
      <c r="F72">
        <v>-0.26799999999999996</v>
      </c>
      <c r="G72">
        <v>-0.24099999999999999</v>
      </c>
      <c r="H72">
        <v>-0.14600000000000002</v>
      </c>
      <c r="I72">
        <v>-6.9999999999999785E-3</v>
      </c>
      <c r="J72">
        <v>-0.56900212314225052</v>
      </c>
      <c r="K72">
        <v>-0.63588390501319259</v>
      </c>
      <c r="L72">
        <v>-0.72277227722772286</v>
      </c>
      <c r="M72">
        <v>-3.9325842696629094E-2</v>
      </c>
      <c r="N72">
        <v>0.55500000000000005</v>
      </c>
      <c r="O72">
        <v>0.49299999999999999</v>
      </c>
      <c r="P72">
        <v>0.314</v>
      </c>
      <c r="Q72">
        <v>0.52200000000000002</v>
      </c>
      <c r="R72">
        <v>-0.28199999999999992</v>
      </c>
      <c r="S72">
        <v>-0.33099999999999996</v>
      </c>
      <c r="T72">
        <v>-0.26899999999999996</v>
      </c>
      <c r="U72">
        <v>-0.27600000000000002</v>
      </c>
      <c r="V72">
        <v>-0.33691756272401424</v>
      </c>
      <c r="W72">
        <v>-0.40169902912621358</v>
      </c>
      <c r="X72">
        <v>-0.46140651801029153</v>
      </c>
      <c r="Y72">
        <v>-0.34586466165413537</v>
      </c>
      <c r="Z72">
        <v>0.995</v>
      </c>
      <c r="AA72">
        <v>0.995</v>
      </c>
      <c r="AB72">
        <v>0.80700000000000005</v>
      </c>
      <c r="AC72">
        <v>0.995</v>
      </c>
      <c r="AD72">
        <v>0.93500000000000005</v>
      </c>
      <c r="AE72">
        <v>0.95799999999999996</v>
      </c>
      <c r="AF72">
        <v>0.80300000000000005</v>
      </c>
      <c r="AG72">
        <v>0.995</v>
      </c>
      <c r="AH72">
        <v>15.583333333333334</v>
      </c>
      <c r="AI72">
        <v>25.891891891891891</v>
      </c>
      <c r="AJ72">
        <v>200.75</v>
      </c>
      <c r="AK72" t="e">
        <v>#DIV/0!</v>
      </c>
      <c r="AL72" s="1">
        <f t="shared" si="10"/>
        <v>-0.45295984293313241</v>
      </c>
      <c r="AM72" s="1">
        <f t="shared" si="11"/>
        <v>-0.51879146706970314</v>
      </c>
      <c r="AN72" s="1">
        <f t="shared" si="12"/>
        <v>-0.59208939761900714</v>
      </c>
      <c r="AO72" s="1">
        <f t="shared" si="13"/>
        <v>-0.19259525217538223</v>
      </c>
      <c r="AP72" s="1">
        <f t="shared" si="14"/>
        <v>-0.3227775475542573</v>
      </c>
    </row>
    <row r="73" spans="1:42">
      <c r="A73" t="s">
        <v>124</v>
      </c>
      <c r="B73">
        <v>0.17599999999999999</v>
      </c>
      <c r="C73">
        <v>9.6000000000000002E-2</v>
      </c>
      <c r="D73">
        <v>4.1000000000000002E-2</v>
      </c>
      <c r="E73">
        <v>0.17799999999999999</v>
      </c>
      <c r="F73">
        <v>-0.29499999999999998</v>
      </c>
      <c r="G73">
        <v>-0.28300000000000003</v>
      </c>
      <c r="H73">
        <v>-0.161</v>
      </c>
      <c r="I73">
        <v>0</v>
      </c>
      <c r="J73">
        <v>-0.62632696390658171</v>
      </c>
      <c r="K73">
        <v>-0.7467018469656993</v>
      </c>
      <c r="L73">
        <v>-0.79702970297029696</v>
      </c>
      <c r="M73">
        <v>0</v>
      </c>
      <c r="N73">
        <v>0.55800000000000005</v>
      </c>
      <c r="O73">
        <v>0.502</v>
      </c>
      <c r="P73">
        <v>0.317</v>
      </c>
      <c r="Q73">
        <v>0.52600000000000002</v>
      </c>
      <c r="R73">
        <v>-0.27899999999999991</v>
      </c>
      <c r="S73">
        <v>-0.32199999999999995</v>
      </c>
      <c r="T73">
        <v>-0.26599999999999996</v>
      </c>
      <c r="U73">
        <v>-0.27200000000000002</v>
      </c>
      <c r="V73">
        <v>-0.33333333333333326</v>
      </c>
      <c r="W73">
        <v>-0.39077669902912615</v>
      </c>
      <c r="X73">
        <v>-0.45626072041166377</v>
      </c>
      <c r="Y73">
        <v>-0.34085213032581452</v>
      </c>
      <c r="Z73">
        <v>0.995</v>
      </c>
      <c r="AA73">
        <v>0.995</v>
      </c>
      <c r="AB73">
        <v>0.83699999999999997</v>
      </c>
      <c r="AC73">
        <v>0.995</v>
      </c>
      <c r="AD73">
        <v>0.93500000000000005</v>
      </c>
      <c r="AE73">
        <v>0.95799999999999996</v>
      </c>
      <c r="AF73">
        <v>0.83299999999999996</v>
      </c>
      <c r="AG73">
        <v>0.995</v>
      </c>
      <c r="AH73">
        <v>15.583333333333334</v>
      </c>
      <c r="AI73">
        <v>25.891891891891891</v>
      </c>
      <c r="AJ73">
        <v>208.25</v>
      </c>
      <c r="AK73" t="e">
        <v>#DIV/0!</v>
      </c>
      <c r="AL73" s="1">
        <f t="shared" si="10"/>
        <v>-0.47983014861995749</v>
      </c>
      <c r="AM73" s="1">
        <f t="shared" si="11"/>
        <v>-0.56873927299741278</v>
      </c>
      <c r="AN73" s="1">
        <f t="shared" si="12"/>
        <v>-0.62664521169098042</v>
      </c>
      <c r="AO73" s="1">
        <f t="shared" si="13"/>
        <v>-0.17042606516290726</v>
      </c>
      <c r="AP73" s="1">
        <f t="shared" si="14"/>
        <v>-0.32512810689143234</v>
      </c>
    </row>
    <row r="74" spans="1:42">
      <c r="A74" t="s">
        <v>142</v>
      </c>
      <c r="B74">
        <v>0.20100000000000001</v>
      </c>
      <c r="C74">
        <v>0.14099999999999999</v>
      </c>
      <c r="D74">
        <v>5.8999999999999997E-2</v>
      </c>
      <c r="E74">
        <v>0.16900000000000001</v>
      </c>
      <c r="F74">
        <v>-0.26999999999999996</v>
      </c>
      <c r="G74">
        <v>-0.23800000000000002</v>
      </c>
      <c r="H74">
        <v>-0.14300000000000002</v>
      </c>
      <c r="I74">
        <v>-8.9999999999999802E-3</v>
      </c>
      <c r="J74">
        <v>-0.57324840764331209</v>
      </c>
      <c r="K74">
        <v>-0.6279683377308708</v>
      </c>
      <c r="L74">
        <v>-0.70792079207920799</v>
      </c>
      <c r="M74">
        <v>-5.0561797752808883E-2</v>
      </c>
      <c r="N74">
        <v>0.55600000000000005</v>
      </c>
      <c r="O74">
        <v>0.49199999999999999</v>
      </c>
      <c r="P74">
        <v>0.312</v>
      </c>
      <c r="Q74">
        <v>0.52200000000000002</v>
      </c>
      <c r="R74">
        <v>-0.28099999999999992</v>
      </c>
      <c r="S74">
        <v>-0.33199999999999996</v>
      </c>
      <c r="T74">
        <v>-0.27099999999999996</v>
      </c>
      <c r="U74">
        <v>-0.27600000000000002</v>
      </c>
      <c r="V74">
        <v>-0.33572281959378725</v>
      </c>
      <c r="W74">
        <v>-0.40291262135922329</v>
      </c>
      <c r="X74">
        <v>-0.46483704974271006</v>
      </c>
      <c r="Y74">
        <v>-0.34586466165413537</v>
      </c>
      <c r="Z74">
        <v>0.995</v>
      </c>
      <c r="AA74">
        <v>0.995</v>
      </c>
      <c r="AB74">
        <v>0.79</v>
      </c>
      <c r="AC74">
        <v>0.995</v>
      </c>
      <c r="AD74">
        <v>0.93500000000000005</v>
      </c>
      <c r="AE74">
        <v>0.95799999999999996</v>
      </c>
      <c r="AF74">
        <v>0.78600000000000003</v>
      </c>
      <c r="AG74">
        <v>0.995</v>
      </c>
      <c r="AH74">
        <v>15.583333333333334</v>
      </c>
      <c r="AI74">
        <v>25.891891891891891</v>
      </c>
      <c r="AJ74">
        <v>196.5</v>
      </c>
      <c r="AK74" t="e">
        <v>#DIV/0!</v>
      </c>
      <c r="AL74" s="1">
        <f t="shared" si="10"/>
        <v>-0.45448561361854967</v>
      </c>
      <c r="AM74" s="1">
        <f t="shared" si="11"/>
        <v>-0.51544047954504701</v>
      </c>
      <c r="AN74" s="1">
        <f t="shared" si="12"/>
        <v>-0.586378920910959</v>
      </c>
      <c r="AO74" s="1">
        <f t="shared" si="13"/>
        <v>-0.19821322970347213</v>
      </c>
      <c r="AP74" s="1">
        <f t="shared" si="14"/>
        <v>-0.32634942166101089</v>
      </c>
    </row>
    <row r="75" spans="1:42">
      <c r="A75" t="s">
        <v>52</v>
      </c>
      <c r="B75">
        <v>0.18099999999999999</v>
      </c>
      <c r="C75">
        <v>0.126</v>
      </c>
      <c r="D75">
        <v>5.0999999999999997E-2</v>
      </c>
      <c r="E75">
        <v>0.17</v>
      </c>
      <c r="F75">
        <v>-0.28999999999999998</v>
      </c>
      <c r="G75">
        <v>-0.253</v>
      </c>
      <c r="H75">
        <v>-0.15100000000000002</v>
      </c>
      <c r="I75">
        <v>-7.9999999999999793E-3</v>
      </c>
      <c r="J75">
        <v>-0.61571125265392779</v>
      </c>
      <c r="K75">
        <v>-0.66754617414248019</v>
      </c>
      <c r="L75">
        <v>-0.74752475247524763</v>
      </c>
      <c r="M75">
        <v>-4.4943820224718989E-2</v>
      </c>
      <c r="N75">
        <v>0.55800000000000005</v>
      </c>
      <c r="O75">
        <v>0.50900000000000001</v>
      </c>
      <c r="P75">
        <v>0.32900000000000001</v>
      </c>
      <c r="Q75">
        <v>0.53100000000000003</v>
      </c>
      <c r="R75">
        <v>-0.27899999999999991</v>
      </c>
      <c r="S75">
        <v>-0.31499999999999995</v>
      </c>
      <c r="T75">
        <v>-0.25399999999999995</v>
      </c>
      <c r="U75">
        <v>-0.26700000000000002</v>
      </c>
      <c r="V75">
        <v>-0.33333333333333326</v>
      </c>
      <c r="W75">
        <v>-0.38228155339805819</v>
      </c>
      <c r="X75">
        <v>-0.43567753001715259</v>
      </c>
      <c r="Y75">
        <v>-0.33458646616541354</v>
      </c>
      <c r="Z75">
        <v>0.995</v>
      </c>
      <c r="AA75">
        <v>0.995</v>
      </c>
      <c r="AB75">
        <v>0.81200000000000006</v>
      </c>
      <c r="AC75">
        <v>0.995</v>
      </c>
      <c r="AD75">
        <v>0.93500000000000005</v>
      </c>
      <c r="AE75">
        <v>0.95799999999999996</v>
      </c>
      <c r="AF75">
        <v>0.80800000000000005</v>
      </c>
      <c r="AG75">
        <v>0.995</v>
      </c>
      <c r="AH75">
        <v>15.583333333333334</v>
      </c>
      <c r="AI75">
        <v>25.891891891891891</v>
      </c>
      <c r="AJ75">
        <v>202</v>
      </c>
      <c r="AK75" t="e">
        <v>#DIV/0!</v>
      </c>
      <c r="AL75" s="1">
        <f t="shared" si="10"/>
        <v>-0.47452229299363052</v>
      </c>
      <c r="AM75" s="1">
        <f t="shared" si="11"/>
        <v>-0.52491386377026916</v>
      </c>
      <c r="AN75" s="1">
        <f t="shared" si="12"/>
        <v>-0.59160114124620011</v>
      </c>
      <c r="AO75" s="1">
        <f t="shared" si="13"/>
        <v>-0.18976514319506627</v>
      </c>
      <c r="AP75" s="1">
        <f t="shared" si="14"/>
        <v>-0.33214371809434839</v>
      </c>
    </row>
    <row r="76" spans="1:42">
      <c r="A76" t="s">
        <v>111</v>
      </c>
      <c r="B76">
        <v>0.17799999999999999</v>
      </c>
      <c r="C76">
        <v>8.4000000000000005E-2</v>
      </c>
      <c r="D76">
        <v>2.7E-2</v>
      </c>
      <c r="E76">
        <v>0.15</v>
      </c>
      <c r="F76">
        <v>-0.29299999999999998</v>
      </c>
      <c r="G76">
        <v>-0.29499999999999998</v>
      </c>
      <c r="H76">
        <v>-0.17500000000000002</v>
      </c>
      <c r="I76">
        <v>-2.7999999999999997E-2</v>
      </c>
      <c r="J76">
        <v>-0.62208067940552014</v>
      </c>
      <c r="K76">
        <v>-0.77836411609498679</v>
      </c>
      <c r="L76">
        <v>-0.86633663366336633</v>
      </c>
      <c r="M76">
        <v>-0.15730337078651685</v>
      </c>
      <c r="N76">
        <v>0.60899999999999999</v>
      </c>
      <c r="O76">
        <v>0.53300000000000003</v>
      </c>
      <c r="P76">
        <v>0.32100000000000001</v>
      </c>
      <c r="Q76">
        <v>0.57199999999999995</v>
      </c>
      <c r="R76">
        <v>-0.22799999999999998</v>
      </c>
      <c r="S76">
        <v>-0.29099999999999993</v>
      </c>
      <c r="T76">
        <v>-0.26199999999999996</v>
      </c>
      <c r="U76">
        <v>-0.22600000000000009</v>
      </c>
      <c r="V76">
        <v>-0.27240143369175623</v>
      </c>
      <c r="W76">
        <v>-0.3531553398058252</v>
      </c>
      <c r="X76">
        <v>-0.44939965694682671</v>
      </c>
      <c r="Y76">
        <v>-0.28320802005012541</v>
      </c>
      <c r="Z76">
        <v>0.94399999999999995</v>
      </c>
      <c r="AA76">
        <v>0.97199999999999998</v>
      </c>
      <c r="AB76">
        <v>0.621</v>
      </c>
      <c r="AC76">
        <v>0.95299999999999996</v>
      </c>
      <c r="AD76">
        <v>0.8839999999999999</v>
      </c>
      <c r="AE76">
        <v>0.93499999999999994</v>
      </c>
      <c r="AF76">
        <v>0.61699999999999999</v>
      </c>
      <c r="AG76">
        <v>0.95299999999999996</v>
      </c>
      <c r="AH76">
        <v>14.733333333333333</v>
      </c>
      <c r="AI76">
        <v>25.27027027027027</v>
      </c>
      <c r="AJ76">
        <v>154.25</v>
      </c>
      <c r="AK76" t="e">
        <v>#DIV/0!</v>
      </c>
      <c r="AL76" s="1">
        <f t="shared" si="10"/>
        <v>-0.44724105654863822</v>
      </c>
      <c r="AM76" s="1">
        <f t="shared" si="11"/>
        <v>-0.56575972795040597</v>
      </c>
      <c r="AN76" s="1">
        <f t="shared" si="12"/>
        <v>-0.65786814530509652</v>
      </c>
      <c r="AO76" s="1">
        <f t="shared" si="13"/>
        <v>-0.22025569541832113</v>
      </c>
      <c r="AP76" s="1">
        <f t="shared" si="14"/>
        <v>-0.33374837598347967</v>
      </c>
    </row>
    <row r="77" spans="1:42">
      <c r="A77" t="s">
        <v>58</v>
      </c>
      <c r="B77">
        <v>0.19400000000000001</v>
      </c>
      <c r="C77">
        <v>0.13200000000000001</v>
      </c>
      <c r="D77">
        <v>0.06</v>
      </c>
      <c r="E77">
        <v>0.158</v>
      </c>
      <c r="F77">
        <v>-0.27699999999999997</v>
      </c>
      <c r="G77">
        <v>-0.247</v>
      </c>
      <c r="H77">
        <v>-0.14200000000000002</v>
      </c>
      <c r="I77">
        <v>-1.999999999999999E-2</v>
      </c>
      <c r="J77">
        <v>-0.58811040339702758</v>
      </c>
      <c r="K77">
        <v>-0.65171503957783639</v>
      </c>
      <c r="L77">
        <v>-0.70297029702970304</v>
      </c>
      <c r="M77">
        <v>-0.11235955056179771</v>
      </c>
      <c r="N77">
        <v>0.54500000000000004</v>
      </c>
      <c r="O77">
        <v>0.497</v>
      </c>
      <c r="P77">
        <v>0.32900000000000001</v>
      </c>
      <c r="Q77">
        <v>0.53300000000000003</v>
      </c>
      <c r="R77">
        <v>-0.29199999999999993</v>
      </c>
      <c r="S77">
        <v>-0.32699999999999996</v>
      </c>
      <c r="T77">
        <v>-0.25399999999999995</v>
      </c>
      <c r="U77">
        <v>-0.26500000000000001</v>
      </c>
      <c r="V77">
        <v>-0.34886499402628429</v>
      </c>
      <c r="W77">
        <v>-0.39684466019417475</v>
      </c>
      <c r="X77">
        <v>-0.43567753001715259</v>
      </c>
      <c r="Y77">
        <v>-0.33208020050125314</v>
      </c>
      <c r="Z77">
        <v>0.99399999999999999</v>
      </c>
      <c r="AA77">
        <v>0.995</v>
      </c>
      <c r="AB77">
        <v>0.629</v>
      </c>
      <c r="AC77">
        <v>0.99399999999999999</v>
      </c>
      <c r="AD77">
        <v>0.93399999999999994</v>
      </c>
      <c r="AE77">
        <v>0.95799999999999996</v>
      </c>
      <c r="AF77">
        <v>0.625</v>
      </c>
      <c r="AG77">
        <v>0.99399999999999999</v>
      </c>
      <c r="AH77">
        <v>15.566666666666666</v>
      </c>
      <c r="AI77">
        <v>25.891891891891891</v>
      </c>
      <c r="AJ77">
        <v>156.25</v>
      </c>
      <c r="AK77" t="e">
        <v>#DIV/0!</v>
      </c>
      <c r="AL77" s="1">
        <f t="shared" si="10"/>
        <v>-0.46848769871165596</v>
      </c>
      <c r="AM77" s="1">
        <f t="shared" si="11"/>
        <v>-0.52427984988600551</v>
      </c>
      <c r="AN77" s="1">
        <f t="shared" si="12"/>
        <v>-0.56932391352342782</v>
      </c>
      <c r="AO77" s="1">
        <f t="shared" si="13"/>
        <v>-0.22221987553152542</v>
      </c>
      <c r="AP77" s="1">
        <f t="shared" si="14"/>
        <v>-0.34535378712159065</v>
      </c>
    </row>
    <row r="78" spans="1:42">
      <c r="A78" t="s">
        <v>10</v>
      </c>
      <c r="B78">
        <v>0.184</v>
      </c>
      <c r="C78">
        <v>0.14299999999999999</v>
      </c>
      <c r="D78">
        <v>5.6000000000000001E-2</v>
      </c>
      <c r="E78">
        <v>0.14699999999999999</v>
      </c>
      <c r="F78">
        <v>-0.28699999999999998</v>
      </c>
      <c r="G78">
        <v>-0.23600000000000002</v>
      </c>
      <c r="H78">
        <v>-0.14600000000000002</v>
      </c>
      <c r="I78">
        <v>-3.1E-2</v>
      </c>
      <c r="J78">
        <v>-0.60934182590233543</v>
      </c>
      <c r="K78">
        <v>-0.62269129287598945</v>
      </c>
      <c r="L78">
        <v>-0.72277227722772286</v>
      </c>
      <c r="M78">
        <v>-0.17415730337078653</v>
      </c>
      <c r="N78">
        <v>0.57499999999999996</v>
      </c>
      <c r="O78">
        <v>0.52900000000000003</v>
      </c>
      <c r="P78">
        <v>0.35399999999999998</v>
      </c>
      <c r="Q78">
        <v>0.56399999999999995</v>
      </c>
      <c r="R78">
        <v>-0.26200000000000001</v>
      </c>
      <c r="S78">
        <v>-0.29499999999999993</v>
      </c>
      <c r="T78">
        <v>-0.22899999999999998</v>
      </c>
      <c r="U78">
        <v>-0.2340000000000001</v>
      </c>
      <c r="V78">
        <v>-0.31302270011947436</v>
      </c>
      <c r="W78">
        <v>-0.35800970873786403</v>
      </c>
      <c r="X78">
        <v>-0.39279588336192112</v>
      </c>
      <c r="Y78">
        <v>-0.29323308270676701</v>
      </c>
      <c r="Z78">
        <v>0.995</v>
      </c>
      <c r="AA78">
        <v>0.995</v>
      </c>
      <c r="AB78">
        <v>0.75</v>
      </c>
      <c r="AC78">
        <v>0.995</v>
      </c>
      <c r="AD78">
        <v>0.93500000000000005</v>
      </c>
      <c r="AE78">
        <v>0.95799999999999996</v>
      </c>
      <c r="AF78">
        <v>0.746</v>
      </c>
      <c r="AG78">
        <v>0.995</v>
      </c>
      <c r="AH78">
        <v>15.583333333333334</v>
      </c>
      <c r="AI78">
        <v>25.891891891891891</v>
      </c>
      <c r="AJ78">
        <v>186.5</v>
      </c>
      <c r="AK78" t="e">
        <v>#DIV/0!</v>
      </c>
      <c r="AL78" s="1">
        <f t="shared" si="10"/>
        <v>-0.46118226301090492</v>
      </c>
      <c r="AM78" s="1">
        <f t="shared" si="11"/>
        <v>-0.49035050080692677</v>
      </c>
      <c r="AN78" s="1">
        <f t="shared" si="12"/>
        <v>-0.55778408029482196</v>
      </c>
      <c r="AO78" s="1">
        <f t="shared" si="13"/>
        <v>-0.23369519303877678</v>
      </c>
      <c r="AP78" s="1">
        <f t="shared" si="14"/>
        <v>-0.34743872802484083</v>
      </c>
    </row>
    <row r="79" spans="1:42">
      <c r="A79" t="s">
        <v>44</v>
      </c>
      <c r="B79">
        <v>0.153</v>
      </c>
      <c r="C79">
        <v>8.6999999999999994E-2</v>
      </c>
      <c r="D79">
        <v>3.3000000000000002E-2</v>
      </c>
      <c r="E79">
        <v>0.19600000000000001</v>
      </c>
      <c r="F79">
        <v>-0.31799999999999995</v>
      </c>
      <c r="G79">
        <v>-0.29200000000000004</v>
      </c>
      <c r="H79">
        <v>-0.16900000000000001</v>
      </c>
      <c r="I79">
        <v>1.8000000000000016E-2</v>
      </c>
      <c r="J79">
        <v>-0.67515923566878977</v>
      </c>
      <c r="K79">
        <v>-0.770448548812665</v>
      </c>
      <c r="L79">
        <v>-0.8366336633663366</v>
      </c>
      <c r="M79">
        <v>0.10112359550561807</v>
      </c>
      <c r="N79">
        <v>0.49299999999999999</v>
      </c>
      <c r="O79">
        <v>0.42599999999999999</v>
      </c>
      <c r="P79">
        <v>0.24299999999999999</v>
      </c>
      <c r="Q79">
        <v>0.47499999999999998</v>
      </c>
      <c r="R79">
        <v>-0.34399999999999997</v>
      </c>
      <c r="S79">
        <v>-0.39799999999999996</v>
      </c>
      <c r="T79">
        <v>-0.33999999999999997</v>
      </c>
      <c r="U79">
        <v>-0.32300000000000006</v>
      </c>
      <c r="V79">
        <v>-0.41099163679808842</v>
      </c>
      <c r="W79">
        <v>-0.48300970873786409</v>
      </c>
      <c r="X79">
        <v>-0.58319039451114918</v>
      </c>
      <c r="Y79">
        <v>-0.40476190476190482</v>
      </c>
      <c r="Z79">
        <v>0.995</v>
      </c>
      <c r="AA79">
        <v>0.995</v>
      </c>
      <c r="AB79">
        <v>0.82199999999999995</v>
      </c>
      <c r="AC79">
        <v>0.995</v>
      </c>
      <c r="AD79">
        <v>0.93500000000000005</v>
      </c>
      <c r="AE79">
        <v>0.95799999999999996</v>
      </c>
      <c r="AF79">
        <v>0.81799999999999995</v>
      </c>
      <c r="AG79">
        <v>0.995</v>
      </c>
      <c r="AH79">
        <v>15.583333333333334</v>
      </c>
      <c r="AI79">
        <v>25.891891891891891</v>
      </c>
      <c r="AJ79">
        <v>204.49999999999997</v>
      </c>
      <c r="AK79" t="e">
        <v>#DIV/0!</v>
      </c>
      <c r="AL79" s="1">
        <f t="shared" si="10"/>
        <v>-0.54307543623343912</v>
      </c>
      <c r="AM79" s="1">
        <f t="shared" si="11"/>
        <v>-0.62672912877526454</v>
      </c>
      <c r="AN79" s="1">
        <f t="shared" si="12"/>
        <v>-0.70991202893874283</v>
      </c>
      <c r="AO79" s="1">
        <f t="shared" si="13"/>
        <v>-0.15181915462814338</v>
      </c>
      <c r="AP79" s="1">
        <f t="shared" si="14"/>
        <v>-0.34744729543079123</v>
      </c>
    </row>
    <row r="80" spans="1:42">
      <c r="A80" t="s">
        <v>64</v>
      </c>
      <c r="B80">
        <v>0.193</v>
      </c>
      <c r="C80">
        <v>0.121</v>
      </c>
      <c r="D80">
        <v>5.1999999999999998E-2</v>
      </c>
      <c r="E80">
        <v>0.14799999999999999</v>
      </c>
      <c r="F80">
        <v>-0.27799999999999997</v>
      </c>
      <c r="G80">
        <v>-0.25800000000000001</v>
      </c>
      <c r="H80">
        <v>-0.15000000000000002</v>
      </c>
      <c r="I80">
        <v>-0.03</v>
      </c>
      <c r="J80">
        <v>-0.59023354564755837</v>
      </c>
      <c r="K80">
        <v>-0.68073878627968343</v>
      </c>
      <c r="L80">
        <v>-0.74257425742574268</v>
      </c>
      <c r="M80">
        <v>-0.16853932584269662</v>
      </c>
      <c r="N80">
        <v>0.56299999999999994</v>
      </c>
      <c r="O80">
        <v>0.502</v>
      </c>
      <c r="P80">
        <v>0.32300000000000001</v>
      </c>
      <c r="Q80">
        <v>0.54700000000000004</v>
      </c>
      <c r="R80">
        <v>-0.27400000000000002</v>
      </c>
      <c r="S80">
        <v>-0.32199999999999995</v>
      </c>
      <c r="T80">
        <v>-0.25999999999999995</v>
      </c>
      <c r="U80">
        <v>-0.251</v>
      </c>
      <c r="V80">
        <v>-0.32735961768219835</v>
      </c>
      <c r="W80">
        <v>-0.39077669902912615</v>
      </c>
      <c r="X80">
        <v>-0.44596912521440818</v>
      </c>
      <c r="Y80">
        <v>-0.31453634085213034</v>
      </c>
      <c r="Z80">
        <v>0.995</v>
      </c>
      <c r="AA80">
        <v>0.995</v>
      </c>
      <c r="AB80">
        <v>0.753</v>
      </c>
      <c r="AC80">
        <v>0.995</v>
      </c>
      <c r="AD80">
        <v>0.93500000000000005</v>
      </c>
      <c r="AE80">
        <v>0.95799999999999996</v>
      </c>
      <c r="AF80">
        <v>0.749</v>
      </c>
      <c r="AG80">
        <v>0.995</v>
      </c>
      <c r="AH80">
        <v>15.583333333333334</v>
      </c>
      <c r="AI80">
        <v>25.891891891891891</v>
      </c>
      <c r="AJ80">
        <v>187.25</v>
      </c>
      <c r="AK80" t="e">
        <v>#DIV/0!</v>
      </c>
      <c r="AL80" s="1">
        <f t="shared" si="10"/>
        <v>-0.45879658166487836</v>
      </c>
      <c r="AM80" s="1">
        <f t="shared" si="11"/>
        <v>-0.53575774265440479</v>
      </c>
      <c r="AN80" s="1">
        <f t="shared" si="12"/>
        <v>-0.5942716913200754</v>
      </c>
      <c r="AO80" s="1">
        <f t="shared" si="13"/>
        <v>-0.24153783334741347</v>
      </c>
      <c r="AP80" s="1">
        <f t="shared" si="14"/>
        <v>-0.35016720750614594</v>
      </c>
    </row>
    <row r="81" spans="1:42">
      <c r="A81" t="s">
        <v>19</v>
      </c>
      <c r="B81">
        <v>0.183</v>
      </c>
      <c r="C81">
        <v>0.121</v>
      </c>
      <c r="D81">
        <v>4.9000000000000002E-2</v>
      </c>
      <c r="E81">
        <v>0.14599999999999999</v>
      </c>
      <c r="F81">
        <v>-0.28799999999999998</v>
      </c>
      <c r="G81">
        <v>-0.25800000000000001</v>
      </c>
      <c r="H81">
        <v>-0.15300000000000002</v>
      </c>
      <c r="I81">
        <v>-3.2000000000000001E-2</v>
      </c>
      <c r="J81">
        <v>-0.61146496815286622</v>
      </c>
      <c r="K81">
        <v>-0.68073878627968343</v>
      </c>
      <c r="L81">
        <v>-0.75742574257425754</v>
      </c>
      <c r="M81">
        <v>-0.17977528089887643</v>
      </c>
      <c r="N81">
        <v>0.56699999999999995</v>
      </c>
      <c r="O81">
        <v>0.52900000000000003</v>
      </c>
      <c r="P81">
        <v>0.35599999999999998</v>
      </c>
      <c r="Q81">
        <v>0.55900000000000005</v>
      </c>
      <c r="R81">
        <v>-0.27</v>
      </c>
      <c r="S81">
        <v>-0.29499999999999993</v>
      </c>
      <c r="T81">
        <v>-0.22699999999999998</v>
      </c>
      <c r="U81">
        <v>-0.23899999999999999</v>
      </c>
      <c r="V81">
        <v>-0.32258064516129037</v>
      </c>
      <c r="W81">
        <v>-0.35800970873786403</v>
      </c>
      <c r="X81">
        <v>-0.38936535162950259</v>
      </c>
      <c r="Y81">
        <v>-0.29949874686716788</v>
      </c>
      <c r="Z81">
        <v>0.995</v>
      </c>
      <c r="AA81">
        <v>0.995</v>
      </c>
      <c r="AB81">
        <v>0.72799999999999998</v>
      </c>
      <c r="AC81">
        <v>0.995</v>
      </c>
      <c r="AD81">
        <v>0.93500000000000005</v>
      </c>
      <c r="AE81">
        <v>0.95799999999999996</v>
      </c>
      <c r="AF81">
        <v>0.72399999999999998</v>
      </c>
      <c r="AG81">
        <v>0.995</v>
      </c>
      <c r="AH81">
        <v>15.583333333333334</v>
      </c>
      <c r="AI81">
        <v>25.891891891891891</v>
      </c>
      <c r="AJ81">
        <v>181</v>
      </c>
      <c r="AK81" t="e">
        <v>#DIV/0!</v>
      </c>
      <c r="AL81" s="1">
        <f t="shared" si="10"/>
        <v>-0.46702280665707829</v>
      </c>
      <c r="AM81" s="1">
        <f t="shared" si="11"/>
        <v>-0.5193742475087737</v>
      </c>
      <c r="AN81" s="1">
        <f t="shared" si="12"/>
        <v>-0.57339554710188012</v>
      </c>
      <c r="AO81" s="1">
        <f t="shared" si="13"/>
        <v>-0.23963701388302217</v>
      </c>
      <c r="AP81" s="1">
        <f t="shared" si="14"/>
        <v>-0.35332991027005023</v>
      </c>
    </row>
    <row r="82" spans="1:42">
      <c r="A82" t="s">
        <v>12</v>
      </c>
      <c r="B82">
        <v>0.183</v>
      </c>
      <c r="C82">
        <v>0.121</v>
      </c>
      <c r="D82">
        <v>4.9000000000000002E-2</v>
      </c>
      <c r="E82">
        <v>0.14599999999999999</v>
      </c>
      <c r="F82">
        <v>-0.28799999999999998</v>
      </c>
      <c r="G82">
        <v>-0.25800000000000001</v>
      </c>
      <c r="H82">
        <v>-0.15300000000000002</v>
      </c>
      <c r="I82">
        <v>-3.2000000000000001E-2</v>
      </c>
      <c r="J82">
        <v>-0.61146496815286622</v>
      </c>
      <c r="K82">
        <v>-0.68073878627968343</v>
      </c>
      <c r="L82">
        <v>-0.75742574257425754</v>
      </c>
      <c r="M82">
        <v>-0.17977528089887643</v>
      </c>
      <c r="N82">
        <v>0.56699999999999995</v>
      </c>
      <c r="O82">
        <v>0.52900000000000003</v>
      </c>
      <c r="P82">
        <v>0.35599999999999998</v>
      </c>
      <c r="Q82">
        <v>0.55900000000000005</v>
      </c>
      <c r="R82">
        <v>-0.27</v>
      </c>
      <c r="S82">
        <v>-0.29499999999999993</v>
      </c>
      <c r="T82">
        <v>-0.22699999999999998</v>
      </c>
      <c r="U82">
        <v>-0.23899999999999999</v>
      </c>
      <c r="V82">
        <v>-0.32258064516129037</v>
      </c>
      <c r="W82">
        <v>-0.35800970873786403</v>
      </c>
      <c r="X82">
        <v>-0.38936535162950259</v>
      </c>
      <c r="Y82">
        <v>-0.29949874686716788</v>
      </c>
      <c r="Z82">
        <v>0.995</v>
      </c>
      <c r="AA82">
        <v>0.995</v>
      </c>
      <c r="AB82">
        <v>0.72799999999999998</v>
      </c>
      <c r="AC82">
        <v>0.995</v>
      </c>
      <c r="AD82">
        <v>0.93500000000000005</v>
      </c>
      <c r="AE82">
        <v>0.95799999999999996</v>
      </c>
      <c r="AF82">
        <v>0.72399999999999998</v>
      </c>
      <c r="AG82">
        <v>0.995</v>
      </c>
      <c r="AH82">
        <v>15.583333333333334</v>
      </c>
      <c r="AI82">
        <v>25.891891891891891</v>
      </c>
      <c r="AJ82">
        <v>181</v>
      </c>
      <c r="AK82" t="e">
        <v>#DIV/0!</v>
      </c>
      <c r="AL82" s="1">
        <f t="shared" si="10"/>
        <v>-0.46702280665707829</v>
      </c>
      <c r="AM82" s="1">
        <f t="shared" si="11"/>
        <v>-0.5193742475087737</v>
      </c>
      <c r="AN82" s="1">
        <f t="shared" si="12"/>
        <v>-0.57339554710188012</v>
      </c>
      <c r="AO82" s="1">
        <f t="shared" si="13"/>
        <v>-0.23963701388302217</v>
      </c>
      <c r="AP82" s="1">
        <f t="shared" si="14"/>
        <v>-0.35332991027005023</v>
      </c>
    </row>
    <row r="83" spans="1:42">
      <c r="A83" t="s">
        <v>79</v>
      </c>
      <c r="B83">
        <v>0.14099999999999999</v>
      </c>
      <c r="C83">
        <v>7.0999999999999994E-2</v>
      </c>
      <c r="D83">
        <v>3.3000000000000002E-2</v>
      </c>
      <c r="E83">
        <v>0.127</v>
      </c>
      <c r="F83">
        <v>-0.32999999999999996</v>
      </c>
      <c r="G83">
        <v>-0.308</v>
      </c>
      <c r="H83">
        <v>-0.16900000000000001</v>
      </c>
      <c r="I83">
        <v>-5.099999999999999E-2</v>
      </c>
      <c r="J83">
        <v>-0.70063694267515919</v>
      </c>
      <c r="K83">
        <v>-0.81266490765171506</v>
      </c>
      <c r="L83">
        <v>-0.8366336633663366</v>
      </c>
      <c r="M83">
        <v>-0.28651685393258425</v>
      </c>
      <c r="N83">
        <v>0.65700000000000003</v>
      </c>
      <c r="O83">
        <v>0.61899999999999999</v>
      </c>
      <c r="P83">
        <v>0.36699999999999999</v>
      </c>
      <c r="Q83">
        <v>0.628</v>
      </c>
      <c r="R83">
        <v>-0.17999999999999994</v>
      </c>
      <c r="S83">
        <v>-0.20499999999999996</v>
      </c>
      <c r="T83">
        <v>-0.21599999999999997</v>
      </c>
      <c r="U83">
        <v>-0.17000000000000004</v>
      </c>
      <c r="V83">
        <v>-0.21505376344086016</v>
      </c>
      <c r="W83">
        <v>-0.24878640776699026</v>
      </c>
      <c r="X83">
        <v>-0.37049742710120065</v>
      </c>
      <c r="Y83">
        <v>-0.21303258145363413</v>
      </c>
      <c r="Z83">
        <v>0.97299999999999998</v>
      </c>
      <c r="AA83">
        <v>0.99099999999999999</v>
      </c>
      <c r="AB83">
        <v>0.59899999999999998</v>
      </c>
      <c r="AC83">
        <v>0.97299999999999998</v>
      </c>
      <c r="AD83">
        <v>0.91300000000000003</v>
      </c>
      <c r="AE83">
        <v>0.95399999999999996</v>
      </c>
      <c r="AF83">
        <v>0.59499999999999997</v>
      </c>
      <c r="AG83">
        <v>0.97299999999999998</v>
      </c>
      <c r="AH83">
        <v>15.216666666666669</v>
      </c>
      <c r="AI83">
        <v>25.783783783783782</v>
      </c>
      <c r="AJ83">
        <v>148.75</v>
      </c>
      <c r="AK83" t="e">
        <v>#DIV/0!</v>
      </c>
      <c r="AL83" s="1">
        <f t="shared" si="10"/>
        <v>-0.45784535305800966</v>
      </c>
      <c r="AM83" s="1">
        <f t="shared" si="11"/>
        <v>-0.53072565770935265</v>
      </c>
      <c r="AN83" s="1">
        <f t="shared" si="12"/>
        <v>-0.6035655452337686</v>
      </c>
      <c r="AO83" s="1">
        <f t="shared" si="13"/>
        <v>-0.24977471769310919</v>
      </c>
      <c r="AP83" s="1">
        <f t="shared" si="14"/>
        <v>-0.35381003537555944</v>
      </c>
    </row>
    <row r="84" spans="1:42">
      <c r="A84" t="s">
        <v>146</v>
      </c>
      <c r="B84">
        <v>0.17899999999999999</v>
      </c>
      <c r="C84">
        <v>0.121</v>
      </c>
      <c r="D84">
        <v>0.05</v>
      </c>
      <c r="E84">
        <v>0.14299999999999999</v>
      </c>
      <c r="F84">
        <v>-0.29199999999999998</v>
      </c>
      <c r="G84">
        <v>-0.25800000000000001</v>
      </c>
      <c r="H84">
        <v>-0.15200000000000002</v>
      </c>
      <c r="I84">
        <v>-3.5000000000000003E-2</v>
      </c>
      <c r="J84">
        <v>-0.61995753715498936</v>
      </c>
      <c r="K84">
        <v>-0.68073878627968343</v>
      </c>
      <c r="L84">
        <v>-0.75247524752475259</v>
      </c>
      <c r="M84">
        <v>-0.1966292134831461</v>
      </c>
      <c r="N84">
        <v>0.56899999999999995</v>
      </c>
      <c r="O84">
        <v>0.52200000000000002</v>
      </c>
      <c r="P84">
        <v>0.34300000000000003</v>
      </c>
      <c r="Q84">
        <v>0.55800000000000005</v>
      </c>
      <c r="R84">
        <v>-0.26800000000000002</v>
      </c>
      <c r="S84">
        <v>-0.30199999999999994</v>
      </c>
      <c r="T84">
        <v>-0.23999999999999994</v>
      </c>
      <c r="U84">
        <v>-0.24</v>
      </c>
      <c r="V84">
        <v>-0.32019115890083633</v>
      </c>
      <c r="W84">
        <v>-0.36650485436893199</v>
      </c>
      <c r="X84">
        <v>-0.41166380789022289</v>
      </c>
      <c r="Y84">
        <v>-0.3007518796992481</v>
      </c>
      <c r="Z84">
        <v>0.995</v>
      </c>
      <c r="AA84">
        <v>0.995</v>
      </c>
      <c r="AB84">
        <v>0.72899999999999998</v>
      </c>
      <c r="AC84">
        <v>0.995</v>
      </c>
      <c r="AD84">
        <v>0.93500000000000005</v>
      </c>
      <c r="AE84">
        <v>0.95799999999999996</v>
      </c>
      <c r="AF84">
        <v>0.72499999999999998</v>
      </c>
      <c r="AG84">
        <v>0.995</v>
      </c>
      <c r="AH84">
        <v>15.583333333333334</v>
      </c>
      <c r="AI84">
        <v>25.891891891891891</v>
      </c>
      <c r="AJ84">
        <v>181.25</v>
      </c>
      <c r="AK84" t="e">
        <v>#DIV/0!</v>
      </c>
      <c r="AL84" s="1">
        <f t="shared" si="10"/>
        <v>-0.47007434802791281</v>
      </c>
      <c r="AM84" s="1">
        <f t="shared" si="11"/>
        <v>-0.52362182032430771</v>
      </c>
      <c r="AN84" s="1">
        <f t="shared" si="12"/>
        <v>-0.58206952770748777</v>
      </c>
      <c r="AO84" s="1">
        <f t="shared" si="13"/>
        <v>-0.2486905465911971</v>
      </c>
      <c r="AP84" s="1">
        <f t="shared" si="14"/>
        <v>-0.35938244730955499</v>
      </c>
    </row>
    <row r="85" spans="1:42">
      <c r="A85" t="s">
        <v>70</v>
      </c>
      <c r="B85">
        <v>0.182</v>
      </c>
      <c r="C85">
        <v>0.123</v>
      </c>
      <c r="D85">
        <v>5.0999999999999997E-2</v>
      </c>
      <c r="E85">
        <v>0.17299999999999999</v>
      </c>
      <c r="F85">
        <v>-0.28899999999999998</v>
      </c>
      <c r="G85">
        <v>-0.25600000000000001</v>
      </c>
      <c r="H85">
        <v>-0.15100000000000002</v>
      </c>
      <c r="I85">
        <v>-5.0000000000000044E-3</v>
      </c>
      <c r="J85">
        <v>-0.613588110403397</v>
      </c>
      <c r="K85">
        <v>-0.67546174142480209</v>
      </c>
      <c r="L85">
        <v>-0.74752475247524763</v>
      </c>
      <c r="M85">
        <v>-2.8089887640449465E-2</v>
      </c>
      <c r="N85">
        <v>0.496</v>
      </c>
      <c r="O85">
        <v>0.443</v>
      </c>
      <c r="P85">
        <v>0.28999999999999998</v>
      </c>
      <c r="Q85">
        <v>0.48</v>
      </c>
      <c r="R85">
        <v>-0.34099999999999997</v>
      </c>
      <c r="S85">
        <v>-0.38099999999999995</v>
      </c>
      <c r="T85">
        <v>-0.29299999999999998</v>
      </c>
      <c r="U85">
        <v>-0.31800000000000006</v>
      </c>
      <c r="V85">
        <v>-0.40740740740740738</v>
      </c>
      <c r="W85">
        <v>-0.46237864077669899</v>
      </c>
      <c r="X85">
        <v>-0.50257289879931388</v>
      </c>
      <c r="Y85">
        <v>-0.39849624060150379</v>
      </c>
      <c r="Z85">
        <v>0.98699999999999999</v>
      </c>
      <c r="AA85">
        <v>0.995</v>
      </c>
      <c r="AB85">
        <v>0.624</v>
      </c>
      <c r="AC85">
        <v>0.98699999999999999</v>
      </c>
      <c r="AD85">
        <v>0.92700000000000005</v>
      </c>
      <c r="AE85">
        <v>0.95799999999999996</v>
      </c>
      <c r="AF85">
        <v>0.62</v>
      </c>
      <c r="AG85">
        <v>0.98699999999999999</v>
      </c>
      <c r="AH85">
        <v>15.450000000000001</v>
      </c>
      <c r="AI85">
        <v>25.891891891891891</v>
      </c>
      <c r="AJ85">
        <v>155</v>
      </c>
      <c r="AK85" t="e">
        <v>#DIV/0!</v>
      </c>
      <c r="AL85" s="1">
        <f t="shared" si="10"/>
        <v>-0.51049775890540217</v>
      </c>
      <c r="AM85" s="1">
        <f t="shared" si="11"/>
        <v>-0.56892019110075054</v>
      </c>
      <c r="AN85" s="1">
        <f t="shared" si="12"/>
        <v>-0.62504882563728081</v>
      </c>
      <c r="AO85" s="1">
        <f t="shared" si="13"/>
        <v>-0.21329306412097662</v>
      </c>
      <c r="AP85" s="1">
        <f t="shared" si="14"/>
        <v>-0.36189541151318944</v>
      </c>
    </row>
    <row r="86" spans="1:42">
      <c r="A86" t="s">
        <v>72</v>
      </c>
      <c r="B86">
        <v>0.14399999999999999</v>
      </c>
      <c r="C86">
        <v>0.123</v>
      </c>
      <c r="D86">
        <v>5.5E-2</v>
      </c>
      <c r="E86">
        <v>0.15</v>
      </c>
      <c r="F86">
        <v>-0.32699999999999996</v>
      </c>
      <c r="G86">
        <v>-0.25600000000000001</v>
      </c>
      <c r="H86">
        <v>-0.14700000000000002</v>
      </c>
      <c r="I86">
        <v>-2.7999999999999997E-2</v>
      </c>
      <c r="J86">
        <v>-0.69426751592356684</v>
      </c>
      <c r="K86">
        <v>-0.67546174142480209</v>
      </c>
      <c r="L86">
        <v>-0.72772277227722781</v>
      </c>
      <c r="M86">
        <v>-0.15730337078651685</v>
      </c>
      <c r="N86">
        <v>0.56699999999999995</v>
      </c>
      <c r="O86">
        <v>0.50600000000000001</v>
      </c>
      <c r="P86">
        <v>0.33500000000000002</v>
      </c>
      <c r="Q86">
        <v>0.55400000000000005</v>
      </c>
      <c r="R86">
        <v>-0.27</v>
      </c>
      <c r="S86">
        <v>-0.31799999999999995</v>
      </c>
      <c r="T86">
        <v>-0.24799999999999994</v>
      </c>
      <c r="U86">
        <v>-0.24399999999999999</v>
      </c>
      <c r="V86">
        <v>-0.32258064516129037</v>
      </c>
      <c r="W86">
        <v>-0.38592233009708732</v>
      </c>
      <c r="X86">
        <v>-0.425385934819897</v>
      </c>
      <c r="Y86">
        <v>-0.30576441102756891</v>
      </c>
      <c r="Z86">
        <v>0.97699999999999998</v>
      </c>
      <c r="AA86">
        <v>0.98599999999999999</v>
      </c>
      <c r="AB86">
        <v>0.75600000000000001</v>
      </c>
      <c r="AC86">
        <v>0.98099999999999998</v>
      </c>
      <c r="AD86">
        <v>0.91700000000000004</v>
      </c>
      <c r="AE86">
        <v>0.94899999999999995</v>
      </c>
      <c r="AF86">
        <v>0.752</v>
      </c>
      <c r="AG86">
        <v>0.98099999999999998</v>
      </c>
      <c r="AH86">
        <v>15.283333333333335</v>
      </c>
      <c r="AI86">
        <v>25.648648648648649</v>
      </c>
      <c r="AJ86">
        <v>188</v>
      </c>
      <c r="AK86" t="e">
        <v>#DIV/0!</v>
      </c>
      <c r="AL86" s="1">
        <f t="shared" si="10"/>
        <v>-0.5084240805424286</v>
      </c>
      <c r="AM86" s="1">
        <f t="shared" si="11"/>
        <v>-0.5306920357609447</v>
      </c>
      <c r="AN86" s="1">
        <f t="shared" si="12"/>
        <v>-0.57655435354856244</v>
      </c>
      <c r="AO86" s="1">
        <f t="shared" si="13"/>
        <v>-0.23153389090704288</v>
      </c>
      <c r="AP86" s="1">
        <f t="shared" si="14"/>
        <v>-0.36997898572473575</v>
      </c>
    </row>
    <row r="87" spans="1:42">
      <c r="A87" t="s">
        <v>25</v>
      </c>
      <c r="B87">
        <v>0.17499999999999999</v>
      </c>
      <c r="C87">
        <v>0.155</v>
      </c>
      <c r="D87">
        <v>6.2E-2</v>
      </c>
      <c r="E87">
        <v>0.13200000000000001</v>
      </c>
      <c r="F87">
        <v>-0.29599999999999999</v>
      </c>
      <c r="G87">
        <v>-0.224</v>
      </c>
      <c r="H87">
        <v>-0.14000000000000001</v>
      </c>
      <c r="I87">
        <v>-4.5999999999999985E-2</v>
      </c>
      <c r="J87">
        <v>-0.6284501061571125</v>
      </c>
      <c r="K87">
        <v>-0.59102902374670185</v>
      </c>
      <c r="L87">
        <v>-0.69306930693069313</v>
      </c>
      <c r="M87">
        <v>-0.25842696629213474</v>
      </c>
      <c r="N87">
        <v>0.58099999999999996</v>
      </c>
      <c r="O87">
        <v>0.54</v>
      </c>
      <c r="P87">
        <v>0.36399999999999999</v>
      </c>
      <c r="Q87">
        <v>0.56499999999999995</v>
      </c>
      <c r="R87">
        <v>-0.25600000000000001</v>
      </c>
      <c r="S87">
        <v>-0.28399999999999992</v>
      </c>
      <c r="T87">
        <v>-0.21899999999999997</v>
      </c>
      <c r="U87">
        <v>-0.2330000000000001</v>
      </c>
      <c r="V87">
        <v>-0.30585424133811234</v>
      </c>
      <c r="W87">
        <v>-0.34466019417475718</v>
      </c>
      <c r="X87">
        <v>-0.37564322469982847</v>
      </c>
      <c r="Y87">
        <v>-0.29197994987468684</v>
      </c>
      <c r="Z87">
        <v>0.995</v>
      </c>
      <c r="AA87">
        <v>0.995</v>
      </c>
      <c r="AB87">
        <v>0.72199999999999998</v>
      </c>
      <c r="AC87">
        <v>0.995</v>
      </c>
      <c r="AD87">
        <v>0.93500000000000005</v>
      </c>
      <c r="AE87">
        <v>0.95799999999999996</v>
      </c>
      <c r="AF87">
        <v>0.71799999999999997</v>
      </c>
      <c r="AG87">
        <v>0.995</v>
      </c>
      <c r="AH87">
        <v>15.583333333333334</v>
      </c>
      <c r="AI87">
        <v>25.891891891891891</v>
      </c>
      <c r="AJ87">
        <v>179.5</v>
      </c>
      <c r="AK87" t="e">
        <v>#DIV/0!</v>
      </c>
      <c r="AL87" s="1">
        <f t="shared" si="10"/>
        <v>-0.46715217374761242</v>
      </c>
      <c r="AM87" s="1">
        <f t="shared" si="11"/>
        <v>-0.46784460896072955</v>
      </c>
      <c r="AN87" s="1">
        <f t="shared" si="12"/>
        <v>-0.53435626581526074</v>
      </c>
      <c r="AO87" s="1">
        <f t="shared" si="13"/>
        <v>-0.27520345808341079</v>
      </c>
      <c r="AP87" s="1">
        <f t="shared" si="14"/>
        <v>-0.37117781591551158</v>
      </c>
    </row>
    <row r="88" spans="1:42">
      <c r="A88" t="s">
        <v>140</v>
      </c>
      <c r="B88">
        <v>0.18099999999999999</v>
      </c>
      <c r="C88">
        <v>0.11899999999999999</v>
      </c>
      <c r="D88">
        <v>4.9000000000000002E-2</v>
      </c>
      <c r="E88">
        <v>0.13400000000000001</v>
      </c>
      <c r="F88">
        <v>-0.28999999999999998</v>
      </c>
      <c r="G88">
        <v>-0.26</v>
      </c>
      <c r="H88">
        <v>-0.15300000000000002</v>
      </c>
      <c r="I88">
        <v>-4.3999999999999984E-2</v>
      </c>
      <c r="J88">
        <v>-0.61571125265392779</v>
      </c>
      <c r="K88">
        <v>-0.68601583113456466</v>
      </c>
      <c r="L88">
        <v>-0.75742574257425754</v>
      </c>
      <c r="M88">
        <v>-0.24719101123595497</v>
      </c>
      <c r="N88">
        <v>0.56100000000000005</v>
      </c>
      <c r="O88">
        <v>0.52200000000000002</v>
      </c>
      <c r="P88">
        <v>0.34100000000000003</v>
      </c>
      <c r="Q88">
        <v>0.54900000000000004</v>
      </c>
      <c r="R88">
        <v>-0.27599999999999991</v>
      </c>
      <c r="S88">
        <v>-0.30199999999999994</v>
      </c>
      <c r="T88">
        <v>-0.24199999999999994</v>
      </c>
      <c r="U88">
        <v>-0.249</v>
      </c>
      <c r="V88">
        <v>-0.32974910394265222</v>
      </c>
      <c r="W88">
        <v>-0.36650485436893199</v>
      </c>
      <c r="X88">
        <v>-0.41509433962264142</v>
      </c>
      <c r="Y88">
        <v>-0.31203007518796988</v>
      </c>
      <c r="Z88">
        <v>0.995</v>
      </c>
      <c r="AA88">
        <v>0.995</v>
      </c>
      <c r="AB88">
        <v>0.71899999999999997</v>
      </c>
      <c r="AC88">
        <v>0.995</v>
      </c>
      <c r="AD88">
        <v>0.93500000000000005</v>
      </c>
      <c r="AE88">
        <v>0.95799999999999996</v>
      </c>
      <c r="AF88">
        <v>0.71499999999999997</v>
      </c>
      <c r="AG88">
        <v>0.995</v>
      </c>
      <c r="AH88">
        <v>15.583333333333334</v>
      </c>
      <c r="AI88">
        <v>25.891891891891891</v>
      </c>
      <c r="AJ88">
        <v>178.75</v>
      </c>
      <c r="AK88" t="e">
        <v>#DIV/0!</v>
      </c>
      <c r="AL88" s="1">
        <f t="shared" si="10"/>
        <v>-0.47273017829829</v>
      </c>
      <c r="AM88" s="1">
        <f t="shared" si="11"/>
        <v>-0.52626034275174827</v>
      </c>
      <c r="AN88" s="1">
        <f t="shared" si="12"/>
        <v>-0.58626004109844954</v>
      </c>
      <c r="AO88" s="1">
        <f t="shared" si="13"/>
        <v>-0.27961054321196244</v>
      </c>
      <c r="AP88" s="1">
        <f t="shared" si="14"/>
        <v>-0.37617036075512622</v>
      </c>
    </row>
    <row r="89" spans="1:42">
      <c r="A89" t="s">
        <v>15</v>
      </c>
      <c r="B89">
        <v>0.16600000000000001</v>
      </c>
      <c r="C89">
        <v>0.1</v>
      </c>
      <c r="D89">
        <v>3.5999999999999997E-2</v>
      </c>
      <c r="E89">
        <v>0.17199999999999999</v>
      </c>
      <c r="F89">
        <v>-0.30499999999999994</v>
      </c>
      <c r="G89">
        <v>-0.27900000000000003</v>
      </c>
      <c r="H89">
        <v>-0.16600000000000001</v>
      </c>
      <c r="I89">
        <v>-6.0000000000000053E-3</v>
      </c>
      <c r="J89">
        <v>-0.64755838641188945</v>
      </c>
      <c r="K89">
        <v>-0.73614775725593673</v>
      </c>
      <c r="L89">
        <v>-0.82178217821782173</v>
      </c>
      <c r="M89">
        <v>-3.370786516853936E-2</v>
      </c>
      <c r="N89">
        <v>0.48799999999999999</v>
      </c>
      <c r="O89">
        <v>0.42199999999999999</v>
      </c>
      <c r="P89">
        <v>0.24099999999999999</v>
      </c>
      <c r="Q89">
        <v>0.47099999999999997</v>
      </c>
      <c r="R89">
        <v>-0.34899999999999998</v>
      </c>
      <c r="S89">
        <v>-0.40199999999999997</v>
      </c>
      <c r="T89">
        <v>-0.34199999999999997</v>
      </c>
      <c r="U89">
        <v>-0.32700000000000007</v>
      </c>
      <c r="V89">
        <v>-0.41696535244922339</v>
      </c>
      <c r="W89">
        <v>-0.48786407766990292</v>
      </c>
      <c r="X89">
        <v>-0.58662092624356776</v>
      </c>
      <c r="Y89">
        <v>-0.40977443609022562</v>
      </c>
      <c r="Z89">
        <v>0.995</v>
      </c>
      <c r="AA89">
        <v>0.995</v>
      </c>
      <c r="AB89">
        <v>0.83399999999999996</v>
      </c>
      <c r="AC89">
        <v>0.995</v>
      </c>
      <c r="AD89">
        <v>0.93500000000000005</v>
      </c>
      <c r="AE89">
        <v>0.95799999999999996</v>
      </c>
      <c r="AF89">
        <v>0.83</v>
      </c>
      <c r="AG89">
        <v>0.995</v>
      </c>
      <c r="AH89">
        <v>15.583333333333334</v>
      </c>
      <c r="AI89">
        <v>25.891891891891891</v>
      </c>
      <c r="AJ89">
        <v>207.49999999999997</v>
      </c>
      <c r="AK89" t="e">
        <v>#DIV/0!</v>
      </c>
      <c r="AL89" s="1">
        <f t="shared" si="10"/>
        <v>-0.53226186943055642</v>
      </c>
      <c r="AM89" s="1">
        <f t="shared" si="11"/>
        <v>-0.61200591746291977</v>
      </c>
      <c r="AN89" s="1">
        <f t="shared" si="12"/>
        <v>-0.7042015522306948</v>
      </c>
      <c r="AO89" s="1">
        <f t="shared" si="13"/>
        <v>-0.22174115062938249</v>
      </c>
      <c r="AP89" s="1">
        <f t="shared" si="14"/>
        <v>-0.37700151002996946</v>
      </c>
    </row>
    <row r="90" spans="1:42">
      <c r="A90" t="s">
        <v>6</v>
      </c>
      <c r="B90">
        <v>0.183</v>
      </c>
      <c r="C90">
        <v>0.107</v>
      </c>
      <c r="D90">
        <v>3.7999999999999999E-2</v>
      </c>
      <c r="E90">
        <v>0.17100000000000001</v>
      </c>
      <c r="F90">
        <v>-0.28799999999999998</v>
      </c>
      <c r="G90">
        <v>-0.27200000000000002</v>
      </c>
      <c r="H90">
        <v>-0.16400000000000001</v>
      </c>
      <c r="I90">
        <v>-6.9999999999999785E-3</v>
      </c>
      <c r="J90">
        <v>-0.61146496815286622</v>
      </c>
      <c r="K90">
        <v>-0.71767810026385226</v>
      </c>
      <c r="L90">
        <v>-0.81188118811881183</v>
      </c>
      <c r="M90">
        <v>-3.9325842696629094E-2</v>
      </c>
      <c r="N90">
        <v>0.47199999999999998</v>
      </c>
      <c r="O90">
        <v>0.40699999999999997</v>
      </c>
      <c r="P90">
        <v>0.224</v>
      </c>
      <c r="Q90">
        <v>0.46100000000000002</v>
      </c>
      <c r="R90">
        <v>-0.36499999999999999</v>
      </c>
      <c r="S90">
        <v>-0.41699999999999998</v>
      </c>
      <c r="T90">
        <v>-0.35899999999999999</v>
      </c>
      <c r="U90">
        <v>-0.33700000000000002</v>
      </c>
      <c r="V90">
        <v>-0.43608124253285546</v>
      </c>
      <c r="W90">
        <v>-0.5060679611650486</v>
      </c>
      <c r="X90">
        <v>-0.61578044596912518</v>
      </c>
      <c r="Y90">
        <v>-0.42230576441102757</v>
      </c>
      <c r="Z90">
        <v>0.995</v>
      </c>
      <c r="AA90">
        <v>0.995</v>
      </c>
      <c r="AB90">
        <v>0.79100000000000004</v>
      </c>
      <c r="AC90">
        <v>0.995</v>
      </c>
      <c r="AD90">
        <v>0.93500000000000005</v>
      </c>
      <c r="AE90">
        <v>0.95799999999999996</v>
      </c>
      <c r="AF90">
        <v>0.78700000000000003</v>
      </c>
      <c r="AG90">
        <v>0.995</v>
      </c>
      <c r="AH90">
        <v>15.583333333333334</v>
      </c>
      <c r="AI90">
        <v>25.891891891891891</v>
      </c>
      <c r="AJ90">
        <v>196.75</v>
      </c>
      <c r="AK90" t="e">
        <v>#DIV/0!</v>
      </c>
      <c r="AL90" s="1">
        <f t="shared" si="10"/>
        <v>-0.52377310534286081</v>
      </c>
      <c r="AM90" s="1">
        <f t="shared" si="11"/>
        <v>-0.61187303071445043</v>
      </c>
      <c r="AN90" s="1">
        <f t="shared" si="12"/>
        <v>-0.71383081704396845</v>
      </c>
      <c r="AO90" s="1">
        <f t="shared" si="13"/>
        <v>-0.23081580355382833</v>
      </c>
      <c r="AP90" s="1">
        <f t="shared" si="14"/>
        <v>-0.37729445444834459</v>
      </c>
    </row>
    <row r="91" spans="1:42">
      <c r="A91" t="s">
        <v>134</v>
      </c>
      <c r="B91">
        <v>0.15</v>
      </c>
      <c r="C91">
        <v>9.4E-2</v>
      </c>
      <c r="D91">
        <v>4.2999999999999997E-2</v>
      </c>
      <c r="E91">
        <v>0.13700000000000001</v>
      </c>
      <c r="F91">
        <v>-0.32099999999999995</v>
      </c>
      <c r="G91">
        <v>-0.28500000000000003</v>
      </c>
      <c r="H91">
        <v>-0.15900000000000003</v>
      </c>
      <c r="I91">
        <v>-4.0999999999999981E-2</v>
      </c>
      <c r="J91">
        <v>-0.68152866242038213</v>
      </c>
      <c r="K91">
        <v>-0.75197889182058053</v>
      </c>
      <c r="L91">
        <v>-0.78712871287128727</v>
      </c>
      <c r="M91">
        <v>-0.23033707865168529</v>
      </c>
      <c r="N91">
        <v>0.56299999999999994</v>
      </c>
      <c r="O91">
        <v>0.51100000000000001</v>
      </c>
      <c r="P91">
        <v>0.34399999999999997</v>
      </c>
      <c r="Q91">
        <v>0.56000000000000005</v>
      </c>
      <c r="R91">
        <v>-0.27400000000000002</v>
      </c>
      <c r="S91">
        <v>-0.31299999999999994</v>
      </c>
      <c r="T91">
        <v>-0.23899999999999999</v>
      </c>
      <c r="U91">
        <v>-0.23799999999999999</v>
      </c>
      <c r="V91">
        <v>-0.32735961768219835</v>
      </c>
      <c r="W91">
        <v>-0.37985436893203878</v>
      </c>
      <c r="X91">
        <v>-0.40994854202401371</v>
      </c>
      <c r="Y91">
        <v>-0.2982456140350877</v>
      </c>
      <c r="Z91">
        <v>0.995</v>
      </c>
      <c r="AA91">
        <v>0.995</v>
      </c>
      <c r="AB91">
        <v>0.72699999999999998</v>
      </c>
      <c r="AC91">
        <v>0.995</v>
      </c>
      <c r="AD91">
        <v>0.93500000000000005</v>
      </c>
      <c r="AE91">
        <v>0.95799999999999996</v>
      </c>
      <c r="AF91">
        <v>0.72299999999999998</v>
      </c>
      <c r="AG91">
        <v>0.995</v>
      </c>
      <c r="AH91">
        <v>15.583333333333334</v>
      </c>
      <c r="AI91">
        <v>25.891891891891891</v>
      </c>
      <c r="AJ91">
        <v>180.75</v>
      </c>
      <c r="AK91" t="e">
        <v>#DIV/0!</v>
      </c>
      <c r="AL91" s="1">
        <f t="shared" si="10"/>
        <v>-0.50444414005129024</v>
      </c>
      <c r="AM91" s="1">
        <f t="shared" si="11"/>
        <v>-0.56591663037630968</v>
      </c>
      <c r="AN91" s="1">
        <f t="shared" si="12"/>
        <v>-0.59853862744765052</v>
      </c>
      <c r="AO91" s="1">
        <f t="shared" si="13"/>
        <v>-0.26429134634338647</v>
      </c>
      <c r="AP91" s="1">
        <f t="shared" si="14"/>
        <v>-0.38436774319733835</v>
      </c>
    </row>
    <row r="92" spans="1:42">
      <c r="A92" t="s">
        <v>54</v>
      </c>
      <c r="B92">
        <v>0.14299999999999999</v>
      </c>
      <c r="C92">
        <v>8.2000000000000003E-2</v>
      </c>
      <c r="D92">
        <v>3.7999999999999999E-2</v>
      </c>
      <c r="E92">
        <v>0.14099999999999999</v>
      </c>
      <c r="F92">
        <v>-0.32799999999999996</v>
      </c>
      <c r="G92">
        <v>-0.29699999999999999</v>
      </c>
      <c r="H92">
        <v>-0.16400000000000001</v>
      </c>
      <c r="I92">
        <v>-3.7000000000000005E-2</v>
      </c>
      <c r="J92">
        <v>-0.69639065817409762</v>
      </c>
      <c r="K92">
        <v>-0.78364116094986802</v>
      </c>
      <c r="L92">
        <v>-0.81188118811881183</v>
      </c>
      <c r="M92">
        <v>-0.20786516853932588</v>
      </c>
      <c r="N92">
        <v>0.55900000000000005</v>
      </c>
      <c r="O92">
        <v>0.51100000000000001</v>
      </c>
      <c r="P92">
        <v>0.33900000000000002</v>
      </c>
      <c r="Q92">
        <v>0.55300000000000005</v>
      </c>
      <c r="R92">
        <v>-0.27799999999999991</v>
      </c>
      <c r="S92">
        <v>-0.31299999999999994</v>
      </c>
      <c r="T92">
        <v>-0.24399999999999994</v>
      </c>
      <c r="U92">
        <v>-0.245</v>
      </c>
      <c r="V92">
        <v>-0.33213859020310627</v>
      </c>
      <c r="W92">
        <v>-0.37985436893203878</v>
      </c>
      <c r="X92">
        <v>-0.41852487135505995</v>
      </c>
      <c r="Y92">
        <v>-0.30701754385964908</v>
      </c>
      <c r="Z92">
        <v>0.995</v>
      </c>
      <c r="AA92">
        <v>0.995</v>
      </c>
      <c r="AB92">
        <v>0.72899999999999998</v>
      </c>
      <c r="AC92">
        <v>0.995</v>
      </c>
      <c r="AD92">
        <v>0.93500000000000005</v>
      </c>
      <c r="AE92">
        <v>0.95799999999999996</v>
      </c>
      <c r="AF92">
        <v>0.72499999999999998</v>
      </c>
      <c r="AG92">
        <v>0.995</v>
      </c>
      <c r="AH92">
        <v>15.583333333333334</v>
      </c>
      <c r="AI92">
        <v>25.891891891891891</v>
      </c>
      <c r="AJ92">
        <v>181.25</v>
      </c>
      <c r="AK92" t="e">
        <v>#DIV/0!</v>
      </c>
      <c r="AL92" s="1">
        <f t="shared" si="10"/>
        <v>-0.51426462418860197</v>
      </c>
      <c r="AM92" s="1">
        <f t="shared" si="11"/>
        <v>-0.58174776494095337</v>
      </c>
      <c r="AN92" s="1">
        <f t="shared" si="12"/>
        <v>-0.61520302973693586</v>
      </c>
      <c r="AO92" s="1">
        <f t="shared" si="13"/>
        <v>-0.25744135619948749</v>
      </c>
      <c r="AP92" s="1">
        <f t="shared" si="14"/>
        <v>-0.38585299019404473</v>
      </c>
    </row>
    <row r="93" spans="1:42">
      <c r="A93" t="s">
        <v>128</v>
      </c>
      <c r="B93">
        <v>0.16900000000000001</v>
      </c>
      <c r="C93">
        <v>9.7000000000000003E-2</v>
      </c>
      <c r="D93">
        <v>4.2000000000000003E-2</v>
      </c>
      <c r="E93">
        <v>0.128</v>
      </c>
      <c r="F93">
        <v>-0.30199999999999994</v>
      </c>
      <c r="G93">
        <v>-0.28200000000000003</v>
      </c>
      <c r="H93">
        <v>-0.16</v>
      </c>
      <c r="I93">
        <v>-4.9999999999999989E-2</v>
      </c>
      <c r="J93">
        <v>-0.6411889596602971</v>
      </c>
      <c r="K93">
        <v>-0.74406332453825863</v>
      </c>
      <c r="L93">
        <v>-0.79207920792079201</v>
      </c>
      <c r="M93">
        <v>-0.28089887640449435</v>
      </c>
      <c r="N93">
        <v>0.56399999999999995</v>
      </c>
      <c r="O93">
        <v>0.51500000000000001</v>
      </c>
      <c r="P93">
        <v>0.34599999999999997</v>
      </c>
      <c r="Q93">
        <v>0.55900000000000005</v>
      </c>
      <c r="R93">
        <v>-0.27300000000000002</v>
      </c>
      <c r="S93">
        <v>-0.30899999999999994</v>
      </c>
      <c r="T93">
        <v>-0.23699999999999999</v>
      </c>
      <c r="U93">
        <v>-0.23899999999999999</v>
      </c>
      <c r="V93">
        <v>-0.32616487455197135</v>
      </c>
      <c r="W93">
        <v>-0.37499999999999994</v>
      </c>
      <c r="X93">
        <v>-0.40651801029159518</v>
      </c>
      <c r="Y93">
        <v>-0.29949874686716788</v>
      </c>
      <c r="Z93">
        <v>0.995</v>
      </c>
      <c r="AA93">
        <v>0.995</v>
      </c>
      <c r="AB93">
        <v>0.71799999999999997</v>
      </c>
      <c r="AC93">
        <v>0.995</v>
      </c>
      <c r="AD93">
        <v>0.93500000000000005</v>
      </c>
      <c r="AE93">
        <v>0.95799999999999996</v>
      </c>
      <c r="AF93">
        <v>0.71399999999999997</v>
      </c>
      <c r="AG93">
        <v>0.995</v>
      </c>
      <c r="AH93">
        <v>15.583333333333334</v>
      </c>
      <c r="AI93">
        <v>25.891891891891891</v>
      </c>
      <c r="AJ93">
        <v>178.5</v>
      </c>
      <c r="AK93" t="e">
        <v>#DIV/0!</v>
      </c>
      <c r="AL93" s="1">
        <f t="shared" si="10"/>
        <v>-0.48367691710613425</v>
      </c>
      <c r="AM93" s="1">
        <f t="shared" si="11"/>
        <v>-0.55953166226912932</v>
      </c>
      <c r="AN93" s="1">
        <f t="shared" si="12"/>
        <v>-0.59929860910619359</v>
      </c>
      <c r="AO93" s="1">
        <f t="shared" si="13"/>
        <v>-0.29019881163583111</v>
      </c>
      <c r="AP93" s="1">
        <f t="shared" si="14"/>
        <v>-0.38693786437098271</v>
      </c>
    </row>
    <row r="94" spans="1:42">
      <c r="A94" t="s">
        <v>112</v>
      </c>
      <c r="B94">
        <v>0.13900000000000001</v>
      </c>
      <c r="C94">
        <v>9.1999999999999998E-2</v>
      </c>
      <c r="D94">
        <v>4.2000000000000003E-2</v>
      </c>
      <c r="E94">
        <v>0.14199999999999999</v>
      </c>
      <c r="F94">
        <v>-0.33199999999999996</v>
      </c>
      <c r="G94">
        <v>-0.28700000000000003</v>
      </c>
      <c r="H94">
        <v>-0.16</v>
      </c>
      <c r="I94">
        <v>-3.6000000000000004E-2</v>
      </c>
      <c r="J94">
        <v>-0.70488322717622076</v>
      </c>
      <c r="K94">
        <v>-0.75725593667546187</v>
      </c>
      <c r="L94">
        <v>-0.79207920792079201</v>
      </c>
      <c r="M94">
        <v>-0.20224719101123598</v>
      </c>
      <c r="N94">
        <v>0.56100000000000005</v>
      </c>
      <c r="O94">
        <v>0.51400000000000001</v>
      </c>
      <c r="P94">
        <v>0.33200000000000002</v>
      </c>
      <c r="Q94">
        <v>0.53900000000000003</v>
      </c>
      <c r="R94">
        <v>-0.27599999999999991</v>
      </c>
      <c r="S94">
        <v>-0.30999999999999994</v>
      </c>
      <c r="T94">
        <v>-0.25099999999999995</v>
      </c>
      <c r="U94">
        <v>-0.25900000000000001</v>
      </c>
      <c r="V94">
        <v>-0.32974910394265222</v>
      </c>
      <c r="W94">
        <v>-0.37621359223300965</v>
      </c>
      <c r="X94">
        <v>-0.43053173241852483</v>
      </c>
      <c r="Y94">
        <v>-0.32456140350877194</v>
      </c>
      <c r="Z94">
        <v>0.996</v>
      </c>
      <c r="AA94">
        <v>0.995</v>
      </c>
      <c r="AB94">
        <v>0.755</v>
      </c>
      <c r="AC94">
        <v>0.996</v>
      </c>
      <c r="AD94">
        <v>0.93599999999999994</v>
      </c>
      <c r="AE94">
        <v>0.95799999999999996</v>
      </c>
      <c r="AF94">
        <v>0.751</v>
      </c>
      <c r="AG94">
        <v>0.996</v>
      </c>
      <c r="AH94">
        <v>15.6</v>
      </c>
      <c r="AI94">
        <v>25.891891891891891</v>
      </c>
      <c r="AJ94">
        <v>187.75</v>
      </c>
      <c r="AK94" t="e">
        <v>#DIV/0!</v>
      </c>
      <c r="AL94" s="1">
        <f t="shared" si="10"/>
        <v>-0.51731616555943649</v>
      </c>
      <c r="AM94" s="1">
        <f t="shared" si="11"/>
        <v>-0.56673476445423576</v>
      </c>
      <c r="AN94" s="1">
        <f t="shared" si="12"/>
        <v>-0.61130547016965842</v>
      </c>
      <c r="AO94" s="1">
        <f t="shared" si="13"/>
        <v>-0.26340429726000397</v>
      </c>
      <c r="AP94" s="1">
        <f t="shared" si="14"/>
        <v>-0.3903602314097202</v>
      </c>
    </row>
    <row r="95" spans="1:42">
      <c r="A95" t="s">
        <v>39</v>
      </c>
      <c r="B95">
        <v>0.156</v>
      </c>
      <c r="C95">
        <v>0.114</v>
      </c>
      <c r="D95">
        <v>4.7E-2</v>
      </c>
      <c r="E95">
        <v>0.124</v>
      </c>
      <c r="F95">
        <v>-0.31499999999999995</v>
      </c>
      <c r="G95">
        <v>-0.26500000000000001</v>
      </c>
      <c r="H95">
        <v>-0.15500000000000003</v>
      </c>
      <c r="I95">
        <v>-5.3999999999999992E-2</v>
      </c>
      <c r="J95">
        <v>-0.66878980891719741</v>
      </c>
      <c r="K95">
        <v>-0.69920844327176779</v>
      </c>
      <c r="L95">
        <v>-0.76732673267326745</v>
      </c>
      <c r="M95">
        <v>-0.3033707865168539</v>
      </c>
      <c r="N95">
        <v>0.57199999999999995</v>
      </c>
      <c r="O95">
        <v>0.51500000000000001</v>
      </c>
      <c r="P95">
        <v>0.34200000000000003</v>
      </c>
      <c r="Q95">
        <v>0.55400000000000005</v>
      </c>
      <c r="R95">
        <v>-0.26500000000000001</v>
      </c>
      <c r="S95">
        <v>-0.30899999999999994</v>
      </c>
      <c r="T95">
        <v>-0.24099999999999994</v>
      </c>
      <c r="U95">
        <v>-0.24399999999999999</v>
      </c>
      <c r="V95">
        <v>-0.31660692951015534</v>
      </c>
      <c r="W95">
        <v>-0.37499999999999994</v>
      </c>
      <c r="X95">
        <v>-0.41337907375643218</v>
      </c>
      <c r="Y95">
        <v>-0.30576441102756891</v>
      </c>
      <c r="Z95">
        <v>0.995</v>
      </c>
      <c r="AA95">
        <v>0.995</v>
      </c>
      <c r="AB95">
        <v>0.74399999999999999</v>
      </c>
      <c r="AC95">
        <v>0.995</v>
      </c>
      <c r="AD95">
        <v>0.93500000000000005</v>
      </c>
      <c r="AE95">
        <v>0.95799999999999996</v>
      </c>
      <c r="AF95">
        <v>0.74</v>
      </c>
      <c r="AG95">
        <v>0.995</v>
      </c>
      <c r="AH95">
        <v>15.583333333333334</v>
      </c>
      <c r="AI95">
        <v>25.891891891891891</v>
      </c>
      <c r="AJ95">
        <v>185</v>
      </c>
      <c r="AK95" t="e">
        <v>#DIV/0!</v>
      </c>
      <c r="AL95" s="1">
        <f t="shared" si="10"/>
        <v>-0.49269836921367638</v>
      </c>
      <c r="AM95" s="1">
        <f t="shared" si="11"/>
        <v>-0.53710422163588389</v>
      </c>
      <c r="AN95" s="1">
        <f t="shared" si="12"/>
        <v>-0.59035290321484979</v>
      </c>
      <c r="AO95" s="1">
        <f t="shared" si="13"/>
        <v>-0.3045675987722114</v>
      </c>
      <c r="AP95" s="1">
        <f t="shared" si="14"/>
        <v>-0.39863298399294389</v>
      </c>
    </row>
    <row r="96" spans="1:42">
      <c r="A96" t="s">
        <v>31</v>
      </c>
      <c r="B96">
        <v>0.14699999999999999</v>
      </c>
      <c r="C96">
        <v>9.7000000000000003E-2</v>
      </c>
      <c r="D96">
        <v>3.5999999999999997E-2</v>
      </c>
      <c r="E96">
        <v>0.128</v>
      </c>
      <c r="F96">
        <v>-0.32399999999999995</v>
      </c>
      <c r="G96">
        <v>-0.28200000000000003</v>
      </c>
      <c r="H96">
        <v>-0.16600000000000001</v>
      </c>
      <c r="I96">
        <v>-4.9999999999999989E-2</v>
      </c>
      <c r="J96">
        <v>-0.68789808917197448</v>
      </c>
      <c r="K96">
        <v>-0.74406332453825863</v>
      </c>
      <c r="L96">
        <v>-0.82178217821782173</v>
      </c>
      <c r="M96">
        <v>-0.28089887640449435</v>
      </c>
      <c r="N96">
        <v>0.56399999999999995</v>
      </c>
      <c r="O96">
        <v>0.52300000000000002</v>
      </c>
      <c r="P96">
        <v>0.35</v>
      </c>
      <c r="Q96">
        <v>0.55600000000000005</v>
      </c>
      <c r="R96">
        <v>-0.27300000000000002</v>
      </c>
      <c r="S96">
        <v>-0.30099999999999993</v>
      </c>
      <c r="T96">
        <v>-0.23299999999999998</v>
      </c>
      <c r="U96">
        <v>-0.24199999999999999</v>
      </c>
      <c r="V96">
        <v>-0.32616487455197135</v>
      </c>
      <c r="W96">
        <v>-0.36529126213592228</v>
      </c>
      <c r="X96">
        <v>-0.39965694682675817</v>
      </c>
      <c r="Y96">
        <v>-0.3032581453634085</v>
      </c>
      <c r="Z96">
        <v>0.995</v>
      </c>
      <c r="AA96">
        <v>0.995</v>
      </c>
      <c r="AB96">
        <v>0.70599999999999996</v>
      </c>
      <c r="AC96">
        <v>0.995</v>
      </c>
      <c r="AD96">
        <v>0.93500000000000005</v>
      </c>
      <c r="AE96">
        <v>0.95799999999999996</v>
      </c>
      <c r="AF96">
        <v>0.70199999999999996</v>
      </c>
      <c r="AG96">
        <v>0.995</v>
      </c>
      <c r="AH96">
        <v>15.583333333333334</v>
      </c>
      <c r="AI96">
        <v>25.891891891891891</v>
      </c>
      <c r="AJ96">
        <v>175.49999999999997</v>
      </c>
      <c r="AK96" t="e">
        <v>#DIV/0!</v>
      </c>
      <c r="AL96" s="1">
        <f t="shared" si="10"/>
        <v>-0.50703148186197289</v>
      </c>
      <c r="AM96" s="1">
        <f t="shared" si="11"/>
        <v>-0.55467729333709048</v>
      </c>
      <c r="AN96" s="1">
        <f t="shared" si="12"/>
        <v>-0.61071956252228998</v>
      </c>
      <c r="AO96" s="1">
        <f t="shared" si="13"/>
        <v>-0.29207851088395143</v>
      </c>
      <c r="AP96" s="1">
        <f t="shared" si="14"/>
        <v>-0.39955499637296216</v>
      </c>
    </row>
    <row r="97" spans="1:42">
      <c r="A97" t="s">
        <v>60</v>
      </c>
      <c r="B97">
        <v>0.192</v>
      </c>
      <c r="C97">
        <v>0.10299999999999999</v>
      </c>
      <c r="D97">
        <v>4.8000000000000001E-2</v>
      </c>
      <c r="E97">
        <v>0.115</v>
      </c>
      <c r="F97">
        <v>-0.27899999999999997</v>
      </c>
      <c r="G97">
        <v>-0.27600000000000002</v>
      </c>
      <c r="H97">
        <v>-0.15400000000000003</v>
      </c>
      <c r="I97">
        <v>-6.2999999999999987E-2</v>
      </c>
      <c r="J97">
        <v>-0.59235668789808915</v>
      </c>
      <c r="K97">
        <v>-0.72823218997361483</v>
      </c>
      <c r="L97">
        <v>-0.7623762376237625</v>
      </c>
      <c r="M97">
        <v>-0.35393258426966284</v>
      </c>
      <c r="N97">
        <v>0.55900000000000005</v>
      </c>
      <c r="O97">
        <v>0.502</v>
      </c>
      <c r="P97">
        <v>0.32100000000000001</v>
      </c>
      <c r="Q97">
        <v>0.54200000000000004</v>
      </c>
      <c r="R97">
        <v>-0.27799999999999991</v>
      </c>
      <c r="S97">
        <v>-0.32199999999999995</v>
      </c>
      <c r="T97">
        <v>-0.26199999999999996</v>
      </c>
      <c r="U97">
        <v>-0.25600000000000001</v>
      </c>
      <c r="V97">
        <v>-0.33213859020310627</v>
      </c>
      <c r="W97">
        <v>-0.39077669902912615</v>
      </c>
      <c r="X97">
        <v>-0.44939965694682671</v>
      </c>
      <c r="Y97">
        <v>-0.32080200501253131</v>
      </c>
      <c r="Z97">
        <v>0.995</v>
      </c>
      <c r="AA97">
        <v>0.995</v>
      </c>
      <c r="AB97">
        <v>0.75800000000000001</v>
      </c>
      <c r="AC97">
        <v>0.995</v>
      </c>
      <c r="AD97">
        <v>0.93500000000000005</v>
      </c>
      <c r="AE97">
        <v>0.95799999999999996</v>
      </c>
      <c r="AF97">
        <v>0.754</v>
      </c>
      <c r="AG97">
        <v>0.995</v>
      </c>
      <c r="AH97">
        <v>15.583333333333334</v>
      </c>
      <c r="AI97">
        <v>25.891891891891891</v>
      </c>
      <c r="AJ97">
        <v>188.5</v>
      </c>
      <c r="AK97" t="e">
        <v>#DIV/0!</v>
      </c>
      <c r="AL97" s="1">
        <f t="shared" si="10"/>
        <v>-0.46224763905059774</v>
      </c>
      <c r="AM97" s="1">
        <f t="shared" si="11"/>
        <v>-0.55950444450137049</v>
      </c>
      <c r="AN97" s="1">
        <f t="shared" si="12"/>
        <v>-0.6058879472852946</v>
      </c>
      <c r="AO97" s="1">
        <f t="shared" si="13"/>
        <v>-0.33736729464109705</v>
      </c>
      <c r="AP97" s="1">
        <f t="shared" si="14"/>
        <v>-0.39980746684584739</v>
      </c>
    </row>
    <row r="98" spans="1:42">
      <c r="A98" t="s">
        <v>46</v>
      </c>
      <c r="B98">
        <v>0.13300000000000001</v>
      </c>
      <c r="C98">
        <v>9.8000000000000004E-2</v>
      </c>
      <c r="D98">
        <v>4.1000000000000002E-2</v>
      </c>
      <c r="E98">
        <v>0.123</v>
      </c>
      <c r="F98">
        <v>-0.33799999999999997</v>
      </c>
      <c r="G98">
        <v>-0.28100000000000003</v>
      </c>
      <c r="H98">
        <v>-0.161</v>
      </c>
      <c r="I98">
        <v>-5.4999999999999993E-2</v>
      </c>
      <c r="J98">
        <v>-0.71762208067940547</v>
      </c>
      <c r="K98">
        <v>-0.74142480211081796</v>
      </c>
      <c r="L98">
        <v>-0.79702970297029696</v>
      </c>
      <c r="M98">
        <v>-0.3089887640449438</v>
      </c>
      <c r="N98">
        <v>0.56999999999999995</v>
      </c>
      <c r="O98">
        <v>0.52</v>
      </c>
      <c r="P98">
        <v>0.35199999999999998</v>
      </c>
      <c r="Q98">
        <v>0.56299999999999994</v>
      </c>
      <c r="R98">
        <v>-0.26700000000000002</v>
      </c>
      <c r="S98">
        <v>-0.30399999999999994</v>
      </c>
      <c r="T98">
        <v>-0.23099999999999998</v>
      </c>
      <c r="U98">
        <v>-0.2350000000000001</v>
      </c>
      <c r="V98">
        <v>-0.31899641577060933</v>
      </c>
      <c r="W98">
        <v>-0.3689320388349514</v>
      </c>
      <c r="X98">
        <v>-0.39622641509433965</v>
      </c>
      <c r="Y98">
        <v>-0.29448621553884724</v>
      </c>
      <c r="Z98">
        <v>0.995</v>
      </c>
      <c r="AA98">
        <v>0.995</v>
      </c>
      <c r="AB98">
        <v>0.74299999999999999</v>
      </c>
      <c r="AC98">
        <v>0.995</v>
      </c>
      <c r="AD98">
        <v>0.93500000000000005</v>
      </c>
      <c r="AE98">
        <v>0.95799999999999996</v>
      </c>
      <c r="AF98">
        <v>0.73899999999999999</v>
      </c>
      <c r="AG98">
        <v>0.995</v>
      </c>
      <c r="AH98">
        <v>15.583333333333334</v>
      </c>
      <c r="AI98">
        <v>25.891891891891891</v>
      </c>
      <c r="AJ98">
        <v>184.75</v>
      </c>
      <c r="AK98" t="e">
        <v>#DIV/0!</v>
      </c>
      <c r="AL98" s="1">
        <f t="shared" ref="AL98:AL129" si="15">AVERAGE(J98,V98)</f>
        <v>-0.51830924822500735</v>
      </c>
      <c r="AM98" s="1">
        <f t="shared" ref="AM98:AM129" si="16">AVERAGE(K98,W98)</f>
        <v>-0.55517842047288468</v>
      </c>
      <c r="AN98" s="1">
        <f t="shared" ref="AN98:AN129" si="17">AVERAGE(L98,X98)</f>
        <v>-0.5966280590323183</v>
      </c>
      <c r="AO98" s="1">
        <f t="shared" ref="AO98:AO129" si="18">AVERAGE(M98,Y98)</f>
        <v>-0.30173748979189552</v>
      </c>
      <c r="AP98" s="1">
        <f t="shared" ref="AP98:AP129" si="19">AVERAGE(J98,M98,V98,Y98)</f>
        <v>-0.41002336900845149</v>
      </c>
    </row>
    <row r="99" spans="1:42">
      <c r="A99" t="s">
        <v>118</v>
      </c>
      <c r="B99">
        <v>0.129</v>
      </c>
      <c r="C99">
        <v>0.11</v>
      </c>
      <c r="D99">
        <v>0.04</v>
      </c>
      <c r="E99">
        <v>0.129</v>
      </c>
      <c r="F99">
        <v>-0.34199999999999997</v>
      </c>
      <c r="G99">
        <v>-0.26900000000000002</v>
      </c>
      <c r="H99">
        <v>-0.16200000000000001</v>
      </c>
      <c r="I99">
        <v>-4.8999999999999988E-2</v>
      </c>
      <c r="J99">
        <v>-0.72611464968152861</v>
      </c>
      <c r="K99">
        <v>-0.70976253298153036</v>
      </c>
      <c r="L99">
        <v>-0.80198019801980192</v>
      </c>
      <c r="M99">
        <v>-0.27528089887640445</v>
      </c>
      <c r="N99">
        <v>0.56399999999999995</v>
      </c>
      <c r="O99">
        <v>0.51200000000000001</v>
      </c>
      <c r="P99">
        <v>0.32700000000000001</v>
      </c>
      <c r="Q99">
        <v>0.54</v>
      </c>
      <c r="R99">
        <v>-0.27300000000000002</v>
      </c>
      <c r="S99">
        <v>-0.31199999999999994</v>
      </c>
      <c r="T99">
        <v>-0.25599999999999995</v>
      </c>
      <c r="U99">
        <v>-0.25800000000000001</v>
      </c>
      <c r="V99">
        <v>-0.32616487455197135</v>
      </c>
      <c r="W99">
        <v>-0.37864077669902907</v>
      </c>
      <c r="X99">
        <v>-0.43910806174957112</v>
      </c>
      <c r="Y99">
        <v>-0.32330827067669171</v>
      </c>
      <c r="Z99">
        <v>0.99</v>
      </c>
      <c r="AA99">
        <v>0.995</v>
      </c>
      <c r="AB99">
        <v>0.69899999999999995</v>
      </c>
      <c r="AC99">
        <v>0.99</v>
      </c>
      <c r="AD99">
        <v>0.92999999999999994</v>
      </c>
      <c r="AE99">
        <v>0.95799999999999996</v>
      </c>
      <c r="AF99">
        <v>0.69499999999999995</v>
      </c>
      <c r="AG99">
        <v>0.99</v>
      </c>
      <c r="AH99">
        <v>15.5</v>
      </c>
      <c r="AI99">
        <v>25.891891891891891</v>
      </c>
      <c r="AJ99">
        <v>173.74999999999997</v>
      </c>
      <c r="AK99" t="e">
        <v>#DIV/0!</v>
      </c>
      <c r="AL99" s="1">
        <f t="shared" si="15"/>
        <v>-0.52613976211674995</v>
      </c>
      <c r="AM99" s="1">
        <f t="shared" si="16"/>
        <v>-0.54420165484027971</v>
      </c>
      <c r="AN99" s="1">
        <f t="shared" si="17"/>
        <v>-0.62054412988468655</v>
      </c>
      <c r="AO99" s="1">
        <f t="shared" si="18"/>
        <v>-0.29929458477654808</v>
      </c>
      <c r="AP99" s="1">
        <f t="shared" si="19"/>
        <v>-0.41271717344664904</v>
      </c>
    </row>
    <row r="100" spans="1:42">
      <c r="A100" t="s">
        <v>56</v>
      </c>
      <c r="B100">
        <v>0.14699999999999999</v>
      </c>
      <c r="C100">
        <v>0.11</v>
      </c>
      <c r="D100">
        <v>4.2000000000000003E-2</v>
      </c>
      <c r="E100">
        <v>0.11899999999999999</v>
      </c>
      <c r="F100">
        <v>-0.32399999999999995</v>
      </c>
      <c r="G100">
        <v>-0.26900000000000002</v>
      </c>
      <c r="H100">
        <v>-0.16</v>
      </c>
      <c r="I100">
        <v>-5.8999999999999997E-2</v>
      </c>
      <c r="J100">
        <v>-0.68789808917197448</v>
      </c>
      <c r="K100">
        <v>-0.70976253298153036</v>
      </c>
      <c r="L100">
        <v>-0.79207920792079201</v>
      </c>
      <c r="M100">
        <v>-0.33146067415730335</v>
      </c>
      <c r="N100">
        <v>0.56499999999999995</v>
      </c>
      <c r="O100">
        <v>0.48899999999999999</v>
      </c>
      <c r="P100">
        <v>0.318</v>
      </c>
      <c r="Q100">
        <v>0.54</v>
      </c>
      <c r="R100">
        <v>-0.27200000000000002</v>
      </c>
      <c r="S100">
        <v>-0.33499999999999996</v>
      </c>
      <c r="T100">
        <v>-0.26499999999999996</v>
      </c>
      <c r="U100">
        <v>-0.25800000000000001</v>
      </c>
      <c r="V100">
        <v>-0.32497013142174436</v>
      </c>
      <c r="W100">
        <v>-0.40655339805825241</v>
      </c>
      <c r="X100">
        <v>-0.45454545454545447</v>
      </c>
      <c r="Y100">
        <v>-0.32330827067669171</v>
      </c>
      <c r="Z100">
        <v>0.99299999999999999</v>
      </c>
      <c r="AA100">
        <v>0.995</v>
      </c>
      <c r="AB100">
        <v>0.79700000000000004</v>
      </c>
      <c r="AC100">
        <v>0.99299999999999999</v>
      </c>
      <c r="AD100">
        <v>0.93300000000000005</v>
      </c>
      <c r="AE100">
        <v>0.95799999999999996</v>
      </c>
      <c r="AF100">
        <v>0.79300000000000004</v>
      </c>
      <c r="AG100">
        <v>0.99299999999999999</v>
      </c>
      <c r="AH100">
        <v>15.55</v>
      </c>
      <c r="AI100">
        <v>25.891891891891891</v>
      </c>
      <c r="AJ100">
        <v>198.25</v>
      </c>
      <c r="AK100" t="e">
        <v>#DIV/0!</v>
      </c>
      <c r="AL100" s="1">
        <f t="shared" si="15"/>
        <v>-0.50643411029685947</v>
      </c>
      <c r="AM100" s="1">
        <f t="shared" si="16"/>
        <v>-0.55815796551989139</v>
      </c>
      <c r="AN100" s="1">
        <f t="shared" si="17"/>
        <v>-0.62331233123312324</v>
      </c>
      <c r="AO100" s="1">
        <f t="shared" si="18"/>
        <v>-0.32738447241699753</v>
      </c>
      <c r="AP100" s="1">
        <f t="shared" si="19"/>
        <v>-0.41690929135692845</v>
      </c>
    </row>
    <row r="101" spans="1:42">
      <c r="A101" t="s">
        <v>50</v>
      </c>
      <c r="B101">
        <v>0.13800000000000001</v>
      </c>
      <c r="C101">
        <v>8.5999999999999993E-2</v>
      </c>
      <c r="D101">
        <v>3.9E-2</v>
      </c>
      <c r="E101">
        <v>0.107</v>
      </c>
      <c r="F101">
        <v>-0.33299999999999996</v>
      </c>
      <c r="G101">
        <v>-0.29300000000000004</v>
      </c>
      <c r="H101">
        <v>-0.16300000000000001</v>
      </c>
      <c r="I101">
        <v>-7.0999999999999994E-2</v>
      </c>
      <c r="J101">
        <v>-0.70700636942675155</v>
      </c>
      <c r="K101">
        <v>-0.77308707124010567</v>
      </c>
      <c r="L101">
        <v>-0.80693069306930687</v>
      </c>
      <c r="M101">
        <v>-0.398876404494382</v>
      </c>
      <c r="N101">
        <v>0.55200000000000005</v>
      </c>
      <c r="O101">
        <v>0.5</v>
      </c>
      <c r="P101">
        <v>0.33300000000000002</v>
      </c>
      <c r="Q101">
        <v>0.54900000000000004</v>
      </c>
      <c r="R101">
        <v>-0.28499999999999992</v>
      </c>
      <c r="S101">
        <v>-0.32399999999999995</v>
      </c>
      <c r="T101">
        <v>-0.24999999999999994</v>
      </c>
      <c r="U101">
        <v>-0.249</v>
      </c>
      <c r="V101">
        <v>-0.34050179211469528</v>
      </c>
      <c r="W101">
        <v>-0.39320388349514562</v>
      </c>
      <c r="X101">
        <v>-0.42881646655231553</v>
      </c>
      <c r="Y101">
        <v>-0.31203007518796988</v>
      </c>
      <c r="Z101">
        <v>0.995</v>
      </c>
      <c r="AA101">
        <v>0.995</v>
      </c>
      <c r="AB101">
        <v>0.71299999999999997</v>
      </c>
      <c r="AC101">
        <v>0.995</v>
      </c>
      <c r="AD101">
        <v>0.93500000000000005</v>
      </c>
      <c r="AE101">
        <v>0.95799999999999996</v>
      </c>
      <c r="AF101">
        <v>0.70899999999999996</v>
      </c>
      <c r="AG101">
        <v>0.995</v>
      </c>
      <c r="AH101">
        <v>15.583333333333334</v>
      </c>
      <c r="AI101">
        <v>25.891891891891891</v>
      </c>
      <c r="AJ101">
        <v>177.25</v>
      </c>
      <c r="AK101" t="e">
        <v>#DIV/0!</v>
      </c>
      <c r="AL101" s="1">
        <f t="shared" si="15"/>
        <v>-0.52375408077072338</v>
      </c>
      <c r="AM101" s="1">
        <f t="shared" si="16"/>
        <v>-0.58314547736762568</v>
      </c>
      <c r="AN101" s="1">
        <f t="shared" si="17"/>
        <v>-0.61787357981081126</v>
      </c>
      <c r="AO101" s="1">
        <f t="shared" si="18"/>
        <v>-0.35545323984117594</v>
      </c>
      <c r="AP101" s="1">
        <f t="shared" si="19"/>
        <v>-0.43960366030594972</v>
      </c>
    </row>
    <row r="102" spans="1:42">
      <c r="A102" t="s">
        <v>68</v>
      </c>
      <c r="B102">
        <v>0.111</v>
      </c>
      <c r="C102">
        <v>5.8000000000000003E-2</v>
      </c>
      <c r="D102">
        <v>2.7E-2</v>
      </c>
      <c r="E102">
        <v>7.6999999999999999E-2</v>
      </c>
      <c r="F102">
        <v>-0.36</v>
      </c>
      <c r="G102">
        <v>-0.32100000000000001</v>
      </c>
      <c r="H102">
        <v>-0.17500000000000002</v>
      </c>
      <c r="I102">
        <v>-0.10099999999999999</v>
      </c>
      <c r="J102">
        <v>-0.76433121019108285</v>
      </c>
      <c r="K102">
        <v>-0.84696569920844333</v>
      </c>
      <c r="L102">
        <v>-0.86633663366336633</v>
      </c>
      <c r="M102">
        <v>-0.56741573033707859</v>
      </c>
      <c r="N102">
        <v>0.54600000000000004</v>
      </c>
      <c r="O102">
        <v>0.47799999999999998</v>
      </c>
      <c r="P102">
        <v>0.30599999999999999</v>
      </c>
      <c r="Q102">
        <v>0.52700000000000002</v>
      </c>
      <c r="R102">
        <v>-0.29099999999999993</v>
      </c>
      <c r="S102">
        <v>-0.34599999999999997</v>
      </c>
      <c r="T102">
        <v>-0.27699999999999997</v>
      </c>
      <c r="U102">
        <v>-0.27100000000000002</v>
      </c>
      <c r="V102">
        <v>-0.3476702508960573</v>
      </c>
      <c r="W102">
        <v>-0.4199029126213592</v>
      </c>
      <c r="X102">
        <v>-0.47512864493996565</v>
      </c>
      <c r="Y102">
        <v>-0.33959899749373434</v>
      </c>
      <c r="Z102">
        <v>0.99099999999999999</v>
      </c>
      <c r="AA102">
        <v>0.995</v>
      </c>
      <c r="AB102">
        <v>0.75700000000000001</v>
      </c>
      <c r="AC102">
        <v>0.99099999999999999</v>
      </c>
      <c r="AD102">
        <v>0.93100000000000005</v>
      </c>
      <c r="AE102">
        <v>0.95799999999999996</v>
      </c>
      <c r="AF102">
        <v>0.753</v>
      </c>
      <c r="AG102">
        <v>0.99099999999999999</v>
      </c>
      <c r="AH102">
        <v>15.516666666666667</v>
      </c>
      <c r="AI102">
        <v>25.891891891891891</v>
      </c>
      <c r="AJ102">
        <v>188.25</v>
      </c>
      <c r="AK102" t="e">
        <v>#DIV/0!</v>
      </c>
      <c r="AL102" s="1">
        <f t="shared" si="15"/>
        <v>-0.55600073054357013</v>
      </c>
      <c r="AM102" s="1">
        <f t="shared" si="16"/>
        <v>-0.63343430591490124</v>
      </c>
      <c r="AN102" s="1">
        <f t="shared" si="17"/>
        <v>-0.67073263930166593</v>
      </c>
      <c r="AO102" s="1">
        <f t="shared" si="18"/>
        <v>-0.45350736391540647</v>
      </c>
      <c r="AP102" s="1">
        <f t="shared" si="19"/>
        <v>-0.50475404722948825</v>
      </c>
    </row>
    <row r="103" spans="1:42">
      <c r="A103" t="s">
        <v>42</v>
      </c>
      <c r="B103">
        <v>0.34799999999999998</v>
      </c>
      <c r="C103">
        <v>0.25600000000000001</v>
      </c>
      <c r="D103">
        <v>0.10100000000000001</v>
      </c>
      <c r="E103">
        <v>0</v>
      </c>
      <c r="F103">
        <v>-0.123</v>
      </c>
      <c r="G103">
        <v>-0.123</v>
      </c>
      <c r="H103">
        <v>-0.10100000000000001</v>
      </c>
      <c r="I103">
        <v>-0.17799999999999999</v>
      </c>
      <c r="J103">
        <v>-0.26114649681528662</v>
      </c>
      <c r="K103">
        <v>-0.32453825857519786</v>
      </c>
      <c r="L103">
        <v>-0.5</v>
      </c>
      <c r="M103">
        <v>-1</v>
      </c>
      <c r="N103">
        <v>0.73699999999999999</v>
      </c>
      <c r="O103">
        <v>0.72199999999999998</v>
      </c>
      <c r="P103">
        <v>0.46899999999999997</v>
      </c>
      <c r="Q103">
        <v>0</v>
      </c>
      <c r="R103">
        <v>-9.9999999999999978E-2</v>
      </c>
      <c r="S103">
        <v>-0.10199999999999998</v>
      </c>
      <c r="T103">
        <v>-0.11399999999999999</v>
      </c>
      <c r="U103">
        <v>-0.79800000000000004</v>
      </c>
      <c r="V103">
        <v>-0.1194743130227001</v>
      </c>
      <c r="W103">
        <v>-0.12378640776699028</v>
      </c>
      <c r="X103">
        <v>-0.19554030874785591</v>
      </c>
      <c r="Y103">
        <v>-1</v>
      </c>
      <c r="Z103">
        <v>0.68500000000000005</v>
      </c>
      <c r="AA103">
        <v>0.64900000000000002</v>
      </c>
      <c r="AB103">
        <v>0.26900000000000002</v>
      </c>
      <c r="AC103">
        <v>0</v>
      </c>
      <c r="AD103">
        <v>0.625</v>
      </c>
      <c r="AE103">
        <v>0.61199999999999999</v>
      </c>
      <c r="AF103">
        <v>0.26500000000000001</v>
      </c>
      <c r="AG103">
        <v>0</v>
      </c>
      <c r="AH103">
        <v>10.416666666666668</v>
      </c>
      <c r="AI103">
        <v>16.54054054054054</v>
      </c>
      <c r="AJ103">
        <v>66.25</v>
      </c>
      <c r="AK103" t="e">
        <v>#DIV/0!</v>
      </c>
      <c r="AL103" s="1">
        <f t="shared" si="15"/>
        <v>-0.19031040491899337</v>
      </c>
      <c r="AM103" s="1">
        <f t="shared" si="16"/>
        <v>-0.22416233317109407</v>
      </c>
      <c r="AN103" s="1">
        <f t="shared" si="17"/>
        <v>-0.34777015437392794</v>
      </c>
      <c r="AO103" s="1">
        <f t="shared" si="18"/>
        <v>-1</v>
      </c>
      <c r="AP103" s="1">
        <f t="shared" si="19"/>
        <v>-0.5951552024594966</v>
      </c>
    </row>
    <row r="104" spans="1:42">
      <c r="A104" t="s">
        <v>36</v>
      </c>
      <c r="B104">
        <v>0.34499999999999997</v>
      </c>
      <c r="C104">
        <v>0.26200000000000001</v>
      </c>
      <c r="D104">
        <v>0.105</v>
      </c>
      <c r="E104">
        <v>0</v>
      </c>
      <c r="F104">
        <v>-0.126</v>
      </c>
      <c r="G104">
        <v>-0.11699999999999999</v>
      </c>
      <c r="H104">
        <v>-9.7000000000000017E-2</v>
      </c>
      <c r="I104">
        <v>-0.17799999999999999</v>
      </c>
      <c r="J104">
        <v>-0.26751592356687898</v>
      </c>
      <c r="K104">
        <v>-0.30870712401055406</v>
      </c>
      <c r="L104">
        <v>-0.48019801980198024</v>
      </c>
      <c r="M104">
        <v>-1</v>
      </c>
      <c r="N104">
        <v>0.72499999999999998</v>
      </c>
      <c r="O104">
        <v>0.71199999999999997</v>
      </c>
      <c r="P104">
        <v>0.45700000000000002</v>
      </c>
      <c r="Q104">
        <v>0</v>
      </c>
      <c r="R104">
        <v>-0.11199999999999999</v>
      </c>
      <c r="S104">
        <v>-0.11199999999999999</v>
      </c>
      <c r="T104">
        <v>-0.12599999999999995</v>
      </c>
      <c r="U104">
        <v>-0.79800000000000004</v>
      </c>
      <c r="V104">
        <v>-0.13381123058542413</v>
      </c>
      <c r="W104">
        <v>-0.13592233009708737</v>
      </c>
      <c r="X104">
        <v>-0.21612349914236698</v>
      </c>
      <c r="Y104">
        <v>-1</v>
      </c>
      <c r="Z104">
        <v>0.72</v>
      </c>
      <c r="AA104">
        <v>0.71</v>
      </c>
      <c r="AB104">
        <v>0.307</v>
      </c>
      <c r="AC104">
        <v>0</v>
      </c>
      <c r="AD104">
        <v>0.65999999999999992</v>
      </c>
      <c r="AE104">
        <v>0.67299999999999993</v>
      </c>
      <c r="AF104">
        <v>0.30299999999999999</v>
      </c>
      <c r="AG104">
        <v>0</v>
      </c>
      <c r="AH104">
        <v>10.999999999999998</v>
      </c>
      <c r="AI104">
        <v>18.189189189189189</v>
      </c>
      <c r="AJ104">
        <v>75.75</v>
      </c>
      <c r="AK104" t="e">
        <v>#DIV/0!</v>
      </c>
      <c r="AL104" s="1">
        <f t="shared" si="15"/>
        <v>-0.20066357707615157</v>
      </c>
      <c r="AM104" s="1">
        <f t="shared" si="16"/>
        <v>-0.22231472705382072</v>
      </c>
      <c r="AN104" s="1">
        <f t="shared" si="17"/>
        <v>-0.34816075947217362</v>
      </c>
      <c r="AO104" s="1">
        <f t="shared" si="18"/>
        <v>-1</v>
      </c>
      <c r="AP104" s="1">
        <f t="shared" si="19"/>
        <v>-0.60033178853807578</v>
      </c>
    </row>
    <row r="105" spans="1:42">
      <c r="A105" t="s">
        <v>30</v>
      </c>
      <c r="B105">
        <v>0.29399999999999998</v>
      </c>
      <c r="C105">
        <v>0.20300000000000001</v>
      </c>
      <c r="D105">
        <v>6.2E-2</v>
      </c>
      <c r="E105">
        <v>0</v>
      </c>
      <c r="F105">
        <v>-0.17699999999999999</v>
      </c>
      <c r="G105">
        <v>-0.17599999999999999</v>
      </c>
      <c r="H105">
        <v>-0.14000000000000001</v>
      </c>
      <c r="I105">
        <v>-0.17799999999999999</v>
      </c>
      <c r="J105">
        <v>-0.37579617834394907</v>
      </c>
      <c r="K105">
        <v>-0.46437994722955139</v>
      </c>
      <c r="L105">
        <v>-0.69306930693069313</v>
      </c>
      <c r="M105">
        <v>-1</v>
      </c>
      <c r="N105">
        <v>0.74099999999999999</v>
      </c>
      <c r="O105">
        <v>0.72899999999999998</v>
      </c>
      <c r="P105">
        <v>0.47799999999999998</v>
      </c>
      <c r="Q105">
        <v>0</v>
      </c>
      <c r="R105">
        <v>-9.5999999999999974E-2</v>
      </c>
      <c r="S105">
        <v>-9.4999999999999973E-2</v>
      </c>
      <c r="T105">
        <v>-0.10499999999999998</v>
      </c>
      <c r="U105">
        <v>-0.79800000000000004</v>
      </c>
      <c r="V105">
        <v>-0.11469534050179209</v>
      </c>
      <c r="W105">
        <v>-0.11529126213592231</v>
      </c>
      <c r="X105">
        <v>-0.18010291595197253</v>
      </c>
      <c r="Y105">
        <v>-1</v>
      </c>
      <c r="Z105">
        <v>0.96899999999999997</v>
      </c>
      <c r="AA105">
        <v>0.97099999999999997</v>
      </c>
      <c r="AB105">
        <v>0.55000000000000004</v>
      </c>
      <c r="AC105">
        <v>0</v>
      </c>
      <c r="AD105">
        <v>0.90900000000000003</v>
      </c>
      <c r="AE105">
        <v>0.93399999999999994</v>
      </c>
      <c r="AF105">
        <v>0.54600000000000004</v>
      </c>
      <c r="AG105">
        <v>0</v>
      </c>
      <c r="AH105">
        <v>15.15</v>
      </c>
      <c r="AI105">
        <v>25.243243243243242</v>
      </c>
      <c r="AJ105">
        <v>136.5</v>
      </c>
      <c r="AK105" t="e">
        <v>#DIV/0!</v>
      </c>
      <c r="AL105" s="1">
        <f t="shared" si="15"/>
        <v>-0.24524575942287058</v>
      </c>
      <c r="AM105" s="1">
        <f t="shared" si="16"/>
        <v>-0.28983560468273684</v>
      </c>
      <c r="AN105" s="1">
        <f t="shared" si="17"/>
        <v>-0.43658611144133286</v>
      </c>
      <c r="AO105" s="1">
        <f t="shared" si="18"/>
        <v>-1</v>
      </c>
      <c r="AP105" s="1">
        <f t="shared" si="19"/>
        <v>-0.62262287971143526</v>
      </c>
    </row>
    <row r="106" spans="1:42">
      <c r="A106" t="s">
        <v>38</v>
      </c>
      <c r="B106">
        <v>0.30599999999999999</v>
      </c>
      <c r="C106">
        <v>0.255</v>
      </c>
      <c r="D106">
        <v>0.107</v>
      </c>
      <c r="E106">
        <v>0</v>
      </c>
      <c r="F106">
        <v>-0.16499999999999998</v>
      </c>
      <c r="G106">
        <v>-0.124</v>
      </c>
      <c r="H106">
        <v>-9.5000000000000015E-2</v>
      </c>
      <c r="I106">
        <v>-0.17799999999999999</v>
      </c>
      <c r="J106">
        <v>-0.3503184713375796</v>
      </c>
      <c r="K106">
        <v>-0.32717678100263853</v>
      </c>
      <c r="L106">
        <v>-0.47029702970297033</v>
      </c>
      <c r="M106">
        <v>-1</v>
      </c>
      <c r="N106">
        <v>0.7</v>
      </c>
      <c r="O106">
        <v>0.68899999999999995</v>
      </c>
      <c r="P106">
        <v>0.434</v>
      </c>
      <c r="Q106">
        <v>0</v>
      </c>
      <c r="R106">
        <v>-0.13700000000000001</v>
      </c>
      <c r="S106">
        <v>-0.13500000000000001</v>
      </c>
      <c r="T106">
        <v>-0.14899999999999997</v>
      </c>
      <c r="U106">
        <v>-0.79800000000000004</v>
      </c>
      <c r="V106">
        <v>-0.16367980884109917</v>
      </c>
      <c r="W106">
        <v>-0.16383495145631069</v>
      </c>
      <c r="X106">
        <v>-0.25557461406518006</v>
      </c>
      <c r="Y106">
        <v>-1</v>
      </c>
      <c r="Z106">
        <v>0.51100000000000001</v>
      </c>
      <c r="AA106">
        <v>0.46899999999999997</v>
      </c>
      <c r="AB106">
        <v>0.19800000000000001</v>
      </c>
      <c r="AC106">
        <v>0</v>
      </c>
      <c r="AD106">
        <v>0.45100000000000001</v>
      </c>
      <c r="AE106">
        <v>0.432</v>
      </c>
      <c r="AF106">
        <v>0.19400000000000001</v>
      </c>
      <c r="AG106">
        <v>0</v>
      </c>
      <c r="AH106">
        <v>7.5166666666666675</v>
      </c>
      <c r="AI106">
        <v>11.675675675675675</v>
      </c>
      <c r="AJ106">
        <v>48.5</v>
      </c>
      <c r="AK106" t="e">
        <v>#DIV/0!</v>
      </c>
      <c r="AL106" s="1">
        <f t="shared" si="15"/>
        <v>-0.25699914008933938</v>
      </c>
      <c r="AM106" s="1">
        <f t="shared" si="16"/>
        <v>-0.24550586622947462</v>
      </c>
      <c r="AN106" s="1">
        <f t="shared" si="17"/>
        <v>-0.36293582188407519</v>
      </c>
      <c r="AO106" s="1">
        <f t="shared" si="18"/>
        <v>-1</v>
      </c>
      <c r="AP106" s="1">
        <f t="shared" si="19"/>
        <v>-0.62849957004466961</v>
      </c>
    </row>
    <row r="107" spans="1:42">
      <c r="A107" t="s">
        <v>32</v>
      </c>
      <c r="B107">
        <v>0.29599999999999999</v>
      </c>
      <c r="C107">
        <v>0.24</v>
      </c>
      <c r="D107">
        <v>8.8999999999999996E-2</v>
      </c>
      <c r="E107">
        <v>0</v>
      </c>
      <c r="F107">
        <v>-0.17499999999999999</v>
      </c>
      <c r="G107">
        <v>-0.13900000000000001</v>
      </c>
      <c r="H107">
        <v>-0.11300000000000002</v>
      </c>
      <c r="I107">
        <v>-0.17799999999999999</v>
      </c>
      <c r="J107">
        <v>-0.37154989384288745</v>
      </c>
      <c r="K107">
        <v>-0.36675461741424803</v>
      </c>
      <c r="L107">
        <v>-0.55940594059405946</v>
      </c>
      <c r="M107">
        <v>-1</v>
      </c>
      <c r="N107">
        <v>0.70799999999999996</v>
      </c>
      <c r="O107">
        <v>0.70099999999999996</v>
      </c>
      <c r="P107">
        <v>0.44500000000000001</v>
      </c>
      <c r="Q107">
        <v>0</v>
      </c>
      <c r="R107">
        <v>-0.129</v>
      </c>
      <c r="S107">
        <v>-0.123</v>
      </c>
      <c r="T107">
        <v>-0.13799999999999996</v>
      </c>
      <c r="U107">
        <v>-0.79800000000000004</v>
      </c>
      <c r="V107">
        <v>-0.15412186379928317</v>
      </c>
      <c r="W107">
        <v>-0.14927184466019419</v>
      </c>
      <c r="X107">
        <v>-0.23670668953687815</v>
      </c>
      <c r="Y107">
        <v>-1</v>
      </c>
      <c r="Z107">
        <v>0.45300000000000001</v>
      </c>
      <c r="AA107">
        <v>0.41099999999999998</v>
      </c>
      <c r="AB107">
        <v>0.16700000000000001</v>
      </c>
      <c r="AC107">
        <v>0</v>
      </c>
      <c r="AD107">
        <v>0.39300000000000002</v>
      </c>
      <c r="AE107">
        <v>0.374</v>
      </c>
      <c r="AF107">
        <v>0.16300000000000001</v>
      </c>
      <c r="AG107">
        <v>0</v>
      </c>
      <c r="AH107">
        <v>6.5500000000000007</v>
      </c>
      <c r="AI107">
        <v>10.108108108108109</v>
      </c>
      <c r="AJ107">
        <v>40.75</v>
      </c>
      <c r="AK107" t="e">
        <v>#DIV/0!</v>
      </c>
      <c r="AL107" s="1">
        <f t="shared" si="15"/>
        <v>-0.26283587882108528</v>
      </c>
      <c r="AM107" s="1">
        <f t="shared" si="16"/>
        <v>-0.25801323103722112</v>
      </c>
      <c r="AN107" s="1">
        <f t="shared" si="17"/>
        <v>-0.39805631506546879</v>
      </c>
      <c r="AO107" s="1">
        <f t="shared" si="18"/>
        <v>-1</v>
      </c>
      <c r="AP107" s="1">
        <f t="shared" si="19"/>
        <v>-0.63141793941054258</v>
      </c>
    </row>
    <row r="108" spans="1:42">
      <c r="A108" t="s">
        <v>18</v>
      </c>
      <c r="B108">
        <v>0.27</v>
      </c>
      <c r="C108">
        <v>0.185</v>
      </c>
      <c r="D108">
        <v>5.7000000000000002E-2</v>
      </c>
      <c r="E108">
        <v>0</v>
      </c>
      <c r="F108">
        <v>-0.20099999999999996</v>
      </c>
      <c r="G108">
        <v>-0.19400000000000001</v>
      </c>
      <c r="H108">
        <v>-0.14500000000000002</v>
      </c>
      <c r="I108">
        <v>-0.17799999999999999</v>
      </c>
      <c r="J108">
        <v>-0.4267515923566878</v>
      </c>
      <c r="K108">
        <v>-0.51187335092348285</v>
      </c>
      <c r="L108">
        <v>-0.7178217821782179</v>
      </c>
      <c r="M108">
        <v>-1</v>
      </c>
      <c r="N108">
        <v>0.74199999999999999</v>
      </c>
      <c r="O108">
        <v>0.72599999999999998</v>
      </c>
      <c r="P108">
        <v>0.48099999999999998</v>
      </c>
      <c r="Q108">
        <v>0</v>
      </c>
      <c r="R108">
        <v>-9.4999999999999973E-2</v>
      </c>
      <c r="S108">
        <v>-9.7999999999999976E-2</v>
      </c>
      <c r="T108">
        <v>-0.10199999999999998</v>
      </c>
      <c r="U108">
        <v>-0.79800000000000004</v>
      </c>
      <c r="V108">
        <v>-0.11350059737156509</v>
      </c>
      <c r="W108">
        <v>-0.11893203883495143</v>
      </c>
      <c r="X108">
        <v>-0.17495711835334474</v>
      </c>
      <c r="Y108">
        <v>-1</v>
      </c>
      <c r="Z108">
        <v>0.95699999999999996</v>
      </c>
      <c r="AA108">
        <v>0.96399999999999997</v>
      </c>
      <c r="AB108">
        <v>0.58599999999999997</v>
      </c>
      <c r="AC108">
        <v>0</v>
      </c>
      <c r="AD108">
        <v>0.89700000000000002</v>
      </c>
      <c r="AE108">
        <v>0.92699999999999994</v>
      </c>
      <c r="AF108">
        <v>0.58199999999999996</v>
      </c>
      <c r="AG108">
        <v>0</v>
      </c>
      <c r="AH108">
        <v>14.950000000000001</v>
      </c>
      <c r="AI108">
        <v>25.054054054054053</v>
      </c>
      <c r="AJ108">
        <v>145.5</v>
      </c>
      <c r="AK108" t="e">
        <v>#DIV/0!</v>
      </c>
      <c r="AL108" s="1">
        <f t="shared" si="15"/>
        <v>-0.27012609486412642</v>
      </c>
      <c r="AM108" s="1">
        <f t="shared" si="16"/>
        <v>-0.31540269487921713</v>
      </c>
      <c r="AN108" s="1">
        <f t="shared" si="17"/>
        <v>-0.44638945026578131</v>
      </c>
      <c r="AO108" s="1">
        <f t="shared" si="18"/>
        <v>-1</v>
      </c>
      <c r="AP108" s="1">
        <f t="shared" si="19"/>
        <v>-0.63506304743206321</v>
      </c>
    </row>
    <row r="109" spans="1:42">
      <c r="A109" t="s">
        <v>24</v>
      </c>
      <c r="B109">
        <v>0.26900000000000002</v>
      </c>
      <c r="C109">
        <v>0.17399999999999999</v>
      </c>
      <c r="D109">
        <v>5.8000000000000003E-2</v>
      </c>
      <c r="E109">
        <v>0</v>
      </c>
      <c r="F109">
        <v>-0.20199999999999996</v>
      </c>
      <c r="G109">
        <v>-0.20500000000000002</v>
      </c>
      <c r="H109">
        <v>-0.14400000000000002</v>
      </c>
      <c r="I109">
        <v>-0.17799999999999999</v>
      </c>
      <c r="J109">
        <v>-0.42887473460721864</v>
      </c>
      <c r="K109">
        <v>-0.54089709762532989</v>
      </c>
      <c r="L109">
        <v>-0.71287128712871295</v>
      </c>
      <c r="M109">
        <v>-1</v>
      </c>
      <c r="N109">
        <v>0.73899999999999999</v>
      </c>
      <c r="O109">
        <v>0.72899999999999998</v>
      </c>
      <c r="P109">
        <v>0.48399999999999999</v>
      </c>
      <c r="Q109">
        <v>0</v>
      </c>
      <c r="R109">
        <v>-9.7999999999999976E-2</v>
      </c>
      <c r="S109">
        <v>-9.4999999999999973E-2</v>
      </c>
      <c r="T109">
        <v>-9.8999999999999977E-2</v>
      </c>
      <c r="U109">
        <v>-0.79800000000000004</v>
      </c>
      <c r="V109">
        <v>-0.11708482676224609</v>
      </c>
      <c r="W109">
        <v>-0.11529126213592231</v>
      </c>
      <c r="X109">
        <v>-0.16981132075471694</v>
      </c>
      <c r="Y109">
        <v>-1</v>
      </c>
      <c r="Z109">
        <v>0.95</v>
      </c>
      <c r="AA109">
        <v>0.95499999999999996</v>
      </c>
      <c r="AB109">
        <v>0.59299999999999997</v>
      </c>
      <c r="AC109">
        <v>0</v>
      </c>
      <c r="AD109">
        <v>0.8899999999999999</v>
      </c>
      <c r="AE109">
        <v>0.91799999999999993</v>
      </c>
      <c r="AF109">
        <v>0.58899999999999997</v>
      </c>
      <c r="AG109">
        <v>0</v>
      </c>
      <c r="AH109">
        <v>14.833333333333332</v>
      </c>
      <c r="AI109">
        <v>24.810810810810811</v>
      </c>
      <c r="AJ109">
        <v>147.25</v>
      </c>
      <c r="AK109" t="e">
        <v>#DIV/0!</v>
      </c>
      <c r="AL109" s="1">
        <f t="shared" si="15"/>
        <v>-0.27297978068473239</v>
      </c>
      <c r="AM109" s="1">
        <f t="shared" si="16"/>
        <v>-0.32809417988062611</v>
      </c>
      <c r="AN109" s="1">
        <f t="shared" si="17"/>
        <v>-0.44134130394171495</v>
      </c>
      <c r="AO109" s="1">
        <f t="shared" si="18"/>
        <v>-1</v>
      </c>
      <c r="AP109" s="1">
        <f t="shared" si="19"/>
        <v>-0.63648989034236614</v>
      </c>
    </row>
    <row r="110" spans="1:42">
      <c r="A110" t="s">
        <v>9</v>
      </c>
      <c r="B110">
        <v>0.26</v>
      </c>
      <c r="C110">
        <v>0.184</v>
      </c>
      <c r="D110">
        <v>5.6000000000000001E-2</v>
      </c>
      <c r="E110">
        <v>0</v>
      </c>
      <c r="F110">
        <v>-0.21099999999999997</v>
      </c>
      <c r="G110">
        <v>-0.19500000000000001</v>
      </c>
      <c r="H110">
        <v>-0.14600000000000002</v>
      </c>
      <c r="I110">
        <v>-0.17799999999999999</v>
      </c>
      <c r="J110">
        <v>-0.44798301486199571</v>
      </c>
      <c r="K110">
        <v>-0.51451187335092352</v>
      </c>
      <c r="L110">
        <v>-0.72277227722772286</v>
      </c>
      <c r="M110">
        <v>-1</v>
      </c>
      <c r="N110">
        <v>0.73599999999999999</v>
      </c>
      <c r="O110">
        <v>0.72399999999999998</v>
      </c>
      <c r="P110">
        <v>0.47699999999999998</v>
      </c>
      <c r="Q110">
        <v>0</v>
      </c>
      <c r="R110">
        <v>-0.10099999999999998</v>
      </c>
      <c r="S110">
        <v>-9.9999999999999978E-2</v>
      </c>
      <c r="T110">
        <v>-0.10599999999999998</v>
      </c>
      <c r="U110">
        <v>-0.79800000000000004</v>
      </c>
      <c r="V110">
        <v>-0.1206690561529271</v>
      </c>
      <c r="W110">
        <v>-0.12135922330097085</v>
      </c>
      <c r="X110">
        <v>-0.1818181818181818</v>
      </c>
      <c r="Y110">
        <v>-1</v>
      </c>
      <c r="Z110">
        <v>0.95499999999999996</v>
      </c>
      <c r="AA110">
        <v>0.95899999999999996</v>
      </c>
      <c r="AB110">
        <v>0.60199999999999998</v>
      </c>
      <c r="AC110">
        <v>0</v>
      </c>
      <c r="AD110">
        <v>0.89500000000000002</v>
      </c>
      <c r="AE110">
        <v>0.92199999999999993</v>
      </c>
      <c r="AF110">
        <v>0.59799999999999998</v>
      </c>
      <c r="AG110">
        <v>0</v>
      </c>
      <c r="AH110">
        <v>14.916666666666668</v>
      </c>
      <c r="AI110">
        <v>24.918918918918919</v>
      </c>
      <c r="AJ110">
        <v>149.5</v>
      </c>
      <c r="AK110" t="e">
        <v>#DIV/0!</v>
      </c>
      <c r="AL110" s="1">
        <f t="shared" si="15"/>
        <v>-0.28432603550746138</v>
      </c>
      <c r="AM110" s="1">
        <f t="shared" si="16"/>
        <v>-0.31793554832594717</v>
      </c>
      <c r="AN110" s="1">
        <f t="shared" si="17"/>
        <v>-0.45229522952295231</v>
      </c>
      <c r="AO110" s="1">
        <f t="shared" si="18"/>
        <v>-1</v>
      </c>
      <c r="AP110" s="1">
        <f t="shared" si="19"/>
        <v>-0.64216301775373075</v>
      </c>
    </row>
    <row r="111" spans="1:42">
      <c r="A111" t="s">
        <v>26</v>
      </c>
      <c r="B111">
        <v>0.27400000000000002</v>
      </c>
      <c r="C111">
        <v>0.19700000000000001</v>
      </c>
      <c r="D111">
        <v>6.6000000000000003E-2</v>
      </c>
      <c r="E111">
        <v>0</v>
      </c>
      <c r="F111">
        <v>-0.19699999999999995</v>
      </c>
      <c r="G111">
        <v>-0.182</v>
      </c>
      <c r="H111">
        <v>-0.13600000000000001</v>
      </c>
      <c r="I111">
        <v>-0.17799999999999999</v>
      </c>
      <c r="J111">
        <v>-0.41825902335456466</v>
      </c>
      <c r="K111">
        <v>-0.48021108179419525</v>
      </c>
      <c r="L111">
        <v>-0.67326732673267331</v>
      </c>
      <c r="M111">
        <v>-1</v>
      </c>
      <c r="N111">
        <v>0.71099999999999997</v>
      </c>
      <c r="O111">
        <v>0.69599999999999995</v>
      </c>
      <c r="P111">
        <v>0.45100000000000001</v>
      </c>
      <c r="Q111">
        <v>0</v>
      </c>
      <c r="R111">
        <v>-0.126</v>
      </c>
      <c r="S111">
        <v>-0.128</v>
      </c>
      <c r="T111">
        <v>-0.13199999999999995</v>
      </c>
      <c r="U111">
        <v>-0.79800000000000004</v>
      </c>
      <c r="V111">
        <v>-0.15053763440860216</v>
      </c>
      <c r="W111">
        <v>-0.15533980582524273</v>
      </c>
      <c r="X111">
        <v>-0.22641509433962256</v>
      </c>
      <c r="Y111">
        <v>-1</v>
      </c>
      <c r="Z111">
        <v>0.97699999999999998</v>
      </c>
      <c r="AA111">
        <v>0.97899999999999998</v>
      </c>
      <c r="AB111">
        <v>0.63500000000000001</v>
      </c>
      <c r="AC111">
        <v>0</v>
      </c>
      <c r="AD111">
        <v>0.91700000000000004</v>
      </c>
      <c r="AE111">
        <v>0.94199999999999995</v>
      </c>
      <c r="AF111">
        <v>0.63100000000000001</v>
      </c>
      <c r="AG111">
        <v>0</v>
      </c>
      <c r="AH111">
        <v>15.283333333333335</v>
      </c>
      <c r="AI111">
        <v>25.45945945945946</v>
      </c>
      <c r="AJ111">
        <v>157.75</v>
      </c>
      <c r="AK111" t="e">
        <v>#DIV/0!</v>
      </c>
      <c r="AL111" s="1">
        <f t="shared" si="15"/>
        <v>-0.2843983288815834</v>
      </c>
      <c r="AM111" s="1">
        <f t="shared" si="16"/>
        <v>-0.317775443809719</v>
      </c>
      <c r="AN111" s="1">
        <f t="shared" si="17"/>
        <v>-0.44984121053614795</v>
      </c>
      <c r="AO111" s="1">
        <f t="shared" si="18"/>
        <v>-1</v>
      </c>
      <c r="AP111" s="1">
        <f t="shared" si="19"/>
        <v>-0.64219916444079173</v>
      </c>
    </row>
    <row r="112" spans="1:42">
      <c r="A112" t="s">
        <v>5</v>
      </c>
      <c r="B112">
        <v>0.28299999999999997</v>
      </c>
      <c r="C112">
        <v>0.17799999999999999</v>
      </c>
      <c r="D112">
        <v>6.7000000000000004E-2</v>
      </c>
      <c r="E112">
        <v>0</v>
      </c>
      <c r="F112">
        <v>-0.188</v>
      </c>
      <c r="G112">
        <v>-0.20100000000000001</v>
      </c>
      <c r="H112">
        <v>-0.13500000000000001</v>
      </c>
      <c r="I112">
        <v>-0.17799999999999999</v>
      </c>
      <c r="J112">
        <v>-0.39915074309978771</v>
      </c>
      <c r="K112">
        <v>-0.53034300791556732</v>
      </c>
      <c r="L112">
        <v>-0.66831683168316836</v>
      </c>
      <c r="M112">
        <v>-1</v>
      </c>
      <c r="N112">
        <v>0.68700000000000006</v>
      </c>
      <c r="O112">
        <v>0.67</v>
      </c>
      <c r="P112">
        <v>0.41499999999999998</v>
      </c>
      <c r="Q112">
        <v>0</v>
      </c>
      <c r="R112">
        <v>-0.14999999999999991</v>
      </c>
      <c r="S112">
        <v>-0.15399999999999991</v>
      </c>
      <c r="T112">
        <v>-0.16799999999999998</v>
      </c>
      <c r="U112">
        <v>-0.79800000000000004</v>
      </c>
      <c r="V112">
        <v>-0.17921146953405009</v>
      </c>
      <c r="W112">
        <v>-0.18689320388349506</v>
      </c>
      <c r="X112">
        <v>-0.28816466552315606</v>
      </c>
      <c r="Y112">
        <v>-1</v>
      </c>
      <c r="Z112">
        <v>0.96799999999999997</v>
      </c>
      <c r="AA112">
        <v>0.97199999999999998</v>
      </c>
      <c r="AB112">
        <v>0.70799999999999996</v>
      </c>
      <c r="AC112">
        <v>0</v>
      </c>
      <c r="AD112">
        <v>0.90799999999999992</v>
      </c>
      <c r="AE112">
        <v>0.93499999999999994</v>
      </c>
      <c r="AF112">
        <v>0.70399999999999996</v>
      </c>
      <c r="AG112">
        <v>0</v>
      </c>
      <c r="AH112">
        <v>15.133333333333333</v>
      </c>
      <c r="AI112">
        <v>25.27027027027027</v>
      </c>
      <c r="AJ112">
        <v>176</v>
      </c>
      <c r="AK112" t="e">
        <v>#DIV/0!</v>
      </c>
      <c r="AL112" s="1">
        <f t="shared" si="15"/>
        <v>-0.2891811063169189</v>
      </c>
      <c r="AM112" s="1">
        <f t="shared" si="16"/>
        <v>-0.35861810589953119</v>
      </c>
      <c r="AN112" s="1">
        <f t="shared" si="17"/>
        <v>-0.47824074860316224</v>
      </c>
      <c r="AO112" s="1">
        <f t="shared" si="18"/>
        <v>-1</v>
      </c>
      <c r="AP112" s="1">
        <f t="shared" si="19"/>
        <v>-0.64459055315845948</v>
      </c>
    </row>
    <row r="113" spans="1:42">
      <c r="A113" t="s">
        <v>14</v>
      </c>
      <c r="B113">
        <v>0.253</v>
      </c>
      <c r="C113">
        <v>0.182</v>
      </c>
      <c r="D113">
        <v>7.0000000000000007E-2</v>
      </c>
      <c r="E113">
        <v>0</v>
      </c>
      <c r="F113">
        <v>-0.21799999999999997</v>
      </c>
      <c r="G113">
        <v>-0.19700000000000001</v>
      </c>
      <c r="H113">
        <v>-0.13200000000000001</v>
      </c>
      <c r="I113">
        <v>-0.17799999999999999</v>
      </c>
      <c r="J113">
        <v>-0.46284501061571121</v>
      </c>
      <c r="K113">
        <v>-0.51978891820580475</v>
      </c>
      <c r="L113">
        <v>-0.65346534653465349</v>
      </c>
      <c r="M113">
        <v>-1</v>
      </c>
      <c r="N113">
        <v>0.69299999999999995</v>
      </c>
      <c r="O113">
        <v>0.67800000000000005</v>
      </c>
      <c r="P113">
        <v>0.435</v>
      </c>
      <c r="Q113">
        <v>0</v>
      </c>
      <c r="R113">
        <v>-0.14400000000000002</v>
      </c>
      <c r="S113">
        <v>-0.14599999999999991</v>
      </c>
      <c r="T113">
        <v>-0.14799999999999996</v>
      </c>
      <c r="U113">
        <v>-0.79800000000000004</v>
      </c>
      <c r="V113">
        <v>-0.17204301075268819</v>
      </c>
      <c r="W113">
        <v>-0.17718446601941737</v>
      </c>
      <c r="X113">
        <v>-0.25385934819897077</v>
      </c>
      <c r="Y113">
        <v>-1</v>
      </c>
      <c r="Z113">
        <v>0.98399999999999999</v>
      </c>
      <c r="AA113">
        <v>0.99199999999999999</v>
      </c>
      <c r="AB113">
        <v>0.68100000000000005</v>
      </c>
      <c r="AC113">
        <v>0</v>
      </c>
      <c r="AD113">
        <v>0.92399999999999993</v>
      </c>
      <c r="AE113">
        <v>0.95499999999999996</v>
      </c>
      <c r="AF113">
        <v>0.67700000000000005</v>
      </c>
      <c r="AG113">
        <v>0</v>
      </c>
      <c r="AH113">
        <v>15.399999999999999</v>
      </c>
      <c r="AI113">
        <v>25.810810810810811</v>
      </c>
      <c r="AJ113">
        <v>169.25</v>
      </c>
      <c r="AK113" t="e">
        <v>#DIV/0!</v>
      </c>
      <c r="AL113" s="1">
        <f t="shared" si="15"/>
        <v>-0.3174440106841997</v>
      </c>
      <c r="AM113" s="1">
        <f t="shared" si="16"/>
        <v>-0.34848669211261107</v>
      </c>
      <c r="AN113" s="1">
        <f t="shared" si="17"/>
        <v>-0.4536623473668121</v>
      </c>
      <c r="AO113" s="1">
        <f t="shared" si="18"/>
        <v>-1</v>
      </c>
      <c r="AP113" s="1">
        <f t="shared" si="19"/>
        <v>-0.6587220053420999</v>
      </c>
    </row>
    <row r="114" spans="1:42">
      <c r="A114" t="s">
        <v>20</v>
      </c>
      <c r="B114">
        <v>0.23499999999999999</v>
      </c>
      <c r="C114">
        <v>0.16400000000000001</v>
      </c>
      <c r="D114">
        <v>5.1999999999999998E-2</v>
      </c>
      <c r="E114">
        <v>0</v>
      </c>
      <c r="F114">
        <v>-0.23599999999999999</v>
      </c>
      <c r="G114">
        <v>-0.215</v>
      </c>
      <c r="H114">
        <v>-0.15000000000000002</v>
      </c>
      <c r="I114">
        <v>-0.17799999999999999</v>
      </c>
      <c r="J114">
        <v>-0.50106157112526539</v>
      </c>
      <c r="K114">
        <v>-0.56728232189973615</v>
      </c>
      <c r="L114">
        <v>-0.74257425742574268</v>
      </c>
      <c r="M114">
        <v>-1</v>
      </c>
      <c r="N114">
        <v>0.68400000000000005</v>
      </c>
      <c r="O114">
        <v>0.67100000000000004</v>
      </c>
      <c r="P114">
        <v>0.42</v>
      </c>
      <c r="Q114">
        <v>0</v>
      </c>
      <c r="R114">
        <v>-0.15299999999999991</v>
      </c>
      <c r="S114">
        <v>-0.15299999999999991</v>
      </c>
      <c r="T114">
        <v>-0.16299999999999998</v>
      </c>
      <c r="U114">
        <v>-0.79800000000000004</v>
      </c>
      <c r="V114">
        <v>-0.18279569892473108</v>
      </c>
      <c r="W114">
        <v>-0.18567961165048535</v>
      </c>
      <c r="X114">
        <v>-0.27958833619210977</v>
      </c>
      <c r="Y114">
        <v>-1</v>
      </c>
      <c r="Z114">
        <v>0.96899999999999997</v>
      </c>
      <c r="AA114">
        <v>0.97099999999999997</v>
      </c>
      <c r="AB114">
        <v>0.65300000000000002</v>
      </c>
      <c r="AC114">
        <v>0</v>
      </c>
      <c r="AD114">
        <v>0.90900000000000003</v>
      </c>
      <c r="AE114">
        <v>0.93399999999999994</v>
      </c>
      <c r="AF114">
        <v>0.64900000000000002</v>
      </c>
      <c r="AG114">
        <v>0</v>
      </c>
      <c r="AH114">
        <v>15.15</v>
      </c>
      <c r="AI114">
        <v>25.243243243243242</v>
      </c>
      <c r="AJ114">
        <v>162.25</v>
      </c>
      <c r="AK114" t="e">
        <v>#DIV/0!</v>
      </c>
      <c r="AL114" s="1">
        <f t="shared" si="15"/>
        <v>-0.34192863502499826</v>
      </c>
      <c r="AM114" s="1">
        <f t="shared" si="16"/>
        <v>-0.37648096677511078</v>
      </c>
      <c r="AN114" s="1">
        <f t="shared" si="17"/>
        <v>-0.51108129680892622</v>
      </c>
      <c r="AO114" s="1">
        <f t="shared" si="18"/>
        <v>-1</v>
      </c>
      <c r="AP114" s="1">
        <f t="shared" si="19"/>
        <v>-0.67096431751249908</v>
      </c>
    </row>
    <row r="115" spans="1:42">
      <c r="A115" t="s">
        <v>34</v>
      </c>
      <c r="B115">
        <v>0.23200000000000001</v>
      </c>
      <c r="C115">
        <v>0.154</v>
      </c>
      <c r="D115">
        <v>5.0999999999999997E-2</v>
      </c>
      <c r="E115">
        <v>0</v>
      </c>
      <c r="F115">
        <v>-0.23899999999999996</v>
      </c>
      <c r="G115">
        <v>-0.22500000000000001</v>
      </c>
      <c r="H115">
        <v>-0.15100000000000002</v>
      </c>
      <c r="I115">
        <v>-0.17799999999999999</v>
      </c>
      <c r="J115">
        <v>-0.50743099787685775</v>
      </c>
      <c r="K115">
        <v>-0.59366754617414252</v>
      </c>
      <c r="L115">
        <v>-0.74752475247524763</v>
      </c>
      <c r="M115">
        <v>-1</v>
      </c>
      <c r="N115">
        <v>0.47899999999999998</v>
      </c>
      <c r="O115">
        <v>0.442</v>
      </c>
      <c r="P115">
        <v>0.2</v>
      </c>
      <c r="Q115">
        <v>0</v>
      </c>
      <c r="R115">
        <v>-0.35799999999999998</v>
      </c>
      <c r="S115">
        <v>-0.38199999999999995</v>
      </c>
      <c r="T115">
        <v>-0.38299999999999995</v>
      </c>
      <c r="U115">
        <v>-0.79800000000000004</v>
      </c>
      <c r="V115">
        <v>-0.42771804062126645</v>
      </c>
      <c r="W115">
        <v>-0.4635922330097087</v>
      </c>
      <c r="X115">
        <v>-0.65694682675814742</v>
      </c>
      <c r="Y115">
        <v>-1</v>
      </c>
      <c r="Z115">
        <v>0.81599999999999995</v>
      </c>
      <c r="AA115">
        <v>0.88700000000000001</v>
      </c>
      <c r="AB115">
        <v>0.45300000000000001</v>
      </c>
      <c r="AC115">
        <v>0</v>
      </c>
      <c r="AD115">
        <v>0.75600000000000001</v>
      </c>
      <c r="AE115">
        <v>0.85</v>
      </c>
      <c r="AF115">
        <v>0.44900000000000001</v>
      </c>
      <c r="AG115">
        <v>0</v>
      </c>
      <c r="AH115">
        <v>12.600000000000001</v>
      </c>
      <c r="AI115">
        <v>22.972972972972972</v>
      </c>
      <c r="AJ115">
        <v>112.25</v>
      </c>
      <c r="AK115" t="e">
        <v>#DIV/0!</v>
      </c>
      <c r="AL115" s="1">
        <f t="shared" si="15"/>
        <v>-0.46757451924906213</v>
      </c>
      <c r="AM115" s="1">
        <f t="shared" si="16"/>
        <v>-0.52862988959192558</v>
      </c>
      <c r="AN115" s="1">
        <f t="shared" si="17"/>
        <v>-0.70223578961669753</v>
      </c>
      <c r="AO115" s="1">
        <f t="shared" si="18"/>
        <v>-1</v>
      </c>
      <c r="AP115" s="1">
        <f t="shared" si="19"/>
        <v>-0.73378725962453106</v>
      </c>
    </row>
    <row r="116" spans="1:42">
      <c r="A116" t="s">
        <v>7</v>
      </c>
      <c r="B116">
        <v>0.24099999999999999</v>
      </c>
      <c r="C116">
        <v>0.14899999999999999</v>
      </c>
      <c r="D116">
        <v>4.1000000000000002E-2</v>
      </c>
      <c r="E116">
        <v>0</v>
      </c>
      <c r="F116">
        <v>-0.22999999999999998</v>
      </c>
      <c r="G116">
        <v>-0.23</v>
      </c>
      <c r="H116">
        <v>-0.161</v>
      </c>
      <c r="I116">
        <v>-0.17799999999999999</v>
      </c>
      <c r="J116">
        <v>-0.48832271762208068</v>
      </c>
      <c r="K116">
        <v>-0.60686015831134565</v>
      </c>
      <c r="L116">
        <v>-0.79702970297029696</v>
      </c>
      <c r="M116">
        <v>-1</v>
      </c>
      <c r="N116">
        <v>0.439</v>
      </c>
      <c r="O116">
        <v>0.376</v>
      </c>
      <c r="P116">
        <v>0.16</v>
      </c>
      <c r="Q116">
        <v>0</v>
      </c>
      <c r="R116">
        <v>-0.39799999999999996</v>
      </c>
      <c r="S116">
        <v>-0.44799999999999995</v>
      </c>
      <c r="T116">
        <v>-0.42299999999999993</v>
      </c>
      <c r="U116">
        <v>-0.79800000000000004</v>
      </c>
      <c r="V116">
        <v>-0.47550776583034643</v>
      </c>
      <c r="W116">
        <v>-0.5436893203883495</v>
      </c>
      <c r="X116">
        <v>-0.72555746140651789</v>
      </c>
      <c r="Y116">
        <v>-1</v>
      </c>
      <c r="Z116">
        <v>0.86299999999999999</v>
      </c>
      <c r="AA116">
        <v>0.89800000000000002</v>
      </c>
      <c r="AB116">
        <v>0.48</v>
      </c>
      <c r="AC116">
        <v>0</v>
      </c>
      <c r="AD116">
        <v>0.80299999999999994</v>
      </c>
      <c r="AE116">
        <v>0.86099999999999999</v>
      </c>
      <c r="AF116">
        <v>0.47599999999999998</v>
      </c>
      <c r="AG116">
        <v>0</v>
      </c>
      <c r="AH116">
        <v>13.383333333333333</v>
      </c>
      <c r="AI116">
        <v>23.27027027027027</v>
      </c>
      <c r="AJ116">
        <v>118.99999999999999</v>
      </c>
      <c r="AK116" t="e">
        <v>#DIV/0!</v>
      </c>
      <c r="AL116" s="1">
        <f t="shared" si="15"/>
        <v>-0.48191524172621358</v>
      </c>
      <c r="AM116" s="1">
        <f t="shared" si="16"/>
        <v>-0.57527473934984763</v>
      </c>
      <c r="AN116" s="1">
        <f t="shared" si="17"/>
        <v>-0.76129358218840748</v>
      </c>
      <c r="AO116" s="1">
        <f t="shared" si="18"/>
        <v>-1</v>
      </c>
      <c r="AP116" s="1">
        <f t="shared" si="19"/>
        <v>-0.74095762086310679</v>
      </c>
    </row>
    <row r="117" spans="1:42">
      <c r="A117" t="s">
        <v>16</v>
      </c>
      <c r="B117">
        <v>0.20499999999999999</v>
      </c>
      <c r="C117">
        <v>0.125</v>
      </c>
      <c r="D117">
        <v>2.9000000000000001E-2</v>
      </c>
      <c r="E117">
        <v>0</v>
      </c>
      <c r="F117">
        <v>-0.26600000000000001</v>
      </c>
      <c r="G117">
        <v>-0.254</v>
      </c>
      <c r="H117">
        <v>-0.17300000000000001</v>
      </c>
      <c r="I117">
        <v>-0.17799999999999999</v>
      </c>
      <c r="J117">
        <v>-0.56475583864118906</v>
      </c>
      <c r="K117">
        <v>-0.67018469656992086</v>
      </c>
      <c r="L117">
        <v>-0.85643564356435642</v>
      </c>
      <c r="M117">
        <v>-1</v>
      </c>
      <c r="N117">
        <v>0.441</v>
      </c>
      <c r="O117">
        <v>0.39800000000000002</v>
      </c>
      <c r="P117">
        <v>0.17699999999999999</v>
      </c>
      <c r="Q117">
        <v>0</v>
      </c>
      <c r="R117">
        <v>-0.39599999999999996</v>
      </c>
      <c r="S117">
        <v>-0.42599999999999993</v>
      </c>
      <c r="T117">
        <v>-0.40599999999999997</v>
      </c>
      <c r="U117">
        <v>-0.79800000000000004</v>
      </c>
      <c r="V117">
        <v>-0.47311827956989244</v>
      </c>
      <c r="W117">
        <v>-0.51699029126213591</v>
      </c>
      <c r="X117">
        <v>-0.69639794168096059</v>
      </c>
      <c r="Y117">
        <v>-1</v>
      </c>
      <c r="Z117">
        <v>0.90800000000000003</v>
      </c>
      <c r="AA117">
        <v>0.92400000000000004</v>
      </c>
      <c r="AB117">
        <v>0.50700000000000001</v>
      </c>
      <c r="AC117">
        <v>0</v>
      </c>
      <c r="AD117">
        <v>0.84800000000000009</v>
      </c>
      <c r="AE117">
        <v>0.88700000000000001</v>
      </c>
      <c r="AF117">
        <v>0.503</v>
      </c>
      <c r="AG117">
        <v>0</v>
      </c>
      <c r="AH117">
        <v>14.133333333333335</v>
      </c>
      <c r="AI117">
        <v>23.972972972972975</v>
      </c>
      <c r="AJ117">
        <v>125.75</v>
      </c>
      <c r="AK117" t="e">
        <v>#DIV/0!</v>
      </c>
      <c r="AL117" s="1">
        <f t="shared" si="15"/>
        <v>-0.51893705910554078</v>
      </c>
      <c r="AM117" s="1">
        <f t="shared" si="16"/>
        <v>-0.59358749391602839</v>
      </c>
      <c r="AN117" s="1">
        <f t="shared" si="17"/>
        <v>-0.7764167926226585</v>
      </c>
      <c r="AO117" s="1">
        <f t="shared" si="18"/>
        <v>-1</v>
      </c>
      <c r="AP117" s="1">
        <f t="shared" si="19"/>
        <v>-0.75946852955277033</v>
      </c>
    </row>
    <row r="118" spans="1:42">
      <c r="A118" t="s">
        <v>40</v>
      </c>
      <c r="B118">
        <v>0.23100000000000001</v>
      </c>
      <c r="C118">
        <v>0.14299999999999999</v>
      </c>
      <c r="D118">
        <v>0.04</v>
      </c>
      <c r="E118">
        <v>0</v>
      </c>
      <c r="F118">
        <v>-0.23999999999999996</v>
      </c>
      <c r="G118">
        <v>-0.23600000000000002</v>
      </c>
      <c r="H118">
        <v>-0.16200000000000001</v>
      </c>
      <c r="I118">
        <v>-0.17799999999999999</v>
      </c>
      <c r="J118">
        <v>-0.50955414012738853</v>
      </c>
      <c r="K118">
        <v>-0.62269129287598945</v>
      </c>
      <c r="L118">
        <v>-0.80198019801980192</v>
      </c>
      <c r="M118">
        <v>-1</v>
      </c>
      <c r="N118">
        <v>0.378</v>
      </c>
      <c r="O118">
        <v>0.31900000000000001</v>
      </c>
      <c r="P118">
        <v>0.13200000000000001</v>
      </c>
      <c r="Q118">
        <v>0</v>
      </c>
      <c r="R118">
        <v>-0.45899999999999996</v>
      </c>
      <c r="S118">
        <v>-0.50499999999999989</v>
      </c>
      <c r="T118">
        <v>-0.45099999999999996</v>
      </c>
      <c r="U118">
        <v>-0.79800000000000004</v>
      </c>
      <c r="V118">
        <v>-0.54838709677419351</v>
      </c>
      <c r="W118">
        <v>-0.61286407766990281</v>
      </c>
      <c r="X118">
        <v>-0.7735849056603773</v>
      </c>
      <c r="Y118">
        <v>-1</v>
      </c>
      <c r="Z118">
        <v>0.74299999999999999</v>
      </c>
      <c r="AA118">
        <v>0.79100000000000004</v>
      </c>
      <c r="AB118">
        <v>0.35699999999999998</v>
      </c>
      <c r="AC118">
        <v>0</v>
      </c>
      <c r="AD118">
        <v>0.68300000000000005</v>
      </c>
      <c r="AE118">
        <v>0.754</v>
      </c>
      <c r="AF118">
        <v>0.35299999999999998</v>
      </c>
      <c r="AG118">
        <v>0</v>
      </c>
      <c r="AH118">
        <v>11.383333333333335</v>
      </c>
      <c r="AI118">
        <v>20.378378378378379</v>
      </c>
      <c r="AJ118">
        <v>88.25</v>
      </c>
      <c r="AK118" t="e">
        <v>#DIV/0!</v>
      </c>
      <c r="AL118" s="1">
        <f t="shared" si="15"/>
        <v>-0.52897061845079096</v>
      </c>
      <c r="AM118" s="1">
        <f t="shared" si="16"/>
        <v>-0.61777768527294619</v>
      </c>
      <c r="AN118" s="1">
        <f t="shared" si="17"/>
        <v>-0.78778255184008961</v>
      </c>
      <c r="AO118" s="1">
        <f t="shared" si="18"/>
        <v>-1</v>
      </c>
      <c r="AP118" s="1">
        <f t="shared" si="19"/>
        <v>-0.76448530922539548</v>
      </c>
    </row>
    <row r="119" spans="1:42">
      <c r="A119" t="s">
        <v>22</v>
      </c>
      <c r="B119">
        <v>0.155</v>
      </c>
      <c r="C119">
        <v>7.3999999999999996E-2</v>
      </c>
      <c r="D119">
        <v>0.02</v>
      </c>
      <c r="E119">
        <v>0</v>
      </c>
      <c r="F119">
        <v>-0.31599999999999995</v>
      </c>
      <c r="G119">
        <v>-0.30499999999999999</v>
      </c>
      <c r="H119">
        <v>-0.18200000000000002</v>
      </c>
      <c r="I119">
        <v>-0.17799999999999999</v>
      </c>
      <c r="J119">
        <v>-0.6709129511677282</v>
      </c>
      <c r="K119">
        <v>-0.80474934036939316</v>
      </c>
      <c r="L119">
        <v>-0.90099009900990101</v>
      </c>
      <c r="M119">
        <v>-1</v>
      </c>
      <c r="N119">
        <v>0.42199999999999999</v>
      </c>
      <c r="O119">
        <v>0.35099999999999998</v>
      </c>
      <c r="P119">
        <v>0.14499999999999999</v>
      </c>
      <c r="Q119">
        <v>0</v>
      </c>
      <c r="R119">
        <v>-0.41499999999999998</v>
      </c>
      <c r="S119">
        <v>-0.47299999999999998</v>
      </c>
      <c r="T119">
        <v>-0.43799999999999994</v>
      </c>
      <c r="U119">
        <v>-0.79800000000000004</v>
      </c>
      <c r="V119">
        <v>-0.49581839904420549</v>
      </c>
      <c r="W119">
        <v>-0.57402912621359226</v>
      </c>
      <c r="X119">
        <v>-0.75128644939965694</v>
      </c>
      <c r="Y119">
        <v>-1</v>
      </c>
      <c r="Z119">
        <v>0.88700000000000001</v>
      </c>
      <c r="AA119">
        <v>0.94</v>
      </c>
      <c r="AB119">
        <v>0.47599999999999998</v>
      </c>
      <c r="AC119">
        <v>0</v>
      </c>
      <c r="AD119">
        <v>0.82699999999999996</v>
      </c>
      <c r="AE119">
        <v>0.90299999999999991</v>
      </c>
      <c r="AF119">
        <v>0.47199999999999998</v>
      </c>
      <c r="AG119">
        <v>0</v>
      </c>
      <c r="AH119">
        <v>13.783333333333333</v>
      </c>
      <c r="AI119">
        <v>24.405405405405403</v>
      </c>
      <c r="AJ119">
        <v>117.99999999999999</v>
      </c>
      <c r="AK119" t="e">
        <v>#DIV/0!</v>
      </c>
      <c r="AL119" s="1">
        <f t="shared" si="15"/>
        <v>-0.58336567510596682</v>
      </c>
      <c r="AM119" s="1">
        <f t="shared" si="16"/>
        <v>-0.68938923329149271</v>
      </c>
      <c r="AN119" s="1">
        <f t="shared" si="17"/>
        <v>-0.82613827420477892</v>
      </c>
      <c r="AO119" s="1">
        <f t="shared" si="18"/>
        <v>-1</v>
      </c>
      <c r="AP119" s="1">
        <f t="shared" si="19"/>
        <v>-0.79168283755298341</v>
      </c>
    </row>
    <row r="120" spans="1:42">
      <c r="A120" t="s">
        <v>28</v>
      </c>
      <c r="B120">
        <v>0.152</v>
      </c>
      <c r="C120">
        <v>8.4000000000000005E-2</v>
      </c>
      <c r="D120">
        <v>2.1000000000000001E-2</v>
      </c>
      <c r="E120">
        <v>0</v>
      </c>
      <c r="F120">
        <v>-0.31899999999999995</v>
      </c>
      <c r="G120">
        <v>-0.29499999999999998</v>
      </c>
      <c r="H120">
        <v>-0.18100000000000002</v>
      </c>
      <c r="I120">
        <v>-0.17799999999999999</v>
      </c>
      <c r="J120">
        <v>-0.67728237791932056</v>
      </c>
      <c r="K120">
        <v>-0.77836411609498679</v>
      </c>
      <c r="L120">
        <v>-0.89603960396039606</v>
      </c>
      <c r="M120">
        <v>-1</v>
      </c>
      <c r="N120">
        <v>0.42099999999999999</v>
      </c>
      <c r="O120">
        <v>0.35699999999999998</v>
      </c>
      <c r="P120">
        <v>0.152</v>
      </c>
      <c r="Q120">
        <v>0</v>
      </c>
      <c r="R120">
        <v>-0.41599999999999998</v>
      </c>
      <c r="S120">
        <v>-0.46699999999999997</v>
      </c>
      <c r="T120">
        <v>-0.43099999999999994</v>
      </c>
      <c r="U120">
        <v>-0.79800000000000004</v>
      </c>
      <c r="V120">
        <v>-0.49701314217443249</v>
      </c>
      <c r="W120">
        <v>-0.56674757281553401</v>
      </c>
      <c r="X120">
        <v>-0.73927958833619201</v>
      </c>
      <c r="Y120">
        <v>-1</v>
      </c>
      <c r="Z120">
        <v>0.873</v>
      </c>
      <c r="AA120">
        <v>0.90600000000000003</v>
      </c>
      <c r="AB120">
        <v>0.45</v>
      </c>
      <c r="AC120">
        <v>0</v>
      </c>
      <c r="AD120">
        <v>0.81299999999999994</v>
      </c>
      <c r="AE120">
        <v>0.86899999999999999</v>
      </c>
      <c r="AF120">
        <v>0.44600000000000001</v>
      </c>
      <c r="AG120">
        <v>0</v>
      </c>
      <c r="AH120">
        <v>13.549999999999999</v>
      </c>
      <c r="AI120">
        <v>23.486486486486488</v>
      </c>
      <c r="AJ120">
        <v>111.5</v>
      </c>
      <c r="AK120" t="e">
        <v>#DIV/0!</v>
      </c>
      <c r="AL120" s="1">
        <f t="shared" si="15"/>
        <v>-0.58714776004687652</v>
      </c>
      <c r="AM120" s="1">
        <f t="shared" si="16"/>
        <v>-0.6725558444552604</v>
      </c>
      <c r="AN120" s="1">
        <f t="shared" si="17"/>
        <v>-0.81765959614829398</v>
      </c>
      <c r="AO120" s="1">
        <f t="shared" si="18"/>
        <v>-1</v>
      </c>
      <c r="AP120" s="1">
        <f t="shared" si="19"/>
        <v>-0.79357388002343832</v>
      </c>
    </row>
    <row r="121" spans="1:42">
      <c r="A121" t="s">
        <v>77</v>
      </c>
      <c r="B121">
        <v>0</v>
      </c>
      <c r="C121">
        <v>0</v>
      </c>
      <c r="D121">
        <v>0</v>
      </c>
      <c r="E121">
        <v>0</v>
      </c>
      <c r="F121">
        <v>-0.47099999999999997</v>
      </c>
      <c r="G121">
        <v>-0.379</v>
      </c>
      <c r="H121">
        <v>-0.20200000000000001</v>
      </c>
      <c r="I121">
        <v>-0.17799999999999999</v>
      </c>
      <c r="J121">
        <v>-1</v>
      </c>
      <c r="K121">
        <v>-1</v>
      </c>
      <c r="L121">
        <v>-1</v>
      </c>
      <c r="M121">
        <v>-1</v>
      </c>
      <c r="N121">
        <v>0.10299999999999999</v>
      </c>
      <c r="O121">
        <v>2.8000000000000001E-2</v>
      </c>
      <c r="P121">
        <v>6.0000000000000001E-3</v>
      </c>
      <c r="Q121">
        <v>0</v>
      </c>
      <c r="R121">
        <v>-0.73399999999999999</v>
      </c>
      <c r="S121">
        <v>-0.79599999999999993</v>
      </c>
      <c r="T121">
        <v>-0.57699999999999996</v>
      </c>
      <c r="U121">
        <v>-0.79800000000000004</v>
      </c>
      <c r="V121">
        <v>-0.8769414575866189</v>
      </c>
      <c r="W121">
        <v>-0.96601941747572817</v>
      </c>
      <c r="X121">
        <v>-0.98970840480274447</v>
      </c>
      <c r="Y121">
        <v>-1</v>
      </c>
      <c r="Z121">
        <v>0.33200000000000002</v>
      </c>
      <c r="AA121">
        <v>0.26100000000000001</v>
      </c>
      <c r="AB121">
        <v>7.6999999999999999E-2</v>
      </c>
      <c r="AC121">
        <v>0</v>
      </c>
      <c r="AD121">
        <v>0.27200000000000002</v>
      </c>
      <c r="AE121">
        <v>0.224</v>
      </c>
      <c r="AF121">
        <v>7.2999999999999995E-2</v>
      </c>
      <c r="AG121">
        <v>0</v>
      </c>
      <c r="AH121">
        <v>4.5333333333333341</v>
      </c>
      <c r="AI121">
        <v>6.0540540540540544</v>
      </c>
      <c r="AJ121">
        <v>18.25</v>
      </c>
      <c r="AK121" t="e">
        <v>#DIV/0!</v>
      </c>
      <c r="AL121" s="1">
        <f t="shared" si="15"/>
        <v>-0.93847072879330939</v>
      </c>
      <c r="AM121" s="1">
        <f t="shared" si="16"/>
        <v>-0.98300970873786409</v>
      </c>
      <c r="AN121" s="1">
        <f t="shared" si="17"/>
        <v>-0.99485420240137223</v>
      </c>
      <c r="AO121" s="1">
        <f t="shared" si="18"/>
        <v>-1</v>
      </c>
      <c r="AP121" s="1">
        <f t="shared" si="19"/>
        <v>-0.9692353643966547</v>
      </c>
    </row>
    <row r="122" spans="1:42">
      <c r="A122" t="s">
        <v>81</v>
      </c>
      <c r="B122">
        <v>0</v>
      </c>
      <c r="C122">
        <v>0</v>
      </c>
      <c r="D122">
        <v>0</v>
      </c>
      <c r="E122">
        <v>0</v>
      </c>
      <c r="F122">
        <v>-0.47099999999999997</v>
      </c>
      <c r="G122">
        <v>-0.379</v>
      </c>
      <c r="H122">
        <v>-0.20200000000000001</v>
      </c>
      <c r="I122">
        <v>-0.17799999999999999</v>
      </c>
      <c r="J122">
        <v>-1</v>
      </c>
      <c r="K122">
        <v>-1</v>
      </c>
      <c r="L122">
        <v>-1</v>
      </c>
      <c r="M122">
        <v>-1</v>
      </c>
      <c r="N122">
        <v>0.10299999999999999</v>
      </c>
      <c r="O122">
        <v>2.8000000000000001E-2</v>
      </c>
      <c r="P122">
        <v>6.0000000000000001E-3</v>
      </c>
      <c r="Q122">
        <v>0</v>
      </c>
      <c r="R122">
        <v>-0.73399999999999999</v>
      </c>
      <c r="S122">
        <v>-0.79599999999999993</v>
      </c>
      <c r="T122">
        <v>-0.57699999999999996</v>
      </c>
      <c r="U122">
        <v>-0.79800000000000004</v>
      </c>
      <c r="V122">
        <v>-0.8769414575866189</v>
      </c>
      <c r="W122">
        <v>-0.96601941747572817</v>
      </c>
      <c r="X122">
        <v>-0.98970840480274447</v>
      </c>
      <c r="Y122">
        <v>-1</v>
      </c>
      <c r="Z122">
        <v>0.33200000000000002</v>
      </c>
      <c r="AA122">
        <v>0.26100000000000001</v>
      </c>
      <c r="AB122">
        <v>7.6999999999999999E-2</v>
      </c>
      <c r="AC122">
        <v>0</v>
      </c>
      <c r="AD122">
        <v>0.27200000000000002</v>
      </c>
      <c r="AE122">
        <v>0.224</v>
      </c>
      <c r="AF122">
        <v>7.2999999999999995E-2</v>
      </c>
      <c r="AG122">
        <v>0</v>
      </c>
      <c r="AH122">
        <v>4.5333333333333341</v>
      </c>
      <c r="AI122">
        <v>6.0540540540540544</v>
      </c>
      <c r="AJ122">
        <v>18.25</v>
      </c>
      <c r="AK122" t="e">
        <v>#DIV/0!</v>
      </c>
      <c r="AL122" s="1">
        <f t="shared" si="15"/>
        <v>-0.93847072879330939</v>
      </c>
      <c r="AM122" s="1">
        <f t="shared" si="16"/>
        <v>-0.98300970873786409</v>
      </c>
      <c r="AN122" s="1">
        <f t="shared" si="17"/>
        <v>-0.99485420240137223</v>
      </c>
      <c r="AO122" s="1">
        <f t="shared" si="18"/>
        <v>-1</v>
      </c>
      <c r="AP122" s="1">
        <f t="shared" si="19"/>
        <v>-0.9692353643966547</v>
      </c>
    </row>
    <row r="123" spans="1:42">
      <c r="A123" t="s">
        <v>41</v>
      </c>
      <c r="B123">
        <v>0.01</v>
      </c>
      <c r="C123">
        <v>4.2000000000000003E-2</v>
      </c>
      <c r="D123">
        <v>1.4E-2</v>
      </c>
      <c r="E123">
        <v>8.9999999999999993E-3</v>
      </c>
      <c r="F123">
        <v>-0.46099999999999997</v>
      </c>
      <c r="G123">
        <v>-0.33700000000000002</v>
      </c>
      <c r="H123">
        <v>-0.188</v>
      </c>
      <c r="I123">
        <v>-0.16899999999999998</v>
      </c>
      <c r="J123">
        <v>-0.97876857749469215</v>
      </c>
      <c r="K123">
        <v>-0.88918205804749351</v>
      </c>
      <c r="L123">
        <v>-0.93069306930693063</v>
      </c>
      <c r="M123">
        <v>-0.949438202247191</v>
      </c>
      <c r="N123">
        <v>1.6E-2</v>
      </c>
      <c r="O123">
        <v>0.10100000000000001</v>
      </c>
      <c r="P123">
        <v>3.6999999999999998E-2</v>
      </c>
      <c r="Q123">
        <v>1.4E-2</v>
      </c>
      <c r="R123">
        <v>-0.82099999999999995</v>
      </c>
      <c r="S123">
        <v>-0.72299999999999998</v>
      </c>
      <c r="T123">
        <v>-0.54599999999999993</v>
      </c>
      <c r="U123">
        <v>-0.78400000000000003</v>
      </c>
      <c r="V123">
        <v>-0.98088410991636799</v>
      </c>
      <c r="W123">
        <v>-0.87742718446601942</v>
      </c>
      <c r="X123">
        <v>-0.93653516295025718</v>
      </c>
      <c r="Y123">
        <v>-0.98245614035087714</v>
      </c>
      <c r="Z123">
        <v>6.0000000000000001E-3</v>
      </c>
      <c r="AA123">
        <v>0.94099999999999995</v>
      </c>
      <c r="AB123">
        <v>0.51800000000000002</v>
      </c>
      <c r="AC123">
        <v>7.0000000000000001E-3</v>
      </c>
      <c r="AD123">
        <v>-5.3999999999999999E-2</v>
      </c>
      <c r="AE123">
        <v>0.90399999999999991</v>
      </c>
      <c r="AF123">
        <v>0.51400000000000001</v>
      </c>
      <c r="AG123">
        <v>7.0000000000000001E-3</v>
      </c>
      <c r="AH123">
        <v>-0.9</v>
      </c>
      <c r="AI123">
        <v>24.432432432432432</v>
      </c>
      <c r="AJ123">
        <v>128.5</v>
      </c>
      <c r="AK123" t="e">
        <v>#DIV/0!</v>
      </c>
      <c r="AL123" s="1">
        <f t="shared" si="15"/>
        <v>-0.97982634370553012</v>
      </c>
      <c r="AM123" s="1">
        <f t="shared" si="16"/>
        <v>-0.88330462125675646</v>
      </c>
      <c r="AN123" s="1">
        <f t="shared" si="17"/>
        <v>-0.93361411612859391</v>
      </c>
      <c r="AO123" s="1">
        <f t="shared" si="18"/>
        <v>-0.96594717129903407</v>
      </c>
      <c r="AP123" s="1">
        <f t="shared" si="19"/>
        <v>-0.97288675750228204</v>
      </c>
    </row>
    <row r="124" spans="1:42">
      <c r="A124" t="s">
        <v>17</v>
      </c>
      <c r="B124">
        <v>0</v>
      </c>
      <c r="C124">
        <v>0</v>
      </c>
      <c r="D124">
        <v>0</v>
      </c>
      <c r="E124">
        <v>0</v>
      </c>
      <c r="F124">
        <v>-0.47099999999999997</v>
      </c>
      <c r="G124">
        <v>-0.379</v>
      </c>
      <c r="H124">
        <v>-0.20200000000000001</v>
      </c>
      <c r="I124">
        <v>-0.17799999999999999</v>
      </c>
      <c r="J124">
        <v>-1</v>
      </c>
      <c r="K124">
        <v>-1</v>
      </c>
      <c r="L124">
        <v>-1</v>
      </c>
      <c r="M124">
        <v>-1</v>
      </c>
      <c r="N124">
        <v>8.0000000000000002E-3</v>
      </c>
      <c r="O124">
        <v>0.01</v>
      </c>
      <c r="P124">
        <v>3.0000000000000001E-3</v>
      </c>
      <c r="Q124">
        <v>6.0000000000000001E-3</v>
      </c>
      <c r="R124">
        <v>-0.82899999999999996</v>
      </c>
      <c r="S124">
        <v>-0.81399999999999995</v>
      </c>
      <c r="T124">
        <v>-0.57999999999999996</v>
      </c>
      <c r="U124">
        <v>-0.79200000000000004</v>
      </c>
      <c r="V124">
        <v>-0.99044205495818394</v>
      </c>
      <c r="W124">
        <v>-0.98786407766990292</v>
      </c>
      <c r="X124">
        <v>-0.99485420240137223</v>
      </c>
      <c r="Y124">
        <v>-0.99248120300751874</v>
      </c>
      <c r="Z124">
        <v>2E-3</v>
      </c>
      <c r="AA124">
        <v>0.03</v>
      </c>
      <c r="AB124">
        <v>8.9999999999999993E-3</v>
      </c>
      <c r="AC124">
        <v>1E-3</v>
      </c>
      <c r="AD124">
        <v>-5.7999999999999996E-2</v>
      </c>
      <c r="AE124">
        <v>-6.9999999999999993E-3</v>
      </c>
      <c r="AF124">
        <v>4.9999999999999992E-3</v>
      </c>
      <c r="AG124">
        <v>1E-3</v>
      </c>
      <c r="AH124">
        <v>-0.96666666666666667</v>
      </c>
      <c r="AI124">
        <v>-0.18918918918918917</v>
      </c>
      <c r="AJ124">
        <v>1.2499999999999998</v>
      </c>
      <c r="AK124" t="e">
        <v>#DIV/0!</v>
      </c>
      <c r="AL124" s="1">
        <f t="shared" si="15"/>
        <v>-0.99522102747909202</v>
      </c>
      <c r="AM124" s="1">
        <f t="shared" si="16"/>
        <v>-0.99393203883495151</v>
      </c>
      <c r="AN124" s="1">
        <f t="shared" si="17"/>
        <v>-0.99742710120068612</v>
      </c>
      <c r="AO124" s="1">
        <f t="shared" si="18"/>
        <v>-0.99624060150375937</v>
      </c>
      <c r="AP124" s="1">
        <f t="shared" si="19"/>
        <v>-0.99573081449142564</v>
      </c>
    </row>
    <row r="125" spans="1:42">
      <c r="A125" t="s">
        <v>100</v>
      </c>
      <c r="B125">
        <v>3.0000000000000001E-3</v>
      </c>
      <c r="C125">
        <v>0</v>
      </c>
      <c r="D125">
        <v>0</v>
      </c>
      <c r="E125">
        <v>0</v>
      </c>
      <c r="F125">
        <v>-0.46799999999999997</v>
      </c>
      <c r="G125">
        <v>-0.379</v>
      </c>
      <c r="H125">
        <v>-0.20200000000000001</v>
      </c>
      <c r="I125">
        <v>-0.17799999999999999</v>
      </c>
      <c r="J125">
        <v>-0.99363057324840764</v>
      </c>
      <c r="K125">
        <v>-1</v>
      </c>
      <c r="L125">
        <v>-1</v>
      </c>
      <c r="M125">
        <v>-1</v>
      </c>
      <c r="N125">
        <v>7.0000000000000001E-3</v>
      </c>
      <c r="O125">
        <v>2E-3</v>
      </c>
      <c r="P125">
        <v>0</v>
      </c>
      <c r="Q125">
        <v>0</v>
      </c>
      <c r="R125">
        <v>-0.83</v>
      </c>
      <c r="S125">
        <v>-0.82199999999999995</v>
      </c>
      <c r="T125">
        <v>-0.58299999999999996</v>
      </c>
      <c r="U125">
        <v>-0.79800000000000004</v>
      </c>
      <c r="V125">
        <v>-0.99163679808841099</v>
      </c>
      <c r="W125">
        <v>-0.99757281553398058</v>
      </c>
      <c r="X125">
        <v>-1</v>
      </c>
      <c r="Y125">
        <v>-1</v>
      </c>
      <c r="Z125">
        <v>4.0000000000000001E-3</v>
      </c>
      <c r="AA125">
        <v>2.3E-2</v>
      </c>
      <c r="AB125">
        <v>8.9999999999999993E-3</v>
      </c>
      <c r="AC125">
        <v>0</v>
      </c>
      <c r="AD125">
        <v>-5.5999999999999994E-2</v>
      </c>
      <c r="AE125">
        <v>-1.3999999999999999E-2</v>
      </c>
      <c r="AF125">
        <v>4.9999999999999992E-3</v>
      </c>
      <c r="AG125">
        <v>0</v>
      </c>
      <c r="AH125">
        <v>-0.93333333333333324</v>
      </c>
      <c r="AI125">
        <v>-0.37837837837837834</v>
      </c>
      <c r="AJ125">
        <v>1.2499999999999998</v>
      </c>
      <c r="AK125" t="e">
        <v>#DIV/0!</v>
      </c>
      <c r="AL125" s="1">
        <f t="shared" si="15"/>
        <v>-0.99263368566840926</v>
      </c>
      <c r="AM125" s="1">
        <f t="shared" si="16"/>
        <v>-0.99878640776699035</v>
      </c>
      <c r="AN125" s="1">
        <f t="shared" si="17"/>
        <v>-1</v>
      </c>
      <c r="AO125" s="1">
        <f t="shared" si="18"/>
        <v>-1</v>
      </c>
      <c r="AP125" s="1">
        <f t="shared" si="19"/>
        <v>-0.99631684283420463</v>
      </c>
    </row>
    <row r="126" spans="1:42">
      <c r="A126" t="s">
        <v>105</v>
      </c>
      <c r="B126">
        <v>2E-3</v>
      </c>
      <c r="C126">
        <v>1E-3</v>
      </c>
      <c r="D126">
        <v>0</v>
      </c>
      <c r="E126">
        <v>0</v>
      </c>
      <c r="F126">
        <v>-0.46899999999999997</v>
      </c>
      <c r="G126">
        <v>-0.378</v>
      </c>
      <c r="H126">
        <v>-0.20200000000000001</v>
      </c>
      <c r="I126">
        <v>-0.17799999999999999</v>
      </c>
      <c r="J126">
        <v>-0.99575371549893843</v>
      </c>
      <c r="K126">
        <v>-0.99736147757255933</v>
      </c>
      <c r="L126">
        <v>-1</v>
      </c>
      <c r="M126">
        <v>-1</v>
      </c>
      <c r="N126">
        <v>8.0000000000000002E-3</v>
      </c>
      <c r="O126">
        <v>1.2E-2</v>
      </c>
      <c r="P126">
        <v>2E-3</v>
      </c>
      <c r="Q126">
        <v>0</v>
      </c>
      <c r="R126">
        <v>-0.82899999999999996</v>
      </c>
      <c r="S126">
        <v>-0.81199999999999994</v>
      </c>
      <c r="T126">
        <v>-0.58099999999999996</v>
      </c>
      <c r="U126">
        <v>-0.79800000000000004</v>
      </c>
      <c r="V126">
        <v>-0.99044205495818394</v>
      </c>
      <c r="W126">
        <v>-0.9854368932038835</v>
      </c>
      <c r="X126">
        <v>-0.99656946826758153</v>
      </c>
      <c r="Y126">
        <v>-1</v>
      </c>
      <c r="Z126">
        <v>1.0999999999999999E-2</v>
      </c>
      <c r="AA126">
        <v>8.5000000000000006E-2</v>
      </c>
      <c r="AB126">
        <v>0.02</v>
      </c>
      <c r="AC126">
        <v>0</v>
      </c>
      <c r="AD126">
        <v>-4.9000000000000002E-2</v>
      </c>
      <c r="AE126">
        <v>4.8000000000000008E-2</v>
      </c>
      <c r="AF126">
        <v>1.6E-2</v>
      </c>
      <c r="AG126">
        <v>0</v>
      </c>
      <c r="AH126">
        <v>-0.81666666666666676</v>
      </c>
      <c r="AI126">
        <v>1.2972972972972976</v>
      </c>
      <c r="AJ126">
        <v>4</v>
      </c>
      <c r="AK126" t="e">
        <v>#DIV/0!</v>
      </c>
      <c r="AL126" s="1">
        <f t="shared" si="15"/>
        <v>-0.99309788522856124</v>
      </c>
      <c r="AM126" s="1">
        <f t="shared" si="16"/>
        <v>-0.99139918538822136</v>
      </c>
      <c r="AN126" s="1">
        <f t="shared" si="17"/>
        <v>-0.99828473413379082</v>
      </c>
      <c r="AO126" s="1">
        <f t="shared" si="18"/>
        <v>-1</v>
      </c>
      <c r="AP126" s="1">
        <f t="shared" si="19"/>
        <v>-0.99654894261428062</v>
      </c>
    </row>
    <row r="127" spans="1:42">
      <c r="A127" t="s">
        <v>109</v>
      </c>
      <c r="B127">
        <v>2E-3</v>
      </c>
      <c r="C127">
        <v>1E-3</v>
      </c>
      <c r="D127">
        <v>0</v>
      </c>
      <c r="E127">
        <v>0</v>
      </c>
      <c r="F127">
        <v>-0.46899999999999997</v>
      </c>
      <c r="G127">
        <v>-0.378</v>
      </c>
      <c r="H127">
        <v>-0.20200000000000001</v>
      </c>
      <c r="I127">
        <v>-0.17799999999999999</v>
      </c>
      <c r="J127">
        <v>-0.99575371549893843</v>
      </c>
      <c r="K127">
        <v>-0.99736147757255933</v>
      </c>
      <c r="L127">
        <v>-1</v>
      </c>
      <c r="M127">
        <v>-1</v>
      </c>
      <c r="N127">
        <v>8.0000000000000002E-3</v>
      </c>
      <c r="O127">
        <v>1.2E-2</v>
      </c>
      <c r="P127">
        <v>2E-3</v>
      </c>
      <c r="Q127">
        <v>0</v>
      </c>
      <c r="R127">
        <v>-0.82899999999999996</v>
      </c>
      <c r="S127">
        <v>-0.81199999999999994</v>
      </c>
      <c r="T127">
        <v>-0.58099999999999996</v>
      </c>
      <c r="U127">
        <v>-0.79800000000000004</v>
      </c>
      <c r="V127">
        <v>-0.99044205495818394</v>
      </c>
      <c r="W127">
        <v>-0.9854368932038835</v>
      </c>
      <c r="X127">
        <v>-0.99656946826758153</v>
      </c>
      <c r="Y127">
        <v>-1</v>
      </c>
      <c r="Z127">
        <v>1.0999999999999999E-2</v>
      </c>
      <c r="AA127">
        <v>8.5000000000000006E-2</v>
      </c>
      <c r="AB127">
        <v>0.02</v>
      </c>
      <c r="AC127">
        <v>0</v>
      </c>
      <c r="AD127">
        <v>-4.9000000000000002E-2</v>
      </c>
      <c r="AE127">
        <v>4.8000000000000008E-2</v>
      </c>
      <c r="AF127">
        <v>1.6E-2</v>
      </c>
      <c r="AG127">
        <v>0</v>
      </c>
      <c r="AH127">
        <v>-0.81666666666666676</v>
      </c>
      <c r="AI127">
        <v>1.2972972972972976</v>
      </c>
      <c r="AJ127">
        <v>4</v>
      </c>
      <c r="AK127" t="e">
        <v>#DIV/0!</v>
      </c>
      <c r="AL127" s="1">
        <f t="shared" si="15"/>
        <v>-0.99309788522856124</v>
      </c>
      <c r="AM127" s="1">
        <f t="shared" si="16"/>
        <v>-0.99139918538822136</v>
      </c>
      <c r="AN127" s="1">
        <f t="shared" si="17"/>
        <v>-0.99828473413379082</v>
      </c>
      <c r="AO127" s="1">
        <f t="shared" si="18"/>
        <v>-1</v>
      </c>
      <c r="AP127" s="1">
        <f t="shared" si="19"/>
        <v>-0.99654894261428062</v>
      </c>
    </row>
    <row r="128" spans="1:42">
      <c r="A128" t="s">
        <v>85</v>
      </c>
      <c r="B128">
        <v>3.0000000000000001E-3</v>
      </c>
      <c r="C128">
        <v>7.0000000000000001E-3</v>
      </c>
      <c r="D128">
        <v>1E-3</v>
      </c>
      <c r="E128">
        <v>0</v>
      </c>
      <c r="F128">
        <v>-0.46799999999999997</v>
      </c>
      <c r="G128">
        <v>-0.372</v>
      </c>
      <c r="H128">
        <v>-0.20100000000000001</v>
      </c>
      <c r="I128">
        <v>-0.17799999999999999</v>
      </c>
      <c r="J128">
        <v>-0.99363057324840764</v>
      </c>
      <c r="K128">
        <v>-0.98153034300791553</v>
      </c>
      <c r="L128">
        <v>-0.99504950495049505</v>
      </c>
      <c r="M128">
        <v>-1</v>
      </c>
      <c r="N128">
        <v>5.0000000000000001E-3</v>
      </c>
      <c r="O128">
        <v>2E-3</v>
      </c>
      <c r="P128">
        <v>1E-3</v>
      </c>
      <c r="Q128">
        <v>0</v>
      </c>
      <c r="R128">
        <v>-0.83199999999999996</v>
      </c>
      <c r="S128">
        <v>-0.82199999999999995</v>
      </c>
      <c r="T128">
        <v>-0.58199999999999996</v>
      </c>
      <c r="U128">
        <v>-0.79800000000000004</v>
      </c>
      <c r="V128">
        <v>-0.99402628434886497</v>
      </c>
      <c r="W128">
        <v>-0.99757281553398058</v>
      </c>
      <c r="X128">
        <v>-0.99828473413379071</v>
      </c>
      <c r="Y128">
        <v>-1</v>
      </c>
      <c r="Z128">
        <v>4.0000000000000001E-3</v>
      </c>
      <c r="AA128">
        <v>2.5000000000000001E-2</v>
      </c>
      <c r="AB128">
        <v>7.0000000000000001E-3</v>
      </c>
      <c r="AC128">
        <v>0</v>
      </c>
      <c r="AD128">
        <v>-5.5999999999999994E-2</v>
      </c>
      <c r="AE128">
        <v>-1.1999999999999997E-2</v>
      </c>
      <c r="AF128">
        <v>3.0000000000000001E-3</v>
      </c>
      <c r="AG128">
        <v>0</v>
      </c>
      <c r="AH128">
        <v>-0.93333333333333324</v>
      </c>
      <c r="AI128">
        <v>-0.32432432432432423</v>
      </c>
      <c r="AJ128">
        <v>0.75</v>
      </c>
      <c r="AK128" t="e">
        <v>#DIV/0!</v>
      </c>
      <c r="AL128" s="1">
        <f t="shared" si="15"/>
        <v>-0.99382842879863631</v>
      </c>
      <c r="AM128" s="1">
        <f t="shared" si="16"/>
        <v>-0.98955157927094806</v>
      </c>
      <c r="AN128" s="1">
        <f t="shared" si="17"/>
        <v>-0.99666711954214282</v>
      </c>
      <c r="AO128" s="1">
        <f t="shared" si="18"/>
        <v>-1</v>
      </c>
      <c r="AP128" s="1">
        <f t="shared" si="19"/>
        <v>-0.99691421439931815</v>
      </c>
    </row>
    <row r="129" spans="1:42">
      <c r="A129" t="s">
        <v>89</v>
      </c>
      <c r="B129">
        <v>3.0000000000000001E-3</v>
      </c>
      <c r="C129">
        <v>7.0000000000000001E-3</v>
      </c>
      <c r="D129">
        <v>1E-3</v>
      </c>
      <c r="E129">
        <v>0</v>
      </c>
      <c r="F129">
        <v>-0.46799999999999997</v>
      </c>
      <c r="G129">
        <v>-0.372</v>
      </c>
      <c r="H129">
        <v>-0.20100000000000001</v>
      </c>
      <c r="I129">
        <v>-0.17799999999999999</v>
      </c>
      <c r="J129">
        <v>-0.99363057324840764</v>
      </c>
      <c r="K129">
        <v>-0.98153034300791553</v>
      </c>
      <c r="L129">
        <v>-0.99504950495049505</v>
      </c>
      <c r="M129">
        <v>-1</v>
      </c>
      <c r="N129">
        <v>5.0000000000000001E-3</v>
      </c>
      <c r="O129">
        <v>2E-3</v>
      </c>
      <c r="P129">
        <v>1E-3</v>
      </c>
      <c r="Q129">
        <v>0</v>
      </c>
      <c r="R129">
        <v>-0.83199999999999996</v>
      </c>
      <c r="S129">
        <v>-0.82199999999999995</v>
      </c>
      <c r="T129">
        <v>-0.58199999999999996</v>
      </c>
      <c r="U129">
        <v>-0.79800000000000004</v>
      </c>
      <c r="V129">
        <v>-0.99402628434886497</v>
      </c>
      <c r="W129">
        <v>-0.99757281553398058</v>
      </c>
      <c r="X129">
        <v>-0.99828473413379071</v>
      </c>
      <c r="Y129">
        <v>-1</v>
      </c>
      <c r="Z129">
        <v>4.0000000000000001E-3</v>
      </c>
      <c r="AA129">
        <v>2.5000000000000001E-2</v>
      </c>
      <c r="AB129">
        <v>7.0000000000000001E-3</v>
      </c>
      <c r="AC129">
        <v>0</v>
      </c>
      <c r="AD129">
        <v>-5.5999999999999994E-2</v>
      </c>
      <c r="AE129">
        <v>-1.1999999999999997E-2</v>
      </c>
      <c r="AF129">
        <v>3.0000000000000001E-3</v>
      </c>
      <c r="AG129">
        <v>0</v>
      </c>
      <c r="AH129">
        <v>-0.93333333333333324</v>
      </c>
      <c r="AI129">
        <v>-0.32432432432432423</v>
      </c>
      <c r="AJ129">
        <v>0.75</v>
      </c>
      <c r="AK129" t="e">
        <v>#DIV/0!</v>
      </c>
      <c r="AL129" s="1">
        <f t="shared" si="15"/>
        <v>-0.99382842879863631</v>
      </c>
      <c r="AM129" s="1">
        <f t="shared" si="16"/>
        <v>-0.98955157927094806</v>
      </c>
      <c r="AN129" s="1">
        <f t="shared" si="17"/>
        <v>-0.99666711954214282</v>
      </c>
      <c r="AO129" s="1">
        <f t="shared" si="18"/>
        <v>-1</v>
      </c>
      <c r="AP129" s="1">
        <f t="shared" si="19"/>
        <v>-0.99691421439931815</v>
      </c>
    </row>
    <row r="130" spans="1:42">
      <c r="A130" t="s">
        <v>93</v>
      </c>
      <c r="B130">
        <v>3.0000000000000001E-3</v>
      </c>
      <c r="C130">
        <v>7.0000000000000001E-3</v>
      </c>
      <c r="D130">
        <v>1E-3</v>
      </c>
      <c r="E130">
        <v>0</v>
      </c>
      <c r="F130">
        <v>-0.46799999999999997</v>
      </c>
      <c r="G130">
        <v>-0.372</v>
      </c>
      <c r="H130">
        <v>-0.20100000000000001</v>
      </c>
      <c r="I130">
        <v>-0.17799999999999999</v>
      </c>
      <c r="J130">
        <v>-0.99363057324840764</v>
      </c>
      <c r="K130">
        <v>-0.98153034300791553</v>
      </c>
      <c r="L130">
        <v>-0.99504950495049505</v>
      </c>
      <c r="M130">
        <v>-1</v>
      </c>
      <c r="N130">
        <v>5.0000000000000001E-3</v>
      </c>
      <c r="O130">
        <v>2E-3</v>
      </c>
      <c r="P130">
        <v>1E-3</v>
      </c>
      <c r="Q130">
        <v>0</v>
      </c>
      <c r="R130">
        <v>-0.83199999999999996</v>
      </c>
      <c r="S130">
        <v>-0.82199999999999995</v>
      </c>
      <c r="T130">
        <v>-0.58199999999999996</v>
      </c>
      <c r="U130">
        <v>-0.79800000000000004</v>
      </c>
      <c r="V130">
        <v>-0.99402628434886497</v>
      </c>
      <c r="W130">
        <v>-0.99757281553398058</v>
      </c>
      <c r="X130">
        <v>-0.99828473413379071</v>
      </c>
      <c r="Y130">
        <v>-1</v>
      </c>
      <c r="Z130">
        <v>4.0000000000000001E-3</v>
      </c>
      <c r="AA130">
        <v>2.5000000000000001E-2</v>
      </c>
      <c r="AB130">
        <v>7.0000000000000001E-3</v>
      </c>
      <c r="AC130">
        <v>0</v>
      </c>
      <c r="AD130">
        <v>-5.5999999999999994E-2</v>
      </c>
      <c r="AE130">
        <v>-1.1999999999999997E-2</v>
      </c>
      <c r="AF130">
        <v>3.0000000000000001E-3</v>
      </c>
      <c r="AG130">
        <v>0</v>
      </c>
      <c r="AH130">
        <v>-0.93333333333333324</v>
      </c>
      <c r="AI130">
        <v>-0.32432432432432423</v>
      </c>
      <c r="AJ130">
        <v>0.75</v>
      </c>
      <c r="AK130" t="e">
        <v>#DIV/0!</v>
      </c>
      <c r="AL130" s="1">
        <f t="shared" ref="AL130:AL144" si="20">AVERAGE(J130,V130)</f>
        <v>-0.99382842879863631</v>
      </c>
      <c r="AM130" s="1">
        <f t="shared" ref="AM130:AM144" si="21">AVERAGE(K130,W130)</f>
        <v>-0.98955157927094806</v>
      </c>
      <c r="AN130" s="1">
        <f t="shared" ref="AN130:AN144" si="22">AVERAGE(L130,X130)</f>
        <v>-0.99666711954214282</v>
      </c>
      <c r="AO130" s="1">
        <f t="shared" ref="AO130:AO144" si="23">AVERAGE(M130,Y130)</f>
        <v>-1</v>
      </c>
      <c r="AP130" s="1">
        <f t="shared" ref="AP130:AP144" si="24">AVERAGE(J130,M130,V130,Y130)</f>
        <v>-0.99691421439931815</v>
      </c>
    </row>
    <row r="131" spans="1:42">
      <c r="A131" t="s">
        <v>97</v>
      </c>
      <c r="B131">
        <v>0</v>
      </c>
      <c r="C131">
        <v>0</v>
      </c>
      <c r="D131">
        <v>0</v>
      </c>
      <c r="E131">
        <v>0</v>
      </c>
      <c r="F131">
        <v>-0.47099999999999997</v>
      </c>
      <c r="G131">
        <v>-0.379</v>
      </c>
      <c r="H131">
        <v>-0.20200000000000001</v>
      </c>
      <c r="I131">
        <v>-0.17799999999999999</v>
      </c>
      <c r="J131">
        <v>-1</v>
      </c>
      <c r="K131">
        <v>-1</v>
      </c>
      <c r="L131">
        <v>-1</v>
      </c>
      <c r="M131">
        <v>-1</v>
      </c>
      <c r="N131">
        <v>6.0000000000000001E-3</v>
      </c>
      <c r="O131">
        <v>8.9999999999999993E-3</v>
      </c>
      <c r="P131">
        <v>1E-3</v>
      </c>
      <c r="Q131">
        <v>0</v>
      </c>
      <c r="R131">
        <v>-0.83099999999999996</v>
      </c>
      <c r="S131">
        <v>-0.81499999999999995</v>
      </c>
      <c r="T131">
        <v>-0.58199999999999996</v>
      </c>
      <c r="U131">
        <v>-0.79800000000000004</v>
      </c>
      <c r="V131">
        <v>-0.99283154121863804</v>
      </c>
      <c r="W131">
        <v>-0.98907766990291257</v>
      </c>
      <c r="X131">
        <v>-0.99828473413379071</v>
      </c>
      <c r="Y131">
        <v>-1</v>
      </c>
      <c r="Z131">
        <v>2E-3</v>
      </c>
      <c r="AA131">
        <v>1E-3</v>
      </c>
      <c r="AB131">
        <v>0</v>
      </c>
      <c r="AC131">
        <v>0</v>
      </c>
      <c r="AD131">
        <v>-5.7999999999999996E-2</v>
      </c>
      <c r="AE131">
        <v>-3.5999999999999997E-2</v>
      </c>
      <c r="AF131">
        <v>-4.0000000000000001E-3</v>
      </c>
      <c r="AG131">
        <v>0</v>
      </c>
      <c r="AH131">
        <v>-0.96666666666666667</v>
      </c>
      <c r="AI131">
        <v>-0.97297297297297292</v>
      </c>
      <c r="AJ131">
        <v>-1</v>
      </c>
      <c r="AK131" t="e">
        <v>#DIV/0!</v>
      </c>
      <c r="AL131" s="1">
        <f t="shared" si="20"/>
        <v>-0.99641577060931907</v>
      </c>
      <c r="AM131" s="1">
        <f t="shared" si="21"/>
        <v>-0.99453883495145634</v>
      </c>
      <c r="AN131" s="1">
        <f t="shared" si="22"/>
        <v>-0.9991423670668953</v>
      </c>
      <c r="AO131" s="1">
        <f t="shared" si="23"/>
        <v>-1</v>
      </c>
      <c r="AP131" s="1">
        <f t="shared" si="24"/>
        <v>-0.99820788530465954</v>
      </c>
    </row>
    <row r="132" spans="1:42">
      <c r="A132" t="s">
        <v>104</v>
      </c>
      <c r="B132">
        <v>0</v>
      </c>
      <c r="C132">
        <v>0</v>
      </c>
      <c r="D132">
        <v>0</v>
      </c>
      <c r="E132">
        <v>0</v>
      </c>
      <c r="F132">
        <v>-0.47099999999999997</v>
      </c>
      <c r="G132">
        <v>-0.379</v>
      </c>
      <c r="H132">
        <v>-0.20200000000000001</v>
      </c>
      <c r="I132">
        <v>-0.17799999999999999</v>
      </c>
      <c r="J132">
        <v>-1</v>
      </c>
      <c r="K132">
        <v>-1</v>
      </c>
      <c r="L132">
        <v>-1</v>
      </c>
      <c r="M132">
        <v>-1</v>
      </c>
      <c r="N132">
        <v>6.0000000000000001E-3</v>
      </c>
      <c r="O132">
        <v>2E-3</v>
      </c>
      <c r="P132">
        <v>1E-3</v>
      </c>
      <c r="Q132">
        <v>0</v>
      </c>
      <c r="R132">
        <v>-0.83099999999999996</v>
      </c>
      <c r="S132">
        <v>-0.82199999999999995</v>
      </c>
      <c r="T132">
        <v>-0.58199999999999996</v>
      </c>
      <c r="U132">
        <v>-0.79800000000000004</v>
      </c>
      <c r="V132">
        <v>-0.99283154121863804</v>
      </c>
      <c r="W132">
        <v>-0.99757281553398058</v>
      </c>
      <c r="X132">
        <v>-0.99828473413379071</v>
      </c>
      <c r="Y132">
        <v>-1</v>
      </c>
      <c r="Z132">
        <v>4.0000000000000001E-3</v>
      </c>
      <c r="AA132">
        <v>2E-3</v>
      </c>
      <c r="AB132">
        <v>0</v>
      </c>
      <c r="AC132">
        <v>0</v>
      </c>
      <c r="AD132">
        <v>-5.5999999999999994E-2</v>
      </c>
      <c r="AE132">
        <v>-3.4999999999999996E-2</v>
      </c>
      <c r="AF132">
        <v>-4.0000000000000001E-3</v>
      </c>
      <c r="AG132">
        <v>0</v>
      </c>
      <c r="AH132">
        <v>-0.93333333333333324</v>
      </c>
      <c r="AI132">
        <v>-0.94594594594594594</v>
      </c>
      <c r="AJ132">
        <v>-1</v>
      </c>
      <c r="AK132" t="e">
        <v>#DIV/0!</v>
      </c>
      <c r="AL132" s="1">
        <f t="shared" si="20"/>
        <v>-0.99641577060931907</v>
      </c>
      <c r="AM132" s="1">
        <f t="shared" si="21"/>
        <v>-0.99878640776699035</v>
      </c>
      <c r="AN132" s="1">
        <f t="shared" si="22"/>
        <v>-0.9991423670668953</v>
      </c>
      <c r="AO132" s="1">
        <f t="shared" si="23"/>
        <v>-1</v>
      </c>
      <c r="AP132" s="1">
        <f t="shared" si="24"/>
        <v>-0.99820788530465954</v>
      </c>
    </row>
    <row r="133" spans="1:42">
      <c r="A133" t="s">
        <v>108</v>
      </c>
      <c r="B133">
        <v>0</v>
      </c>
      <c r="C133">
        <v>0</v>
      </c>
      <c r="D133">
        <v>0</v>
      </c>
      <c r="E133">
        <v>0</v>
      </c>
      <c r="F133">
        <v>-0.47099999999999997</v>
      </c>
      <c r="G133">
        <v>-0.379</v>
      </c>
      <c r="H133">
        <v>-0.20200000000000001</v>
      </c>
      <c r="I133">
        <v>-0.17799999999999999</v>
      </c>
      <c r="J133">
        <v>-1</v>
      </c>
      <c r="K133">
        <v>-1</v>
      </c>
      <c r="L133">
        <v>-1</v>
      </c>
      <c r="M133">
        <v>-1</v>
      </c>
      <c r="N133">
        <v>6.0000000000000001E-3</v>
      </c>
      <c r="O133">
        <v>2E-3</v>
      </c>
      <c r="P133">
        <v>1E-3</v>
      </c>
      <c r="Q133">
        <v>0</v>
      </c>
      <c r="R133">
        <v>-0.83099999999999996</v>
      </c>
      <c r="S133">
        <v>-0.82199999999999995</v>
      </c>
      <c r="T133">
        <v>-0.58199999999999996</v>
      </c>
      <c r="U133">
        <v>-0.79800000000000004</v>
      </c>
      <c r="V133">
        <v>-0.99283154121863804</v>
      </c>
      <c r="W133">
        <v>-0.99757281553398058</v>
      </c>
      <c r="X133">
        <v>-0.99828473413379071</v>
      </c>
      <c r="Y133">
        <v>-1</v>
      </c>
      <c r="Z133">
        <v>4.0000000000000001E-3</v>
      </c>
      <c r="AA133">
        <v>2E-3</v>
      </c>
      <c r="AB133">
        <v>0</v>
      </c>
      <c r="AC133">
        <v>0</v>
      </c>
      <c r="AD133">
        <v>-5.5999999999999994E-2</v>
      </c>
      <c r="AE133">
        <v>-3.4999999999999996E-2</v>
      </c>
      <c r="AF133">
        <v>-4.0000000000000001E-3</v>
      </c>
      <c r="AG133">
        <v>0</v>
      </c>
      <c r="AH133">
        <v>-0.93333333333333324</v>
      </c>
      <c r="AI133">
        <v>-0.94594594594594594</v>
      </c>
      <c r="AJ133">
        <v>-1</v>
      </c>
      <c r="AK133" t="e">
        <v>#DIV/0!</v>
      </c>
      <c r="AL133" s="1">
        <f t="shared" si="20"/>
        <v>-0.99641577060931907</v>
      </c>
      <c r="AM133" s="1">
        <f t="shared" si="21"/>
        <v>-0.99878640776699035</v>
      </c>
      <c r="AN133" s="1">
        <f t="shared" si="22"/>
        <v>-0.9991423670668953</v>
      </c>
      <c r="AO133" s="1">
        <f t="shared" si="23"/>
        <v>-1</v>
      </c>
      <c r="AP133" s="1">
        <f t="shared" si="24"/>
        <v>-0.99820788530465954</v>
      </c>
    </row>
    <row r="134" spans="1:42">
      <c r="A134" t="s">
        <v>84</v>
      </c>
      <c r="B134">
        <v>0</v>
      </c>
      <c r="C134">
        <v>0</v>
      </c>
      <c r="D134">
        <v>0</v>
      </c>
      <c r="E134">
        <v>0</v>
      </c>
      <c r="F134">
        <v>-0.47099999999999997</v>
      </c>
      <c r="G134">
        <v>-0.379</v>
      </c>
      <c r="H134">
        <v>-0.20200000000000001</v>
      </c>
      <c r="I134">
        <v>-0.17799999999999999</v>
      </c>
      <c r="J134">
        <v>-1</v>
      </c>
      <c r="K134">
        <v>-1</v>
      </c>
      <c r="L134">
        <v>-1</v>
      </c>
      <c r="M134">
        <v>-1</v>
      </c>
      <c r="N134">
        <v>3.0000000000000001E-3</v>
      </c>
      <c r="O134">
        <v>1E-3</v>
      </c>
      <c r="P134">
        <v>0</v>
      </c>
      <c r="Q134">
        <v>0</v>
      </c>
      <c r="R134">
        <v>-0.83399999999999996</v>
      </c>
      <c r="S134">
        <v>-0.82299999999999995</v>
      </c>
      <c r="T134">
        <v>-0.58299999999999996</v>
      </c>
      <c r="U134">
        <v>-0.79800000000000004</v>
      </c>
      <c r="V134">
        <v>-0.99641577060931896</v>
      </c>
      <c r="W134">
        <v>-0.99878640776699024</v>
      </c>
      <c r="X134">
        <v>-1</v>
      </c>
      <c r="Y134">
        <v>-1</v>
      </c>
      <c r="Z134">
        <v>2E-3</v>
      </c>
      <c r="AA134">
        <v>1E-3</v>
      </c>
      <c r="AB134">
        <v>0</v>
      </c>
      <c r="AC134">
        <v>0</v>
      </c>
      <c r="AD134">
        <v>-5.7999999999999996E-2</v>
      </c>
      <c r="AE134">
        <v>-3.5999999999999997E-2</v>
      </c>
      <c r="AF134">
        <v>-4.0000000000000001E-3</v>
      </c>
      <c r="AG134">
        <v>0</v>
      </c>
      <c r="AH134">
        <v>-0.96666666666666667</v>
      </c>
      <c r="AI134">
        <v>-0.97297297297297292</v>
      </c>
      <c r="AJ134">
        <v>-1</v>
      </c>
      <c r="AK134" t="e">
        <v>#DIV/0!</v>
      </c>
      <c r="AL134" s="1">
        <f t="shared" si="20"/>
        <v>-0.99820788530465943</v>
      </c>
      <c r="AM134" s="1">
        <f t="shared" si="21"/>
        <v>-0.99939320388349517</v>
      </c>
      <c r="AN134" s="1">
        <f t="shared" si="22"/>
        <v>-1</v>
      </c>
      <c r="AO134" s="1">
        <f t="shared" si="23"/>
        <v>-1</v>
      </c>
      <c r="AP134" s="1">
        <f t="shared" si="24"/>
        <v>-0.99910394265232971</v>
      </c>
    </row>
    <row r="135" spans="1:42">
      <c r="A135" t="s">
        <v>88</v>
      </c>
      <c r="B135">
        <v>0</v>
      </c>
      <c r="C135">
        <v>0</v>
      </c>
      <c r="D135">
        <v>0</v>
      </c>
      <c r="E135">
        <v>0</v>
      </c>
      <c r="F135">
        <v>-0.47099999999999997</v>
      </c>
      <c r="G135">
        <v>-0.379</v>
      </c>
      <c r="H135">
        <v>-0.20200000000000001</v>
      </c>
      <c r="I135">
        <v>-0.17799999999999999</v>
      </c>
      <c r="J135">
        <v>-1</v>
      </c>
      <c r="K135">
        <v>-1</v>
      </c>
      <c r="L135">
        <v>-1</v>
      </c>
      <c r="M135">
        <v>-1</v>
      </c>
      <c r="N135">
        <v>3.0000000000000001E-3</v>
      </c>
      <c r="O135">
        <v>1E-3</v>
      </c>
      <c r="P135">
        <v>0</v>
      </c>
      <c r="Q135">
        <v>0</v>
      </c>
      <c r="R135">
        <v>-0.83399999999999996</v>
      </c>
      <c r="S135">
        <v>-0.82299999999999995</v>
      </c>
      <c r="T135">
        <v>-0.58299999999999996</v>
      </c>
      <c r="U135">
        <v>-0.79800000000000004</v>
      </c>
      <c r="V135">
        <v>-0.99641577060931896</v>
      </c>
      <c r="W135">
        <v>-0.99878640776699024</v>
      </c>
      <c r="X135">
        <v>-1</v>
      </c>
      <c r="Y135">
        <v>-1</v>
      </c>
      <c r="Z135">
        <v>2E-3</v>
      </c>
      <c r="AA135">
        <v>1E-3</v>
      </c>
      <c r="AB135">
        <v>0</v>
      </c>
      <c r="AC135">
        <v>0</v>
      </c>
      <c r="AD135">
        <v>-5.7999999999999996E-2</v>
      </c>
      <c r="AE135">
        <v>-3.5999999999999997E-2</v>
      </c>
      <c r="AF135">
        <v>-4.0000000000000001E-3</v>
      </c>
      <c r="AG135">
        <v>0</v>
      </c>
      <c r="AH135">
        <v>-0.96666666666666667</v>
      </c>
      <c r="AI135">
        <v>-0.97297297297297292</v>
      </c>
      <c r="AJ135">
        <v>-1</v>
      </c>
      <c r="AK135" t="e">
        <v>#DIV/0!</v>
      </c>
      <c r="AL135" s="1">
        <f t="shared" si="20"/>
        <v>-0.99820788530465943</v>
      </c>
      <c r="AM135" s="1">
        <f t="shared" si="21"/>
        <v>-0.99939320388349517</v>
      </c>
      <c r="AN135" s="1">
        <f t="shared" si="22"/>
        <v>-1</v>
      </c>
      <c r="AO135" s="1">
        <f t="shared" si="23"/>
        <v>-1</v>
      </c>
      <c r="AP135" s="1">
        <f t="shared" si="24"/>
        <v>-0.99910394265232971</v>
      </c>
    </row>
    <row r="136" spans="1:42">
      <c r="A136" t="s">
        <v>92</v>
      </c>
      <c r="B136">
        <v>0</v>
      </c>
      <c r="C136">
        <v>0</v>
      </c>
      <c r="D136">
        <v>0</v>
      </c>
      <c r="E136">
        <v>0</v>
      </c>
      <c r="F136">
        <v>-0.47099999999999997</v>
      </c>
      <c r="G136">
        <v>-0.379</v>
      </c>
      <c r="H136">
        <v>-0.20200000000000001</v>
      </c>
      <c r="I136">
        <v>-0.17799999999999999</v>
      </c>
      <c r="J136">
        <v>-1</v>
      </c>
      <c r="K136">
        <v>-1</v>
      </c>
      <c r="L136">
        <v>-1</v>
      </c>
      <c r="M136">
        <v>-1</v>
      </c>
      <c r="N136">
        <v>3.0000000000000001E-3</v>
      </c>
      <c r="O136">
        <v>1E-3</v>
      </c>
      <c r="P136">
        <v>0</v>
      </c>
      <c r="Q136">
        <v>0</v>
      </c>
      <c r="R136">
        <v>-0.83399999999999996</v>
      </c>
      <c r="S136">
        <v>-0.82299999999999995</v>
      </c>
      <c r="T136">
        <v>-0.58299999999999996</v>
      </c>
      <c r="U136">
        <v>-0.79800000000000004</v>
      </c>
      <c r="V136">
        <v>-0.99641577060931896</v>
      </c>
      <c r="W136">
        <v>-0.99878640776699024</v>
      </c>
      <c r="X136">
        <v>-1</v>
      </c>
      <c r="Y136">
        <v>-1</v>
      </c>
      <c r="Z136">
        <v>2E-3</v>
      </c>
      <c r="AA136">
        <v>1E-3</v>
      </c>
      <c r="AB136">
        <v>0</v>
      </c>
      <c r="AC136">
        <v>0</v>
      </c>
      <c r="AD136">
        <v>-5.7999999999999996E-2</v>
      </c>
      <c r="AE136">
        <v>-3.5999999999999997E-2</v>
      </c>
      <c r="AF136">
        <v>-4.0000000000000001E-3</v>
      </c>
      <c r="AG136">
        <v>0</v>
      </c>
      <c r="AH136">
        <v>-0.96666666666666667</v>
      </c>
      <c r="AI136">
        <v>-0.97297297297297292</v>
      </c>
      <c r="AJ136">
        <v>-1</v>
      </c>
      <c r="AK136" t="e">
        <v>#DIV/0!</v>
      </c>
      <c r="AL136" s="1">
        <f t="shared" si="20"/>
        <v>-0.99820788530465943</v>
      </c>
      <c r="AM136" s="1">
        <f t="shared" si="21"/>
        <v>-0.99939320388349517</v>
      </c>
      <c r="AN136" s="1">
        <f t="shared" si="22"/>
        <v>-1</v>
      </c>
      <c r="AO136" s="1">
        <f t="shared" si="23"/>
        <v>-1</v>
      </c>
      <c r="AP136" s="1">
        <f t="shared" si="24"/>
        <v>-0.99910394265232971</v>
      </c>
    </row>
    <row r="137" spans="1:42">
      <c r="A137" t="s">
        <v>96</v>
      </c>
      <c r="B137">
        <v>0</v>
      </c>
      <c r="C137">
        <v>0</v>
      </c>
      <c r="D137">
        <v>0</v>
      </c>
      <c r="E137">
        <v>0</v>
      </c>
      <c r="F137">
        <v>-0.47099999999999997</v>
      </c>
      <c r="G137">
        <v>-0.379</v>
      </c>
      <c r="H137">
        <v>-0.20200000000000001</v>
      </c>
      <c r="I137">
        <v>-0.17799999999999999</v>
      </c>
      <c r="J137">
        <v>-1</v>
      </c>
      <c r="K137">
        <v>-1</v>
      </c>
      <c r="L137">
        <v>-1</v>
      </c>
      <c r="M137">
        <v>-1</v>
      </c>
      <c r="N137">
        <v>3.0000000000000001E-3</v>
      </c>
      <c r="O137">
        <v>1E-3</v>
      </c>
      <c r="P137">
        <v>0</v>
      </c>
      <c r="Q137">
        <v>0</v>
      </c>
      <c r="R137">
        <v>-0.83399999999999996</v>
      </c>
      <c r="S137">
        <v>-0.82299999999999995</v>
      </c>
      <c r="T137">
        <v>-0.58299999999999996</v>
      </c>
      <c r="U137">
        <v>-0.79800000000000004</v>
      </c>
      <c r="V137">
        <v>-0.99641577060931896</v>
      </c>
      <c r="W137">
        <v>-0.99878640776699024</v>
      </c>
      <c r="X137">
        <v>-1</v>
      </c>
      <c r="Y137">
        <v>-1</v>
      </c>
      <c r="Z137">
        <v>2E-3</v>
      </c>
      <c r="AA137">
        <v>1E-3</v>
      </c>
      <c r="AB137">
        <v>0</v>
      </c>
      <c r="AC137">
        <v>0</v>
      </c>
      <c r="AD137">
        <v>-5.7999999999999996E-2</v>
      </c>
      <c r="AE137">
        <v>-3.5999999999999997E-2</v>
      </c>
      <c r="AF137">
        <v>-4.0000000000000001E-3</v>
      </c>
      <c r="AG137">
        <v>0</v>
      </c>
      <c r="AH137">
        <v>-0.96666666666666667</v>
      </c>
      <c r="AI137">
        <v>-0.97297297297297292</v>
      </c>
      <c r="AJ137">
        <v>-1</v>
      </c>
      <c r="AK137" t="e">
        <v>#DIV/0!</v>
      </c>
      <c r="AL137" s="1">
        <f t="shared" si="20"/>
        <v>-0.99820788530465943</v>
      </c>
      <c r="AM137" s="1">
        <f t="shared" si="21"/>
        <v>-0.99939320388349517</v>
      </c>
      <c r="AN137" s="1">
        <f t="shared" si="22"/>
        <v>-1</v>
      </c>
      <c r="AO137" s="1">
        <f t="shared" si="23"/>
        <v>-1</v>
      </c>
      <c r="AP137" s="1">
        <f t="shared" si="24"/>
        <v>-0.99910394265232971</v>
      </c>
    </row>
    <row r="138" spans="1:42">
      <c r="A138" t="s">
        <v>8</v>
      </c>
      <c r="B138">
        <v>0</v>
      </c>
      <c r="C138">
        <v>0</v>
      </c>
      <c r="D138">
        <v>0</v>
      </c>
      <c r="E138">
        <v>0</v>
      </c>
      <c r="F138">
        <v>-0.47099999999999997</v>
      </c>
      <c r="G138">
        <v>-0.379</v>
      </c>
      <c r="H138">
        <v>-0.20200000000000001</v>
      </c>
      <c r="I138">
        <v>-0.17799999999999999</v>
      </c>
      <c r="J138">
        <v>-1</v>
      </c>
      <c r="K138">
        <v>-1</v>
      </c>
      <c r="L138">
        <v>-1</v>
      </c>
      <c r="M138">
        <v>-1</v>
      </c>
      <c r="N138">
        <v>0</v>
      </c>
      <c r="O138">
        <v>0</v>
      </c>
      <c r="P138">
        <v>0</v>
      </c>
      <c r="Q138">
        <v>0</v>
      </c>
      <c r="R138">
        <v>-0.83699999999999997</v>
      </c>
      <c r="S138">
        <v>-0.82399999999999995</v>
      </c>
      <c r="T138">
        <v>-0.58299999999999996</v>
      </c>
      <c r="U138">
        <v>-0.79800000000000004</v>
      </c>
      <c r="V138">
        <v>-1</v>
      </c>
      <c r="W138">
        <v>-1</v>
      </c>
      <c r="X138">
        <v>-1</v>
      </c>
      <c r="Y138">
        <v>-1</v>
      </c>
      <c r="Z138">
        <v>0</v>
      </c>
      <c r="AA138">
        <v>0</v>
      </c>
      <c r="AB138">
        <v>0</v>
      </c>
      <c r="AC138">
        <v>0</v>
      </c>
      <c r="AD138">
        <v>-0.06</v>
      </c>
      <c r="AE138">
        <v>-3.6999999999999998E-2</v>
      </c>
      <c r="AF138">
        <v>-4.0000000000000001E-3</v>
      </c>
      <c r="AG138">
        <v>0</v>
      </c>
      <c r="AH138">
        <v>-1</v>
      </c>
      <c r="AI138">
        <v>-1</v>
      </c>
      <c r="AJ138">
        <v>-1</v>
      </c>
      <c r="AK138" t="e">
        <v>#DIV/0!</v>
      </c>
      <c r="AL138" s="1">
        <f t="shared" si="20"/>
        <v>-1</v>
      </c>
      <c r="AM138" s="1">
        <f t="shared" si="21"/>
        <v>-1</v>
      </c>
      <c r="AN138" s="1">
        <f t="shared" si="22"/>
        <v>-1</v>
      </c>
      <c r="AO138" s="1">
        <f t="shared" si="23"/>
        <v>-1</v>
      </c>
      <c r="AP138" s="1">
        <f t="shared" si="24"/>
        <v>-1</v>
      </c>
    </row>
    <row r="139" spans="1:42">
      <c r="A139" t="s">
        <v>23</v>
      </c>
      <c r="B139">
        <v>0</v>
      </c>
      <c r="C139">
        <v>0</v>
      </c>
      <c r="D139">
        <v>0</v>
      </c>
      <c r="E139">
        <v>0</v>
      </c>
      <c r="F139">
        <v>-0.47099999999999997</v>
      </c>
      <c r="G139">
        <v>-0.379</v>
      </c>
      <c r="H139">
        <v>-0.20200000000000001</v>
      </c>
      <c r="I139">
        <v>-0.17799999999999999</v>
      </c>
      <c r="J139">
        <v>-1</v>
      </c>
      <c r="K139">
        <v>-1</v>
      </c>
      <c r="L139">
        <v>-1</v>
      </c>
      <c r="M139">
        <v>-1</v>
      </c>
      <c r="N139">
        <v>0</v>
      </c>
      <c r="O139">
        <v>0</v>
      </c>
      <c r="P139">
        <v>0</v>
      </c>
      <c r="Q139">
        <v>0</v>
      </c>
      <c r="R139">
        <v>-0.83699999999999997</v>
      </c>
      <c r="S139">
        <v>-0.82399999999999995</v>
      </c>
      <c r="T139">
        <v>-0.58299999999999996</v>
      </c>
      <c r="U139">
        <v>-0.79800000000000004</v>
      </c>
      <c r="V139">
        <v>-1</v>
      </c>
      <c r="W139">
        <v>-1</v>
      </c>
      <c r="X139">
        <v>-1</v>
      </c>
      <c r="Y139">
        <v>-1</v>
      </c>
      <c r="Z139">
        <v>0</v>
      </c>
      <c r="AA139">
        <v>0</v>
      </c>
      <c r="AB139">
        <v>0</v>
      </c>
      <c r="AC139">
        <v>0</v>
      </c>
      <c r="AD139">
        <v>-0.06</v>
      </c>
      <c r="AE139">
        <v>-3.6999999999999998E-2</v>
      </c>
      <c r="AF139">
        <v>-4.0000000000000001E-3</v>
      </c>
      <c r="AG139">
        <v>0</v>
      </c>
      <c r="AH139">
        <v>-1</v>
      </c>
      <c r="AI139">
        <v>-1</v>
      </c>
      <c r="AJ139">
        <v>-1</v>
      </c>
      <c r="AK139" t="e">
        <v>#DIV/0!</v>
      </c>
      <c r="AL139" s="1">
        <f t="shared" si="20"/>
        <v>-1</v>
      </c>
      <c r="AM139" s="1">
        <f t="shared" si="21"/>
        <v>-1</v>
      </c>
      <c r="AN139" s="1">
        <f t="shared" si="22"/>
        <v>-1</v>
      </c>
      <c r="AO139" s="1">
        <f t="shared" si="23"/>
        <v>-1</v>
      </c>
      <c r="AP139" s="1">
        <f t="shared" si="24"/>
        <v>-1</v>
      </c>
    </row>
    <row r="140" spans="1:42">
      <c r="A140" t="s">
        <v>29</v>
      </c>
      <c r="B140">
        <v>0</v>
      </c>
      <c r="C140">
        <v>0</v>
      </c>
      <c r="D140">
        <v>0</v>
      </c>
      <c r="E140">
        <v>0</v>
      </c>
      <c r="F140">
        <v>-0.47099999999999997</v>
      </c>
      <c r="G140">
        <v>-0.379</v>
      </c>
      <c r="H140">
        <v>-0.20200000000000001</v>
      </c>
      <c r="I140">
        <v>-0.17799999999999999</v>
      </c>
      <c r="J140">
        <v>-1</v>
      </c>
      <c r="K140">
        <v>-1</v>
      </c>
      <c r="L140">
        <v>-1</v>
      </c>
      <c r="M140">
        <v>-1</v>
      </c>
      <c r="N140">
        <v>0</v>
      </c>
      <c r="O140">
        <v>0</v>
      </c>
      <c r="P140">
        <v>0</v>
      </c>
      <c r="Q140">
        <v>0</v>
      </c>
      <c r="R140">
        <v>-0.83699999999999997</v>
      </c>
      <c r="S140">
        <v>-0.82399999999999995</v>
      </c>
      <c r="T140">
        <v>-0.58299999999999996</v>
      </c>
      <c r="U140">
        <v>-0.79800000000000004</v>
      </c>
      <c r="V140">
        <v>-1</v>
      </c>
      <c r="W140">
        <v>-1</v>
      </c>
      <c r="X140">
        <v>-1</v>
      </c>
      <c r="Y140">
        <v>-1</v>
      </c>
      <c r="Z140">
        <v>0</v>
      </c>
      <c r="AA140">
        <v>0</v>
      </c>
      <c r="AB140">
        <v>0</v>
      </c>
      <c r="AC140">
        <v>0</v>
      </c>
      <c r="AD140">
        <v>-0.06</v>
      </c>
      <c r="AE140">
        <v>-3.6999999999999998E-2</v>
      </c>
      <c r="AF140">
        <v>-4.0000000000000001E-3</v>
      </c>
      <c r="AG140">
        <v>0</v>
      </c>
      <c r="AH140">
        <v>-1</v>
      </c>
      <c r="AI140">
        <v>-1</v>
      </c>
      <c r="AJ140">
        <v>-1</v>
      </c>
      <c r="AK140" t="e">
        <v>#DIV/0!</v>
      </c>
      <c r="AL140" s="1">
        <f t="shared" si="20"/>
        <v>-1</v>
      </c>
      <c r="AM140" s="1">
        <f t="shared" si="21"/>
        <v>-1</v>
      </c>
      <c r="AN140" s="1">
        <f t="shared" si="22"/>
        <v>-1</v>
      </c>
      <c r="AO140" s="1">
        <f t="shared" si="23"/>
        <v>-1</v>
      </c>
      <c r="AP140" s="1">
        <f t="shared" si="24"/>
        <v>-1</v>
      </c>
    </row>
    <row r="141" spans="1:42">
      <c r="A141" t="s">
        <v>35</v>
      </c>
      <c r="B141">
        <v>0</v>
      </c>
      <c r="C141">
        <v>0</v>
      </c>
      <c r="D141">
        <v>0</v>
      </c>
      <c r="E141">
        <v>0</v>
      </c>
      <c r="F141">
        <v>-0.47099999999999997</v>
      </c>
      <c r="G141">
        <v>-0.379</v>
      </c>
      <c r="H141">
        <v>-0.20200000000000001</v>
      </c>
      <c r="I141">
        <v>-0.17799999999999999</v>
      </c>
      <c r="J141">
        <v>-1</v>
      </c>
      <c r="K141">
        <v>-1</v>
      </c>
      <c r="L141">
        <v>-1</v>
      </c>
      <c r="M141">
        <v>-1</v>
      </c>
      <c r="N141">
        <v>0</v>
      </c>
      <c r="O141">
        <v>0</v>
      </c>
      <c r="P141">
        <v>0</v>
      </c>
      <c r="Q141">
        <v>0</v>
      </c>
      <c r="R141">
        <v>-0.83699999999999997</v>
      </c>
      <c r="S141">
        <v>-0.82399999999999995</v>
      </c>
      <c r="T141">
        <v>-0.58299999999999996</v>
      </c>
      <c r="U141">
        <v>-0.79800000000000004</v>
      </c>
      <c r="V141">
        <v>-1</v>
      </c>
      <c r="W141">
        <v>-1</v>
      </c>
      <c r="X141">
        <v>-1</v>
      </c>
      <c r="Y141">
        <v>-1</v>
      </c>
      <c r="Z141">
        <v>0</v>
      </c>
      <c r="AA141">
        <v>0</v>
      </c>
      <c r="AB141">
        <v>0</v>
      </c>
      <c r="AC141">
        <v>0</v>
      </c>
      <c r="AD141">
        <v>-0.06</v>
      </c>
      <c r="AE141">
        <v>-3.6999999999999998E-2</v>
      </c>
      <c r="AF141">
        <v>-4.0000000000000001E-3</v>
      </c>
      <c r="AG141">
        <v>0</v>
      </c>
      <c r="AH141">
        <v>-1</v>
      </c>
      <c r="AI141">
        <v>-1</v>
      </c>
      <c r="AJ141">
        <v>-1</v>
      </c>
      <c r="AK141" t="e">
        <v>#DIV/0!</v>
      </c>
      <c r="AL141" s="1">
        <f t="shared" si="20"/>
        <v>-1</v>
      </c>
      <c r="AM141" s="1">
        <f t="shared" si="21"/>
        <v>-1</v>
      </c>
      <c r="AN141" s="1">
        <f t="shared" si="22"/>
        <v>-1</v>
      </c>
      <c r="AO141" s="1">
        <f t="shared" si="23"/>
        <v>-1</v>
      </c>
      <c r="AP141" s="1">
        <f t="shared" si="24"/>
        <v>-1</v>
      </c>
    </row>
    <row r="142" spans="1:42">
      <c r="A142" t="s">
        <v>76</v>
      </c>
      <c r="B142">
        <v>0</v>
      </c>
      <c r="C142">
        <v>0</v>
      </c>
      <c r="D142">
        <v>0</v>
      </c>
      <c r="E142">
        <v>0</v>
      </c>
      <c r="F142">
        <v>-0.47099999999999997</v>
      </c>
      <c r="G142">
        <v>-0.379</v>
      </c>
      <c r="H142">
        <v>-0.20200000000000001</v>
      </c>
      <c r="I142">
        <v>-0.17799999999999999</v>
      </c>
      <c r="J142">
        <v>-1</v>
      </c>
      <c r="K142">
        <v>-1</v>
      </c>
      <c r="L142">
        <v>-1</v>
      </c>
      <c r="M142">
        <v>-1</v>
      </c>
      <c r="N142">
        <v>0</v>
      </c>
      <c r="O142">
        <v>0</v>
      </c>
      <c r="P142">
        <v>0</v>
      </c>
      <c r="Q142">
        <v>0</v>
      </c>
      <c r="R142">
        <v>-0.83699999999999997</v>
      </c>
      <c r="S142">
        <v>-0.82399999999999995</v>
      </c>
      <c r="T142">
        <v>-0.58299999999999996</v>
      </c>
      <c r="U142">
        <v>-0.79800000000000004</v>
      </c>
      <c r="V142">
        <v>-1</v>
      </c>
      <c r="W142">
        <v>-1</v>
      </c>
      <c r="X142">
        <v>-1</v>
      </c>
      <c r="Y142">
        <v>-1</v>
      </c>
      <c r="Z142">
        <v>0</v>
      </c>
      <c r="AA142">
        <v>0</v>
      </c>
      <c r="AB142">
        <v>0</v>
      </c>
      <c r="AC142">
        <v>0</v>
      </c>
      <c r="AD142">
        <v>-0.06</v>
      </c>
      <c r="AE142">
        <v>-3.6999999999999998E-2</v>
      </c>
      <c r="AF142">
        <v>-4.0000000000000001E-3</v>
      </c>
      <c r="AG142">
        <v>0</v>
      </c>
      <c r="AH142">
        <v>-1</v>
      </c>
      <c r="AI142">
        <v>-1</v>
      </c>
      <c r="AJ142">
        <v>-1</v>
      </c>
      <c r="AK142" t="e">
        <v>#DIV/0!</v>
      </c>
      <c r="AL142" s="1">
        <f t="shared" si="20"/>
        <v>-1</v>
      </c>
      <c r="AM142" s="1">
        <f t="shared" si="21"/>
        <v>-1</v>
      </c>
      <c r="AN142" s="1">
        <f t="shared" si="22"/>
        <v>-1</v>
      </c>
      <c r="AO142" s="1">
        <f t="shared" si="23"/>
        <v>-1</v>
      </c>
      <c r="AP142" s="1">
        <f t="shared" si="24"/>
        <v>-1</v>
      </c>
    </row>
    <row r="143" spans="1:42">
      <c r="A143" t="s">
        <v>80</v>
      </c>
      <c r="B143">
        <v>0</v>
      </c>
      <c r="C143">
        <v>0</v>
      </c>
      <c r="D143">
        <v>0</v>
      </c>
      <c r="E143">
        <v>0</v>
      </c>
      <c r="F143">
        <v>-0.47099999999999997</v>
      </c>
      <c r="G143">
        <v>-0.379</v>
      </c>
      <c r="H143">
        <v>-0.20200000000000001</v>
      </c>
      <c r="I143">
        <v>-0.17799999999999999</v>
      </c>
      <c r="J143">
        <v>-1</v>
      </c>
      <c r="K143">
        <v>-1</v>
      </c>
      <c r="L143">
        <v>-1</v>
      </c>
      <c r="M143">
        <v>-1</v>
      </c>
      <c r="N143">
        <v>0</v>
      </c>
      <c r="O143">
        <v>0</v>
      </c>
      <c r="P143">
        <v>0</v>
      </c>
      <c r="Q143">
        <v>0</v>
      </c>
      <c r="R143">
        <v>-0.83699999999999997</v>
      </c>
      <c r="S143">
        <v>-0.82399999999999995</v>
      </c>
      <c r="T143">
        <v>-0.58299999999999996</v>
      </c>
      <c r="U143">
        <v>-0.79800000000000004</v>
      </c>
      <c r="V143">
        <v>-1</v>
      </c>
      <c r="W143">
        <v>-1</v>
      </c>
      <c r="X143">
        <v>-1</v>
      </c>
      <c r="Y143">
        <v>-1</v>
      </c>
      <c r="Z143">
        <v>0</v>
      </c>
      <c r="AA143">
        <v>0</v>
      </c>
      <c r="AB143">
        <v>0</v>
      </c>
      <c r="AC143">
        <v>0</v>
      </c>
      <c r="AD143">
        <v>-0.06</v>
      </c>
      <c r="AE143">
        <v>-3.6999999999999998E-2</v>
      </c>
      <c r="AF143">
        <v>-4.0000000000000001E-3</v>
      </c>
      <c r="AG143">
        <v>0</v>
      </c>
      <c r="AH143">
        <v>-1</v>
      </c>
      <c r="AI143">
        <v>-1</v>
      </c>
      <c r="AJ143">
        <v>-1</v>
      </c>
      <c r="AK143" t="e">
        <v>#DIV/0!</v>
      </c>
      <c r="AL143" s="1">
        <f t="shared" si="20"/>
        <v>-1</v>
      </c>
      <c r="AM143" s="1">
        <f t="shared" si="21"/>
        <v>-1</v>
      </c>
      <c r="AN143" s="1">
        <f t="shared" si="22"/>
        <v>-1</v>
      </c>
      <c r="AO143" s="1">
        <f t="shared" si="23"/>
        <v>-1</v>
      </c>
      <c r="AP143" s="1">
        <f t="shared" si="24"/>
        <v>-1</v>
      </c>
    </row>
    <row r="144" spans="1:42">
      <c r="A144" t="s">
        <v>101</v>
      </c>
      <c r="B144">
        <v>0</v>
      </c>
      <c r="C144">
        <v>0</v>
      </c>
      <c r="D144">
        <v>0</v>
      </c>
      <c r="E144">
        <v>0</v>
      </c>
      <c r="F144">
        <v>-0.47099999999999997</v>
      </c>
      <c r="G144">
        <v>-0.379</v>
      </c>
      <c r="H144">
        <v>-0.20200000000000001</v>
      </c>
      <c r="I144">
        <v>-0.17799999999999999</v>
      </c>
      <c r="J144">
        <v>-1</v>
      </c>
      <c r="K144">
        <v>-1</v>
      </c>
      <c r="L144">
        <v>-1</v>
      </c>
      <c r="M144">
        <v>-1</v>
      </c>
      <c r="N144">
        <v>0</v>
      </c>
      <c r="O144">
        <v>0</v>
      </c>
      <c r="P144">
        <v>0</v>
      </c>
      <c r="Q144">
        <v>0</v>
      </c>
      <c r="R144">
        <v>-0.83699999999999997</v>
      </c>
      <c r="S144">
        <v>-0.82399999999999995</v>
      </c>
      <c r="T144">
        <v>-0.58299999999999996</v>
      </c>
      <c r="U144">
        <v>-0.79800000000000004</v>
      </c>
      <c r="V144">
        <v>-1</v>
      </c>
      <c r="W144">
        <v>-1</v>
      </c>
      <c r="X144">
        <v>-1</v>
      </c>
      <c r="Y144">
        <v>-1</v>
      </c>
      <c r="Z144">
        <v>0</v>
      </c>
      <c r="AA144">
        <v>0</v>
      </c>
      <c r="AB144">
        <v>0</v>
      </c>
      <c r="AC144">
        <v>0</v>
      </c>
      <c r="AD144">
        <v>-0.06</v>
      </c>
      <c r="AE144">
        <v>-3.6999999999999998E-2</v>
      </c>
      <c r="AF144">
        <v>-4.0000000000000001E-3</v>
      </c>
      <c r="AG144">
        <v>0</v>
      </c>
      <c r="AH144">
        <v>-1</v>
      </c>
      <c r="AI144">
        <v>-1</v>
      </c>
      <c r="AJ144">
        <v>-1</v>
      </c>
      <c r="AK144" t="e">
        <v>#DIV/0!</v>
      </c>
      <c r="AL144" s="1">
        <f t="shared" si="20"/>
        <v>-1</v>
      </c>
      <c r="AM144" s="1">
        <f t="shared" si="21"/>
        <v>-1</v>
      </c>
      <c r="AN144" s="1">
        <f t="shared" si="22"/>
        <v>-1</v>
      </c>
      <c r="AO144" s="1">
        <f t="shared" si="23"/>
        <v>-1</v>
      </c>
      <c r="AP144" s="1">
        <f t="shared" si="24"/>
        <v>-1</v>
      </c>
    </row>
  </sheetData>
  <sortState ref="A2:AP144">
    <sortCondition descending="1" ref="AP2:AP1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144"/>
  <sheetViews>
    <sheetView workbookViewId="0">
      <selection activeCell="O7" sqref="O7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5" width="11.09765625" style="2" bestFit="1" customWidth="1"/>
    <col min="6" max="6" width="7.59765625" bestFit="1" customWidth="1"/>
    <col min="7" max="7" width="9.3984375" bestFit="1" customWidth="1"/>
    <col min="8" max="8" width="12" bestFit="1" customWidth="1"/>
    <col min="9" max="9" width="7.8984375" bestFit="1" customWidth="1"/>
    <col min="10" max="10" width="8.59765625" bestFit="1" customWidth="1"/>
    <col min="11" max="11" width="10.3984375" bestFit="1" customWidth="1"/>
    <col min="12" max="12" width="13.09765625" bestFit="1" customWidth="1"/>
    <col min="13" max="13" width="9" bestFit="1" customWidth="1"/>
  </cols>
  <sheetData>
    <row r="1" spans="1:19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148</v>
      </c>
      <c r="G1" t="s">
        <v>149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P1" t="s">
        <v>1</v>
      </c>
      <c r="Q1" t="s">
        <v>2</v>
      </c>
      <c r="R1" t="s">
        <v>3</v>
      </c>
      <c r="S1" t="s">
        <v>4</v>
      </c>
    </row>
    <row r="2" spans="1:19">
      <c r="A2" t="s">
        <v>25</v>
      </c>
      <c r="B2" s="2">
        <v>0.997</v>
      </c>
      <c r="C2" s="2">
        <v>0.995</v>
      </c>
      <c r="D2" s="2">
        <v>0.91200000000000003</v>
      </c>
      <c r="E2" s="2">
        <v>0.997</v>
      </c>
      <c r="F2">
        <f>B2-P$2</f>
        <v>0.96</v>
      </c>
      <c r="G2">
        <f t="shared" ref="G2:I2" si="0">C2-Q$2</f>
        <v>0.98699999999999999</v>
      </c>
      <c r="H2">
        <f t="shared" si="0"/>
        <v>0.91100000000000003</v>
      </c>
      <c r="I2">
        <f t="shared" si="0"/>
        <v>0.997</v>
      </c>
      <c r="J2" s="1">
        <f>F2/P$2</f>
        <v>25.945945945945947</v>
      </c>
      <c r="K2" s="1">
        <f t="shared" ref="K2:M2" si="1">G2/Q$2</f>
        <v>123.375</v>
      </c>
      <c r="L2" s="1">
        <f t="shared" si="1"/>
        <v>911</v>
      </c>
      <c r="M2" s="1" t="e">
        <f t="shared" si="1"/>
        <v>#DIV/0!</v>
      </c>
      <c r="O2" t="s">
        <v>161</v>
      </c>
      <c r="P2">
        <v>3.6999999999999998E-2</v>
      </c>
      <c r="Q2">
        <v>8.0000000000000002E-3</v>
      </c>
      <c r="R2">
        <v>1E-3</v>
      </c>
      <c r="S2">
        <v>0</v>
      </c>
    </row>
    <row r="3" spans="1:19">
      <c r="A3" t="s">
        <v>33</v>
      </c>
      <c r="B3" s="2">
        <v>0.997</v>
      </c>
      <c r="C3" s="2">
        <v>0.995</v>
      </c>
      <c r="D3" s="2">
        <v>0.92400000000000004</v>
      </c>
      <c r="E3" s="2">
        <v>0.997</v>
      </c>
      <c r="F3">
        <f t="shared" ref="F3:F66" si="2">B3-P$2</f>
        <v>0.96</v>
      </c>
      <c r="G3">
        <f t="shared" ref="G3:G66" si="3">C3-Q$2</f>
        <v>0.98699999999999999</v>
      </c>
      <c r="H3">
        <f t="shared" ref="H3:H66" si="4">D3-R$2</f>
        <v>0.92300000000000004</v>
      </c>
      <c r="I3">
        <f t="shared" ref="I3:I66" si="5">E3-S$2</f>
        <v>0.997</v>
      </c>
      <c r="J3" s="1">
        <f t="shared" ref="J3:J66" si="6">F3/P$2</f>
        <v>25.945945945945947</v>
      </c>
      <c r="K3" s="1">
        <f t="shared" ref="K3:K66" si="7">G3/Q$2</f>
        <v>123.375</v>
      </c>
      <c r="L3" s="1">
        <f t="shared" ref="L3:L66" si="8">H3/R$2</f>
        <v>923</v>
      </c>
      <c r="M3" s="1" t="e">
        <f t="shared" ref="M3:M66" si="9">I3/S$2</f>
        <v>#DIV/0!</v>
      </c>
    </row>
    <row r="4" spans="1:19">
      <c r="A4" t="s">
        <v>56</v>
      </c>
      <c r="B4" s="2">
        <v>0.997</v>
      </c>
      <c r="C4" s="2">
        <v>0.995</v>
      </c>
      <c r="D4" s="2">
        <v>0.93300000000000005</v>
      </c>
      <c r="E4" s="2">
        <v>0.997</v>
      </c>
      <c r="F4">
        <f t="shared" si="2"/>
        <v>0.96</v>
      </c>
      <c r="G4">
        <f t="shared" si="3"/>
        <v>0.98699999999999999</v>
      </c>
      <c r="H4">
        <f t="shared" si="4"/>
        <v>0.93200000000000005</v>
      </c>
      <c r="I4">
        <f t="shared" si="5"/>
        <v>0.997</v>
      </c>
      <c r="J4" s="1">
        <f t="shared" si="6"/>
        <v>25.945945945945947</v>
      </c>
      <c r="K4" s="1">
        <f t="shared" si="7"/>
        <v>123.375</v>
      </c>
      <c r="L4" s="1">
        <f t="shared" si="8"/>
        <v>932</v>
      </c>
      <c r="M4" s="1" t="e">
        <f t="shared" si="9"/>
        <v>#DIV/0!</v>
      </c>
    </row>
    <row r="5" spans="1:19">
      <c r="A5" t="s">
        <v>44</v>
      </c>
      <c r="B5" s="2">
        <v>0.996</v>
      </c>
      <c r="C5" s="2">
        <v>0.995</v>
      </c>
      <c r="D5" s="2">
        <v>0.90500000000000003</v>
      </c>
      <c r="E5" s="2">
        <v>0.997</v>
      </c>
      <c r="F5">
        <f t="shared" si="2"/>
        <v>0.95899999999999996</v>
      </c>
      <c r="G5">
        <f t="shared" si="3"/>
        <v>0.98699999999999999</v>
      </c>
      <c r="H5">
        <f t="shared" si="4"/>
        <v>0.90400000000000003</v>
      </c>
      <c r="I5">
        <f t="shared" si="5"/>
        <v>0.997</v>
      </c>
      <c r="J5" s="1">
        <f t="shared" si="6"/>
        <v>25.918918918918919</v>
      </c>
      <c r="K5" s="1">
        <f t="shared" si="7"/>
        <v>123.375</v>
      </c>
      <c r="L5" s="1">
        <f t="shared" si="8"/>
        <v>904</v>
      </c>
      <c r="M5" s="1" t="e">
        <f t="shared" si="9"/>
        <v>#DIV/0!</v>
      </c>
    </row>
    <row r="6" spans="1:19">
      <c r="A6" t="s">
        <v>48</v>
      </c>
      <c r="B6" s="2">
        <v>0.997</v>
      </c>
      <c r="C6" s="2">
        <v>0.995</v>
      </c>
      <c r="D6" s="2">
        <v>0.92900000000000005</v>
      </c>
      <c r="E6" s="2">
        <v>0.996</v>
      </c>
      <c r="F6">
        <f t="shared" si="2"/>
        <v>0.96</v>
      </c>
      <c r="G6">
        <f t="shared" si="3"/>
        <v>0.98699999999999999</v>
      </c>
      <c r="H6">
        <f t="shared" si="4"/>
        <v>0.92800000000000005</v>
      </c>
      <c r="I6">
        <f t="shared" si="5"/>
        <v>0.996</v>
      </c>
      <c r="J6" s="1">
        <f t="shared" si="6"/>
        <v>25.945945945945947</v>
      </c>
      <c r="K6" s="1">
        <f t="shared" si="7"/>
        <v>123.375</v>
      </c>
      <c r="L6" s="1">
        <f t="shared" si="8"/>
        <v>928</v>
      </c>
      <c r="M6" s="1" t="e">
        <f t="shared" si="9"/>
        <v>#DIV/0!</v>
      </c>
    </row>
    <row r="7" spans="1:19">
      <c r="A7" t="s">
        <v>134</v>
      </c>
      <c r="B7" s="2">
        <v>0.997</v>
      </c>
      <c r="C7" s="2">
        <v>0.995</v>
      </c>
      <c r="D7" s="2">
        <v>0.92100000000000004</v>
      </c>
      <c r="E7" s="2">
        <v>0.996</v>
      </c>
      <c r="F7">
        <f t="shared" si="2"/>
        <v>0.96</v>
      </c>
      <c r="G7">
        <f t="shared" si="3"/>
        <v>0.98699999999999999</v>
      </c>
      <c r="H7">
        <f t="shared" si="4"/>
        <v>0.92</v>
      </c>
      <c r="I7">
        <f t="shared" si="5"/>
        <v>0.996</v>
      </c>
      <c r="J7" s="1">
        <f t="shared" si="6"/>
        <v>25.945945945945947</v>
      </c>
      <c r="K7" s="1">
        <f t="shared" si="7"/>
        <v>123.375</v>
      </c>
      <c r="L7" s="1">
        <f t="shared" si="8"/>
        <v>920</v>
      </c>
      <c r="M7" s="1" t="e">
        <f t="shared" si="9"/>
        <v>#DIV/0!</v>
      </c>
    </row>
    <row r="8" spans="1:19">
      <c r="A8" t="s">
        <v>136</v>
      </c>
      <c r="B8" s="2">
        <v>0.997</v>
      </c>
      <c r="C8" s="2">
        <v>0.995</v>
      </c>
      <c r="D8" s="2">
        <v>0.93500000000000005</v>
      </c>
      <c r="E8" s="2">
        <v>0.996</v>
      </c>
      <c r="F8">
        <f t="shared" si="2"/>
        <v>0.96</v>
      </c>
      <c r="G8">
        <f t="shared" si="3"/>
        <v>0.98699999999999999</v>
      </c>
      <c r="H8">
        <f t="shared" si="4"/>
        <v>0.93400000000000005</v>
      </c>
      <c r="I8">
        <f t="shared" si="5"/>
        <v>0.996</v>
      </c>
      <c r="J8" s="1">
        <f t="shared" si="6"/>
        <v>25.945945945945947</v>
      </c>
      <c r="K8" s="1">
        <f t="shared" si="7"/>
        <v>123.375</v>
      </c>
      <c r="L8" s="1">
        <f t="shared" si="8"/>
        <v>934</v>
      </c>
      <c r="M8" s="1" t="e">
        <f t="shared" si="9"/>
        <v>#DIV/0!</v>
      </c>
    </row>
    <row r="9" spans="1:19">
      <c r="A9" t="s">
        <v>6</v>
      </c>
      <c r="B9" s="2">
        <v>0.996</v>
      </c>
      <c r="C9" s="2">
        <v>0.995</v>
      </c>
      <c r="D9" s="2">
        <v>0.88</v>
      </c>
      <c r="E9" s="2">
        <v>0.996</v>
      </c>
      <c r="F9">
        <f t="shared" si="2"/>
        <v>0.95899999999999996</v>
      </c>
      <c r="G9">
        <f t="shared" si="3"/>
        <v>0.98699999999999999</v>
      </c>
      <c r="H9">
        <f t="shared" si="4"/>
        <v>0.879</v>
      </c>
      <c r="I9">
        <f t="shared" si="5"/>
        <v>0.996</v>
      </c>
      <c r="J9" s="1">
        <f t="shared" si="6"/>
        <v>25.918918918918919</v>
      </c>
      <c r="K9" s="1">
        <f t="shared" si="7"/>
        <v>123.375</v>
      </c>
      <c r="L9" s="1">
        <f t="shared" si="8"/>
        <v>879</v>
      </c>
      <c r="M9" s="1" t="e">
        <f t="shared" si="9"/>
        <v>#DIV/0!</v>
      </c>
    </row>
    <row r="10" spans="1:19">
      <c r="A10" t="s">
        <v>10</v>
      </c>
      <c r="B10" s="2">
        <v>0.996</v>
      </c>
      <c r="C10" s="2">
        <v>0.995</v>
      </c>
      <c r="D10" s="2">
        <v>0.90900000000000003</v>
      </c>
      <c r="E10" s="2">
        <v>0.996</v>
      </c>
      <c r="F10">
        <f t="shared" si="2"/>
        <v>0.95899999999999996</v>
      </c>
      <c r="G10">
        <f t="shared" si="3"/>
        <v>0.98699999999999999</v>
      </c>
      <c r="H10">
        <f t="shared" si="4"/>
        <v>0.90800000000000003</v>
      </c>
      <c r="I10">
        <f t="shared" si="5"/>
        <v>0.996</v>
      </c>
      <c r="J10" s="1">
        <f t="shared" si="6"/>
        <v>25.918918918918919</v>
      </c>
      <c r="K10" s="1">
        <f t="shared" si="7"/>
        <v>123.375</v>
      </c>
      <c r="L10" s="1">
        <f t="shared" si="8"/>
        <v>908</v>
      </c>
      <c r="M10" s="1" t="e">
        <f t="shared" si="9"/>
        <v>#DIV/0!</v>
      </c>
    </row>
    <row r="11" spans="1:19">
      <c r="A11" t="s">
        <v>21</v>
      </c>
      <c r="B11" s="2">
        <v>0.996</v>
      </c>
      <c r="C11" s="2">
        <v>0.995</v>
      </c>
      <c r="D11" s="2">
        <v>0.88900000000000001</v>
      </c>
      <c r="E11" s="2">
        <v>0.996</v>
      </c>
      <c r="F11">
        <f t="shared" si="2"/>
        <v>0.95899999999999996</v>
      </c>
      <c r="G11">
        <f t="shared" si="3"/>
        <v>0.98699999999999999</v>
      </c>
      <c r="H11">
        <f t="shared" si="4"/>
        <v>0.88800000000000001</v>
      </c>
      <c r="I11">
        <f t="shared" si="5"/>
        <v>0.996</v>
      </c>
      <c r="J11" s="1">
        <f t="shared" si="6"/>
        <v>25.918918918918919</v>
      </c>
      <c r="K11" s="1">
        <f t="shared" si="7"/>
        <v>123.375</v>
      </c>
      <c r="L11" s="1">
        <f t="shared" si="8"/>
        <v>888</v>
      </c>
      <c r="M11" s="1" t="e">
        <f t="shared" si="9"/>
        <v>#DIV/0!</v>
      </c>
    </row>
    <row r="12" spans="1:19">
      <c r="A12" t="s">
        <v>27</v>
      </c>
      <c r="B12" s="2">
        <v>0.996</v>
      </c>
      <c r="C12" s="2">
        <v>0.995</v>
      </c>
      <c r="D12" s="2">
        <v>0.88900000000000001</v>
      </c>
      <c r="E12" s="2">
        <v>0.996</v>
      </c>
      <c r="F12">
        <f t="shared" si="2"/>
        <v>0.95899999999999996</v>
      </c>
      <c r="G12">
        <f t="shared" si="3"/>
        <v>0.98699999999999999</v>
      </c>
      <c r="H12">
        <f t="shared" si="4"/>
        <v>0.88800000000000001</v>
      </c>
      <c r="I12">
        <f t="shared" si="5"/>
        <v>0.996</v>
      </c>
      <c r="J12" s="1">
        <f t="shared" si="6"/>
        <v>25.918918918918919</v>
      </c>
      <c r="K12" s="1">
        <f t="shared" si="7"/>
        <v>123.375</v>
      </c>
      <c r="L12" s="1">
        <f t="shared" si="8"/>
        <v>888</v>
      </c>
      <c r="M12" s="1" t="e">
        <f t="shared" si="9"/>
        <v>#DIV/0!</v>
      </c>
    </row>
    <row r="13" spans="1:19">
      <c r="A13" t="s">
        <v>54</v>
      </c>
      <c r="B13" s="2">
        <v>0.996</v>
      </c>
      <c r="C13" s="2">
        <v>0.995</v>
      </c>
      <c r="D13" s="2">
        <v>0.91900000000000004</v>
      </c>
      <c r="E13" s="2">
        <v>0.996</v>
      </c>
      <c r="F13">
        <f t="shared" si="2"/>
        <v>0.95899999999999996</v>
      </c>
      <c r="G13">
        <f t="shared" si="3"/>
        <v>0.98699999999999999</v>
      </c>
      <c r="H13">
        <f t="shared" si="4"/>
        <v>0.91800000000000004</v>
      </c>
      <c r="I13">
        <f t="shared" si="5"/>
        <v>0.996</v>
      </c>
      <c r="J13" s="1">
        <f t="shared" si="6"/>
        <v>25.918918918918919</v>
      </c>
      <c r="K13" s="1">
        <f t="shared" si="7"/>
        <v>123.375</v>
      </c>
      <c r="L13" s="1">
        <f t="shared" si="8"/>
        <v>918</v>
      </c>
      <c r="M13" s="1" t="e">
        <f t="shared" si="9"/>
        <v>#DIV/0!</v>
      </c>
    </row>
    <row r="14" spans="1:19">
      <c r="A14" t="s">
        <v>72</v>
      </c>
      <c r="B14" s="2">
        <v>0.996</v>
      </c>
      <c r="C14" s="2">
        <v>0.995</v>
      </c>
      <c r="D14" s="2">
        <v>0.93</v>
      </c>
      <c r="E14" s="2">
        <v>0.996</v>
      </c>
      <c r="F14">
        <f t="shared" si="2"/>
        <v>0.95899999999999996</v>
      </c>
      <c r="G14">
        <f t="shared" si="3"/>
        <v>0.98699999999999999</v>
      </c>
      <c r="H14">
        <f t="shared" si="4"/>
        <v>0.92900000000000005</v>
      </c>
      <c r="I14">
        <f t="shared" si="5"/>
        <v>0.996</v>
      </c>
      <c r="J14" s="1">
        <f t="shared" si="6"/>
        <v>25.918918918918919</v>
      </c>
      <c r="K14" s="1">
        <f t="shared" si="7"/>
        <v>123.375</v>
      </c>
      <c r="L14" s="1">
        <f t="shared" si="8"/>
        <v>929</v>
      </c>
      <c r="M14" s="1" t="e">
        <f t="shared" si="9"/>
        <v>#DIV/0!</v>
      </c>
    </row>
    <row r="15" spans="1:19">
      <c r="A15" t="s">
        <v>118</v>
      </c>
      <c r="B15" s="2">
        <v>0.996</v>
      </c>
      <c r="C15" s="2">
        <v>0.995</v>
      </c>
      <c r="D15" s="2">
        <v>0.88700000000000001</v>
      </c>
      <c r="E15" s="2">
        <v>0.996</v>
      </c>
      <c r="F15">
        <f t="shared" si="2"/>
        <v>0.95899999999999996</v>
      </c>
      <c r="G15">
        <f t="shared" si="3"/>
        <v>0.98699999999999999</v>
      </c>
      <c r="H15">
        <f t="shared" si="4"/>
        <v>0.88600000000000001</v>
      </c>
      <c r="I15">
        <f t="shared" si="5"/>
        <v>0.996</v>
      </c>
      <c r="J15" s="1">
        <f t="shared" si="6"/>
        <v>25.918918918918919</v>
      </c>
      <c r="K15" s="1">
        <f t="shared" si="7"/>
        <v>123.375</v>
      </c>
      <c r="L15" s="1">
        <f t="shared" si="8"/>
        <v>886</v>
      </c>
      <c r="M15" s="1" t="e">
        <f t="shared" si="9"/>
        <v>#DIV/0!</v>
      </c>
    </row>
    <row r="16" spans="1:19">
      <c r="A16" t="s">
        <v>128</v>
      </c>
      <c r="B16" s="2">
        <v>0.996</v>
      </c>
      <c r="C16" s="2">
        <v>0.995</v>
      </c>
      <c r="D16" s="2">
        <v>0.89900000000000002</v>
      </c>
      <c r="E16" s="2">
        <v>0.996</v>
      </c>
      <c r="F16">
        <f t="shared" si="2"/>
        <v>0.95899999999999996</v>
      </c>
      <c r="G16">
        <f t="shared" si="3"/>
        <v>0.98699999999999999</v>
      </c>
      <c r="H16">
        <f t="shared" si="4"/>
        <v>0.89800000000000002</v>
      </c>
      <c r="I16">
        <f t="shared" si="5"/>
        <v>0.996</v>
      </c>
      <c r="J16" s="1">
        <f t="shared" si="6"/>
        <v>25.918918918918919</v>
      </c>
      <c r="K16" s="1">
        <f t="shared" si="7"/>
        <v>123.375</v>
      </c>
      <c r="L16" s="1">
        <f t="shared" si="8"/>
        <v>898</v>
      </c>
      <c r="M16" s="1" t="e">
        <f t="shared" si="9"/>
        <v>#DIV/0!</v>
      </c>
    </row>
    <row r="17" spans="1:13">
      <c r="A17" t="s">
        <v>142</v>
      </c>
      <c r="B17" s="2">
        <v>0.997</v>
      </c>
      <c r="C17" s="2">
        <v>0.995</v>
      </c>
      <c r="D17" s="2">
        <v>0.92400000000000004</v>
      </c>
      <c r="E17" s="2">
        <v>0.995</v>
      </c>
      <c r="F17">
        <f t="shared" si="2"/>
        <v>0.96</v>
      </c>
      <c r="G17">
        <f t="shared" si="3"/>
        <v>0.98699999999999999</v>
      </c>
      <c r="H17">
        <f t="shared" si="4"/>
        <v>0.92300000000000004</v>
      </c>
      <c r="I17">
        <f t="shared" si="5"/>
        <v>0.995</v>
      </c>
      <c r="J17" s="1">
        <f t="shared" si="6"/>
        <v>25.945945945945947</v>
      </c>
      <c r="K17" s="1">
        <f t="shared" si="7"/>
        <v>123.375</v>
      </c>
      <c r="L17" s="1">
        <f t="shared" si="8"/>
        <v>923</v>
      </c>
      <c r="M17" s="1" t="e">
        <f t="shared" si="9"/>
        <v>#DIV/0!</v>
      </c>
    </row>
    <row r="18" spans="1:13">
      <c r="A18" t="s">
        <v>46</v>
      </c>
      <c r="B18" s="2">
        <v>0.996</v>
      </c>
      <c r="C18" s="2">
        <v>0.995</v>
      </c>
      <c r="D18" s="2">
        <v>0.92600000000000005</v>
      </c>
      <c r="E18" s="2">
        <v>0.995</v>
      </c>
      <c r="F18">
        <f t="shared" si="2"/>
        <v>0.95899999999999996</v>
      </c>
      <c r="G18">
        <f t="shared" si="3"/>
        <v>0.98699999999999999</v>
      </c>
      <c r="H18">
        <f t="shared" si="4"/>
        <v>0.92500000000000004</v>
      </c>
      <c r="I18">
        <f t="shared" si="5"/>
        <v>0.995</v>
      </c>
      <c r="J18" s="1">
        <f t="shared" si="6"/>
        <v>25.918918918918919</v>
      </c>
      <c r="K18" s="1">
        <f t="shared" si="7"/>
        <v>123.375</v>
      </c>
      <c r="L18" s="1">
        <f t="shared" si="8"/>
        <v>925</v>
      </c>
      <c r="M18" s="1" t="e">
        <f t="shared" si="9"/>
        <v>#DIV/0!</v>
      </c>
    </row>
    <row r="19" spans="1:13">
      <c r="A19" t="s">
        <v>64</v>
      </c>
      <c r="B19" s="2">
        <v>0.996</v>
      </c>
      <c r="C19" s="2">
        <v>0.995</v>
      </c>
      <c r="D19" s="2">
        <v>0.90500000000000003</v>
      </c>
      <c r="E19" s="2">
        <v>0.995</v>
      </c>
      <c r="F19">
        <f t="shared" si="2"/>
        <v>0.95899999999999996</v>
      </c>
      <c r="G19">
        <f t="shared" si="3"/>
        <v>0.98699999999999999</v>
      </c>
      <c r="H19">
        <f t="shared" si="4"/>
        <v>0.90400000000000003</v>
      </c>
      <c r="I19">
        <f t="shared" si="5"/>
        <v>0.995</v>
      </c>
      <c r="J19" s="1">
        <f t="shared" si="6"/>
        <v>25.918918918918919</v>
      </c>
      <c r="K19" s="1">
        <f t="shared" si="7"/>
        <v>123.375</v>
      </c>
      <c r="L19" s="1">
        <f t="shared" si="8"/>
        <v>904</v>
      </c>
      <c r="M19" s="1" t="e">
        <f t="shared" si="9"/>
        <v>#DIV/0!</v>
      </c>
    </row>
    <row r="20" spans="1:13">
      <c r="A20" t="s">
        <v>130</v>
      </c>
      <c r="B20" s="2">
        <v>0.996</v>
      </c>
      <c r="C20" s="2">
        <v>0.995</v>
      </c>
      <c r="D20" s="2">
        <v>0.91200000000000003</v>
      </c>
      <c r="E20" s="2">
        <v>0.995</v>
      </c>
      <c r="F20">
        <f t="shared" si="2"/>
        <v>0.95899999999999996</v>
      </c>
      <c r="G20">
        <f t="shared" si="3"/>
        <v>0.98699999999999999</v>
      </c>
      <c r="H20">
        <f t="shared" si="4"/>
        <v>0.91100000000000003</v>
      </c>
      <c r="I20">
        <f t="shared" si="5"/>
        <v>0.995</v>
      </c>
      <c r="J20" s="1">
        <f t="shared" si="6"/>
        <v>25.918918918918919</v>
      </c>
      <c r="K20" s="1">
        <f t="shared" si="7"/>
        <v>123.375</v>
      </c>
      <c r="L20" s="1">
        <f t="shared" si="8"/>
        <v>911</v>
      </c>
      <c r="M20" s="1" t="e">
        <f t="shared" si="9"/>
        <v>#DIV/0!</v>
      </c>
    </row>
    <row r="21" spans="1:13">
      <c r="A21" t="s">
        <v>12</v>
      </c>
      <c r="B21" s="2">
        <v>0.995</v>
      </c>
      <c r="C21" s="2">
        <v>0.995</v>
      </c>
      <c r="D21" s="2">
        <v>0.91400000000000003</v>
      </c>
      <c r="E21" s="2">
        <v>0.995</v>
      </c>
      <c r="F21">
        <f t="shared" si="2"/>
        <v>0.95799999999999996</v>
      </c>
      <c r="G21">
        <f t="shared" si="3"/>
        <v>0.98699999999999999</v>
      </c>
      <c r="H21">
        <f t="shared" si="4"/>
        <v>0.91300000000000003</v>
      </c>
      <c r="I21">
        <f t="shared" si="5"/>
        <v>0.995</v>
      </c>
      <c r="J21" s="1">
        <f t="shared" si="6"/>
        <v>25.891891891891891</v>
      </c>
      <c r="K21" s="1">
        <f t="shared" si="7"/>
        <v>123.375</v>
      </c>
      <c r="L21" s="1">
        <f t="shared" si="8"/>
        <v>913</v>
      </c>
      <c r="M21" s="1" t="e">
        <f t="shared" si="9"/>
        <v>#DIV/0!</v>
      </c>
    </row>
    <row r="22" spans="1:13">
      <c r="A22" t="s">
        <v>19</v>
      </c>
      <c r="B22" s="2">
        <v>0.995</v>
      </c>
      <c r="C22" s="2">
        <v>0.995</v>
      </c>
      <c r="D22" s="2">
        <v>0.91400000000000003</v>
      </c>
      <c r="E22" s="2">
        <v>0.995</v>
      </c>
      <c r="F22">
        <f t="shared" si="2"/>
        <v>0.95799999999999996</v>
      </c>
      <c r="G22">
        <f t="shared" si="3"/>
        <v>0.98699999999999999</v>
      </c>
      <c r="H22">
        <f t="shared" si="4"/>
        <v>0.91300000000000003</v>
      </c>
      <c r="I22">
        <f t="shared" si="5"/>
        <v>0.995</v>
      </c>
      <c r="J22" s="1">
        <f t="shared" si="6"/>
        <v>25.891891891891891</v>
      </c>
      <c r="K22" s="1">
        <f t="shared" si="7"/>
        <v>123.375</v>
      </c>
      <c r="L22" s="1">
        <f t="shared" si="8"/>
        <v>913</v>
      </c>
      <c r="M22" s="1" t="e">
        <f t="shared" si="9"/>
        <v>#DIV/0!</v>
      </c>
    </row>
    <row r="23" spans="1:13">
      <c r="A23" t="s">
        <v>60</v>
      </c>
      <c r="B23" s="2">
        <v>0.995</v>
      </c>
      <c r="C23" s="2">
        <v>0.995</v>
      </c>
      <c r="D23" s="2">
        <v>0.90500000000000003</v>
      </c>
      <c r="E23" s="2">
        <v>0.995</v>
      </c>
      <c r="F23">
        <f t="shared" si="2"/>
        <v>0.95799999999999996</v>
      </c>
      <c r="G23">
        <f t="shared" si="3"/>
        <v>0.98699999999999999</v>
      </c>
      <c r="H23">
        <f t="shared" si="4"/>
        <v>0.90400000000000003</v>
      </c>
      <c r="I23">
        <f t="shared" si="5"/>
        <v>0.995</v>
      </c>
      <c r="J23" s="1">
        <f t="shared" si="6"/>
        <v>25.891891891891891</v>
      </c>
      <c r="K23" s="1">
        <f t="shared" si="7"/>
        <v>123.375</v>
      </c>
      <c r="L23" s="1">
        <f t="shared" si="8"/>
        <v>904</v>
      </c>
      <c r="M23" s="1" t="e">
        <f t="shared" si="9"/>
        <v>#DIV/0!</v>
      </c>
    </row>
    <row r="24" spans="1:13">
      <c r="A24" t="s">
        <v>68</v>
      </c>
      <c r="B24" s="2">
        <v>0.995</v>
      </c>
      <c r="C24" s="2">
        <v>0.995</v>
      </c>
      <c r="D24" s="2">
        <v>0.90700000000000003</v>
      </c>
      <c r="E24" s="2">
        <v>0.995</v>
      </c>
      <c r="F24">
        <f t="shared" si="2"/>
        <v>0.95799999999999996</v>
      </c>
      <c r="G24">
        <f t="shared" si="3"/>
        <v>0.98699999999999999</v>
      </c>
      <c r="H24">
        <f t="shared" si="4"/>
        <v>0.90600000000000003</v>
      </c>
      <c r="I24">
        <f t="shared" si="5"/>
        <v>0.995</v>
      </c>
      <c r="J24" s="1">
        <f t="shared" si="6"/>
        <v>25.891891891891891</v>
      </c>
      <c r="K24" s="1">
        <f t="shared" si="7"/>
        <v>123.375</v>
      </c>
      <c r="L24" s="1">
        <f t="shared" si="8"/>
        <v>906</v>
      </c>
      <c r="M24" s="1" t="e">
        <f t="shared" si="9"/>
        <v>#DIV/0!</v>
      </c>
    </row>
    <row r="25" spans="1:13">
      <c r="A25" t="s">
        <v>112</v>
      </c>
      <c r="B25" s="2">
        <v>0.995</v>
      </c>
      <c r="C25" s="2">
        <v>0.995</v>
      </c>
      <c r="D25" s="2">
        <v>0.89200000000000002</v>
      </c>
      <c r="E25" s="2">
        <v>0.995</v>
      </c>
      <c r="F25">
        <f t="shared" si="2"/>
        <v>0.95799999999999996</v>
      </c>
      <c r="G25">
        <f t="shared" si="3"/>
        <v>0.98699999999999999</v>
      </c>
      <c r="H25">
        <f t="shared" si="4"/>
        <v>0.89100000000000001</v>
      </c>
      <c r="I25">
        <f t="shared" si="5"/>
        <v>0.995</v>
      </c>
      <c r="J25" s="1">
        <f t="shared" si="6"/>
        <v>25.891891891891891</v>
      </c>
      <c r="K25" s="1">
        <f t="shared" si="7"/>
        <v>123.375</v>
      </c>
      <c r="L25" s="1">
        <f t="shared" si="8"/>
        <v>891</v>
      </c>
      <c r="M25" s="1" t="e">
        <f t="shared" si="9"/>
        <v>#DIV/0!</v>
      </c>
    </row>
    <row r="26" spans="1:13">
      <c r="A26" t="s">
        <v>146</v>
      </c>
      <c r="B26" s="2">
        <v>0.995</v>
      </c>
      <c r="C26" s="2">
        <v>0.995</v>
      </c>
      <c r="D26" s="2">
        <v>0.90200000000000002</v>
      </c>
      <c r="E26" s="2">
        <v>0.995</v>
      </c>
      <c r="F26">
        <f t="shared" si="2"/>
        <v>0.95799999999999996</v>
      </c>
      <c r="G26">
        <f t="shared" si="3"/>
        <v>0.98699999999999999</v>
      </c>
      <c r="H26">
        <f t="shared" si="4"/>
        <v>0.90100000000000002</v>
      </c>
      <c r="I26">
        <f t="shared" si="5"/>
        <v>0.995</v>
      </c>
      <c r="J26" s="1">
        <f t="shared" si="6"/>
        <v>25.891891891891891</v>
      </c>
      <c r="K26" s="1">
        <f t="shared" si="7"/>
        <v>123.375</v>
      </c>
      <c r="L26" s="1">
        <f t="shared" si="8"/>
        <v>901</v>
      </c>
      <c r="M26" s="1" t="e">
        <f t="shared" si="9"/>
        <v>#DIV/0!</v>
      </c>
    </row>
    <row r="27" spans="1:13">
      <c r="A27" t="s">
        <v>39</v>
      </c>
      <c r="B27" s="2">
        <v>0.995</v>
      </c>
      <c r="C27" s="2">
        <v>0.995</v>
      </c>
      <c r="D27" s="2">
        <v>0.91700000000000004</v>
      </c>
      <c r="E27" s="2">
        <v>0.99399999999999999</v>
      </c>
      <c r="F27">
        <f t="shared" si="2"/>
        <v>0.95799999999999996</v>
      </c>
      <c r="G27">
        <f t="shared" si="3"/>
        <v>0.98699999999999999</v>
      </c>
      <c r="H27">
        <f t="shared" si="4"/>
        <v>0.91600000000000004</v>
      </c>
      <c r="I27">
        <f t="shared" si="5"/>
        <v>0.99399999999999999</v>
      </c>
      <c r="J27" s="1">
        <f t="shared" si="6"/>
        <v>25.891891891891891</v>
      </c>
      <c r="K27" s="1">
        <f t="shared" si="7"/>
        <v>123.375</v>
      </c>
      <c r="L27" s="1">
        <f t="shared" si="8"/>
        <v>916</v>
      </c>
      <c r="M27" s="1" t="e">
        <f t="shared" si="9"/>
        <v>#DIV/0!</v>
      </c>
    </row>
    <row r="28" spans="1:13">
      <c r="A28" t="s">
        <v>50</v>
      </c>
      <c r="B28" s="2">
        <v>0.995</v>
      </c>
      <c r="C28" s="2">
        <v>0.995</v>
      </c>
      <c r="D28" s="2">
        <v>0.90600000000000003</v>
      </c>
      <c r="E28" s="2">
        <v>0.99399999999999999</v>
      </c>
      <c r="F28">
        <f t="shared" si="2"/>
        <v>0.95799999999999996</v>
      </c>
      <c r="G28">
        <f t="shared" si="3"/>
        <v>0.98699999999999999</v>
      </c>
      <c r="H28">
        <f t="shared" si="4"/>
        <v>0.90500000000000003</v>
      </c>
      <c r="I28">
        <f t="shared" si="5"/>
        <v>0.99399999999999999</v>
      </c>
      <c r="J28" s="1">
        <f t="shared" si="6"/>
        <v>25.891891891891891</v>
      </c>
      <c r="K28" s="1">
        <f t="shared" si="7"/>
        <v>123.375</v>
      </c>
      <c r="L28" s="1">
        <f t="shared" si="8"/>
        <v>905</v>
      </c>
      <c r="M28" s="1" t="e">
        <f t="shared" si="9"/>
        <v>#DIV/0!</v>
      </c>
    </row>
    <row r="29" spans="1:13">
      <c r="A29" t="s">
        <v>124</v>
      </c>
      <c r="B29" s="2">
        <v>0.995</v>
      </c>
      <c r="C29" s="2">
        <v>0.995</v>
      </c>
      <c r="D29" s="2">
        <v>0.91900000000000004</v>
      </c>
      <c r="E29" s="2">
        <v>0.99399999999999999</v>
      </c>
      <c r="F29">
        <f t="shared" si="2"/>
        <v>0.95799999999999996</v>
      </c>
      <c r="G29">
        <f t="shared" si="3"/>
        <v>0.98699999999999999</v>
      </c>
      <c r="H29">
        <f t="shared" si="4"/>
        <v>0.91800000000000004</v>
      </c>
      <c r="I29">
        <f t="shared" si="5"/>
        <v>0.99399999999999999</v>
      </c>
      <c r="J29" s="1">
        <f t="shared" si="6"/>
        <v>25.891891891891891</v>
      </c>
      <c r="K29" s="1">
        <f t="shared" si="7"/>
        <v>123.375</v>
      </c>
      <c r="L29" s="1">
        <f t="shared" si="8"/>
        <v>918</v>
      </c>
      <c r="M29" s="1" t="e">
        <f t="shared" si="9"/>
        <v>#DIV/0!</v>
      </c>
    </row>
    <row r="30" spans="1:13">
      <c r="A30" t="s">
        <v>15</v>
      </c>
      <c r="B30" s="2">
        <v>0.99399999999999999</v>
      </c>
      <c r="C30" s="2">
        <v>0.995</v>
      </c>
      <c r="D30" s="2">
        <v>0.90800000000000003</v>
      </c>
      <c r="E30" s="2">
        <v>0.99399999999999999</v>
      </c>
      <c r="F30">
        <f t="shared" si="2"/>
        <v>0.95699999999999996</v>
      </c>
      <c r="G30">
        <f t="shared" si="3"/>
        <v>0.98699999999999999</v>
      </c>
      <c r="H30">
        <f t="shared" si="4"/>
        <v>0.90700000000000003</v>
      </c>
      <c r="I30">
        <f t="shared" si="5"/>
        <v>0.99399999999999999</v>
      </c>
      <c r="J30" s="1">
        <f t="shared" si="6"/>
        <v>25.864864864864867</v>
      </c>
      <c r="K30" s="1">
        <f t="shared" si="7"/>
        <v>123.375</v>
      </c>
      <c r="L30" s="1">
        <f t="shared" si="8"/>
        <v>907</v>
      </c>
      <c r="M30" s="1" t="e">
        <f t="shared" si="9"/>
        <v>#DIV/0!</v>
      </c>
    </row>
    <row r="31" spans="1:13">
      <c r="A31" t="s">
        <v>31</v>
      </c>
      <c r="B31" s="2">
        <v>0.99399999999999999</v>
      </c>
      <c r="C31" s="2">
        <v>0.995</v>
      </c>
      <c r="D31" s="2">
        <v>0.90100000000000002</v>
      </c>
      <c r="E31" s="2">
        <v>0.99399999999999999</v>
      </c>
      <c r="F31">
        <f t="shared" si="2"/>
        <v>0.95699999999999996</v>
      </c>
      <c r="G31">
        <f t="shared" si="3"/>
        <v>0.98699999999999999</v>
      </c>
      <c r="H31">
        <f t="shared" si="4"/>
        <v>0.9</v>
      </c>
      <c r="I31">
        <f t="shared" si="5"/>
        <v>0.99399999999999999</v>
      </c>
      <c r="J31" s="1">
        <f t="shared" si="6"/>
        <v>25.864864864864867</v>
      </c>
      <c r="K31" s="1">
        <f t="shared" si="7"/>
        <v>123.375</v>
      </c>
      <c r="L31" s="1">
        <f t="shared" si="8"/>
        <v>900</v>
      </c>
      <c r="M31" s="1" t="e">
        <f t="shared" si="9"/>
        <v>#DIV/0!</v>
      </c>
    </row>
    <row r="32" spans="1:13">
      <c r="A32" t="s">
        <v>52</v>
      </c>
      <c r="B32" s="2">
        <v>0.99399999999999999</v>
      </c>
      <c r="C32" s="2">
        <v>0.995</v>
      </c>
      <c r="D32" s="2">
        <v>0.91800000000000004</v>
      </c>
      <c r="E32" s="2">
        <v>0.99399999999999999</v>
      </c>
      <c r="F32">
        <f t="shared" si="2"/>
        <v>0.95699999999999996</v>
      </c>
      <c r="G32">
        <f t="shared" si="3"/>
        <v>0.98699999999999999</v>
      </c>
      <c r="H32">
        <f t="shared" si="4"/>
        <v>0.91700000000000004</v>
      </c>
      <c r="I32">
        <f t="shared" si="5"/>
        <v>0.99399999999999999</v>
      </c>
      <c r="J32" s="1">
        <f t="shared" si="6"/>
        <v>25.864864864864867</v>
      </c>
      <c r="K32" s="1">
        <f t="shared" si="7"/>
        <v>123.375</v>
      </c>
      <c r="L32" s="1">
        <f t="shared" si="8"/>
        <v>917</v>
      </c>
      <c r="M32" s="1" t="e">
        <f t="shared" si="9"/>
        <v>#DIV/0!</v>
      </c>
    </row>
    <row r="33" spans="1:13">
      <c r="A33" t="s">
        <v>132</v>
      </c>
      <c r="B33" s="2">
        <v>0.99399999999999999</v>
      </c>
      <c r="C33" s="2">
        <v>0.995</v>
      </c>
      <c r="D33" s="2">
        <v>0.88200000000000001</v>
      </c>
      <c r="E33" s="2">
        <v>0.99399999999999999</v>
      </c>
      <c r="F33">
        <f t="shared" si="2"/>
        <v>0.95699999999999996</v>
      </c>
      <c r="G33">
        <f t="shared" si="3"/>
        <v>0.98699999999999999</v>
      </c>
      <c r="H33">
        <f t="shared" si="4"/>
        <v>0.88100000000000001</v>
      </c>
      <c r="I33">
        <f t="shared" si="5"/>
        <v>0.99399999999999999</v>
      </c>
      <c r="J33" s="1">
        <f t="shared" si="6"/>
        <v>25.864864864864867</v>
      </c>
      <c r="K33" s="1">
        <f t="shared" si="7"/>
        <v>123.375</v>
      </c>
      <c r="L33" s="1">
        <f t="shared" si="8"/>
        <v>881</v>
      </c>
      <c r="M33" s="1" t="e">
        <f t="shared" si="9"/>
        <v>#DIV/0!</v>
      </c>
    </row>
    <row r="34" spans="1:13">
      <c r="A34" t="s">
        <v>140</v>
      </c>
      <c r="B34" s="2">
        <v>0.99399999999999999</v>
      </c>
      <c r="C34" s="2">
        <v>0.995</v>
      </c>
      <c r="D34" s="2">
        <v>0.90200000000000002</v>
      </c>
      <c r="E34" s="2">
        <v>0.99399999999999999</v>
      </c>
      <c r="F34">
        <f t="shared" si="2"/>
        <v>0.95699999999999996</v>
      </c>
      <c r="G34">
        <f t="shared" si="3"/>
        <v>0.98699999999999999</v>
      </c>
      <c r="H34">
        <f t="shared" si="4"/>
        <v>0.90100000000000002</v>
      </c>
      <c r="I34">
        <f t="shared" si="5"/>
        <v>0.99399999999999999</v>
      </c>
      <c r="J34" s="1">
        <f t="shared" si="6"/>
        <v>25.864864864864867</v>
      </c>
      <c r="K34" s="1">
        <f t="shared" si="7"/>
        <v>123.375</v>
      </c>
      <c r="L34" s="1">
        <f t="shared" si="8"/>
        <v>901</v>
      </c>
      <c r="M34" s="1" t="e">
        <f t="shared" si="9"/>
        <v>#DIV/0!</v>
      </c>
    </row>
    <row r="35" spans="1:13">
      <c r="A35" t="s">
        <v>78</v>
      </c>
      <c r="B35" s="2">
        <v>0.99299999999999999</v>
      </c>
      <c r="C35" s="2">
        <v>0.995</v>
      </c>
      <c r="D35" s="2">
        <v>0.89500000000000002</v>
      </c>
      <c r="E35" s="2">
        <v>0.99299999999999999</v>
      </c>
      <c r="F35">
        <f t="shared" si="2"/>
        <v>0.95599999999999996</v>
      </c>
      <c r="G35">
        <f t="shared" si="3"/>
        <v>0.98699999999999999</v>
      </c>
      <c r="H35">
        <f t="shared" si="4"/>
        <v>0.89400000000000002</v>
      </c>
      <c r="I35">
        <f t="shared" si="5"/>
        <v>0.99299999999999999</v>
      </c>
      <c r="J35" s="1">
        <f t="shared" si="6"/>
        <v>25.837837837837839</v>
      </c>
      <c r="K35" s="1">
        <f t="shared" si="7"/>
        <v>123.375</v>
      </c>
      <c r="L35" s="1">
        <f t="shared" si="8"/>
        <v>894</v>
      </c>
      <c r="M35" s="1" t="e">
        <f t="shared" si="9"/>
        <v>#DIV/0!</v>
      </c>
    </row>
    <row r="36" spans="1:13">
      <c r="A36" t="s">
        <v>126</v>
      </c>
      <c r="B36" s="2">
        <v>0.99299999999999999</v>
      </c>
      <c r="C36" s="2">
        <v>0.995</v>
      </c>
      <c r="D36" s="2">
        <v>0.89900000000000002</v>
      </c>
      <c r="E36" s="2">
        <v>0.99299999999999999</v>
      </c>
      <c r="F36">
        <f t="shared" si="2"/>
        <v>0.95599999999999996</v>
      </c>
      <c r="G36">
        <f t="shared" si="3"/>
        <v>0.98699999999999999</v>
      </c>
      <c r="H36">
        <f t="shared" si="4"/>
        <v>0.89800000000000002</v>
      </c>
      <c r="I36">
        <f t="shared" si="5"/>
        <v>0.99299999999999999</v>
      </c>
      <c r="J36" s="1">
        <f t="shared" si="6"/>
        <v>25.837837837837839</v>
      </c>
      <c r="K36" s="1">
        <f t="shared" si="7"/>
        <v>123.375</v>
      </c>
      <c r="L36" s="1">
        <f t="shared" si="8"/>
        <v>898</v>
      </c>
      <c r="M36" s="1" t="e">
        <f t="shared" si="9"/>
        <v>#DIV/0!</v>
      </c>
    </row>
    <row r="37" spans="1:13">
      <c r="A37" t="s">
        <v>82</v>
      </c>
      <c r="B37" s="2">
        <v>0.99199999999999999</v>
      </c>
      <c r="C37" s="2">
        <v>0.995</v>
      </c>
      <c r="D37" s="2">
        <v>0.89300000000000002</v>
      </c>
      <c r="E37" s="2">
        <v>0.99199999999999999</v>
      </c>
      <c r="F37">
        <f t="shared" si="2"/>
        <v>0.95499999999999996</v>
      </c>
      <c r="G37">
        <f t="shared" si="3"/>
        <v>0.98699999999999999</v>
      </c>
      <c r="H37">
        <f t="shared" si="4"/>
        <v>0.89200000000000002</v>
      </c>
      <c r="I37">
        <f t="shared" si="5"/>
        <v>0.99199999999999999</v>
      </c>
      <c r="J37" s="1">
        <f t="shared" si="6"/>
        <v>25.810810810810811</v>
      </c>
      <c r="K37" s="1">
        <f t="shared" si="7"/>
        <v>123.375</v>
      </c>
      <c r="L37" s="1">
        <f t="shared" si="8"/>
        <v>892</v>
      </c>
      <c r="M37" s="1" t="e">
        <f t="shared" si="9"/>
        <v>#DIV/0!</v>
      </c>
    </row>
    <row r="38" spans="1:13">
      <c r="A38" t="s">
        <v>125</v>
      </c>
      <c r="B38" s="2">
        <v>0.99199999999999999</v>
      </c>
      <c r="C38" s="2">
        <v>0.995</v>
      </c>
      <c r="D38" s="2">
        <v>0.89600000000000002</v>
      </c>
      <c r="E38" s="2">
        <v>0.99199999999999999</v>
      </c>
      <c r="F38">
        <f t="shared" si="2"/>
        <v>0.95499999999999996</v>
      </c>
      <c r="G38">
        <f t="shared" si="3"/>
        <v>0.98699999999999999</v>
      </c>
      <c r="H38">
        <f t="shared" si="4"/>
        <v>0.89500000000000002</v>
      </c>
      <c r="I38">
        <f t="shared" si="5"/>
        <v>0.99199999999999999</v>
      </c>
      <c r="J38" s="1">
        <f t="shared" si="6"/>
        <v>25.810810810810811</v>
      </c>
      <c r="K38" s="1">
        <f t="shared" si="7"/>
        <v>123.375</v>
      </c>
      <c r="L38" s="1">
        <f t="shared" si="8"/>
        <v>895</v>
      </c>
      <c r="M38" s="1" t="e">
        <f t="shared" si="9"/>
        <v>#DIV/0!</v>
      </c>
    </row>
    <row r="39" spans="1:13">
      <c r="A39" t="s">
        <v>131</v>
      </c>
      <c r="B39" s="2">
        <v>0.99099999999999999</v>
      </c>
      <c r="C39" s="2">
        <v>0.995</v>
      </c>
      <c r="D39" s="2">
        <v>0.88800000000000001</v>
      </c>
      <c r="E39" s="2">
        <v>0.99099999999999999</v>
      </c>
      <c r="F39">
        <f t="shared" si="2"/>
        <v>0.95399999999999996</v>
      </c>
      <c r="G39">
        <f t="shared" si="3"/>
        <v>0.98699999999999999</v>
      </c>
      <c r="H39">
        <f t="shared" si="4"/>
        <v>0.88700000000000001</v>
      </c>
      <c r="I39">
        <f t="shared" si="5"/>
        <v>0.99099999999999999</v>
      </c>
      <c r="J39" s="1">
        <f t="shared" si="6"/>
        <v>25.783783783783782</v>
      </c>
      <c r="K39" s="1">
        <f t="shared" si="7"/>
        <v>123.375</v>
      </c>
      <c r="L39" s="1">
        <f t="shared" si="8"/>
        <v>887</v>
      </c>
      <c r="M39" s="1" t="e">
        <f t="shared" si="9"/>
        <v>#DIV/0!</v>
      </c>
    </row>
    <row r="40" spans="1:13">
      <c r="A40" t="s">
        <v>137</v>
      </c>
      <c r="B40" s="2">
        <v>0.99099999999999999</v>
      </c>
      <c r="C40" s="2">
        <v>0.995</v>
      </c>
      <c r="D40" s="2">
        <v>0.86499999999999999</v>
      </c>
      <c r="E40" s="2">
        <v>0.99099999999999999</v>
      </c>
      <c r="F40">
        <f t="shared" si="2"/>
        <v>0.95399999999999996</v>
      </c>
      <c r="G40">
        <f t="shared" si="3"/>
        <v>0.98699999999999999</v>
      </c>
      <c r="H40">
        <f t="shared" si="4"/>
        <v>0.86399999999999999</v>
      </c>
      <c r="I40">
        <f t="shared" si="5"/>
        <v>0.99099999999999999</v>
      </c>
      <c r="J40" s="1">
        <f t="shared" si="6"/>
        <v>25.783783783783782</v>
      </c>
      <c r="K40" s="1">
        <f t="shared" si="7"/>
        <v>123.375</v>
      </c>
      <c r="L40" s="1">
        <f t="shared" si="8"/>
        <v>864</v>
      </c>
      <c r="M40" s="1" t="e">
        <f t="shared" si="9"/>
        <v>#DIV/0!</v>
      </c>
    </row>
    <row r="41" spans="1:13">
      <c r="A41" t="s">
        <v>106</v>
      </c>
      <c r="B41" s="2">
        <v>0.99199999999999999</v>
      </c>
      <c r="C41" s="2">
        <v>0.995</v>
      </c>
      <c r="D41" s="2">
        <v>0.88700000000000001</v>
      </c>
      <c r="E41" s="2">
        <v>0.99</v>
      </c>
      <c r="F41">
        <f t="shared" si="2"/>
        <v>0.95499999999999996</v>
      </c>
      <c r="G41">
        <f t="shared" si="3"/>
        <v>0.98699999999999999</v>
      </c>
      <c r="H41">
        <f t="shared" si="4"/>
        <v>0.88600000000000001</v>
      </c>
      <c r="I41">
        <f t="shared" si="5"/>
        <v>0.99</v>
      </c>
      <c r="J41" s="1">
        <f t="shared" si="6"/>
        <v>25.810810810810811</v>
      </c>
      <c r="K41" s="1">
        <f t="shared" si="7"/>
        <v>123.375</v>
      </c>
      <c r="L41" s="1">
        <f t="shared" si="8"/>
        <v>886</v>
      </c>
      <c r="M41" s="1" t="e">
        <f t="shared" si="9"/>
        <v>#DIV/0!</v>
      </c>
    </row>
    <row r="42" spans="1:13">
      <c r="A42" t="s">
        <v>45</v>
      </c>
      <c r="B42" s="2">
        <v>0.99</v>
      </c>
      <c r="C42" s="2">
        <v>0.99399999999999999</v>
      </c>
      <c r="D42" s="2">
        <v>0.86599999999999999</v>
      </c>
      <c r="E42" s="2">
        <v>0.99</v>
      </c>
      <c r="F42">
        <f t="shared" si="2"/>
        <v>0.95299999999999996</v>
      </c>
      <c r="G42">
        <f t="shared" si="3"/>
        <v>0.98599999999999999</v>
      </c>
      <c r="H42">
        <f t="shared" si="4"/>
        <v>0.86499999999999999</v>
      </c>
      <c r="I42">
        <f t="shared" si="5"/>
        <v>0.99</v>
      </c>
      <c r="J42" s="1">
        <f t="shared" si="6"/>
        <v>25.756756756756758</v>
      </c>
      <c r="K42" s="1">
        <f t="shared" si="7"/>
        <v>123.25</v>
      </c>
      <c r="L42" s="1">
        <f t="shared" si="8"/>
        <v>865</v>
      </c>
      <c r="M42" s="1" t="e">
        <f t="shared" si="9"/>
        <v>#DIV/0!</v>
      </c>
    </row>
    <row r="43" spans="1:13">
      <c r="A43" t="s">
        <v>138</v>
      </c>
      <c r="B43" s="2">
        <v>0.99</v>
      </c>
      <c r="C43" s="2">
        <v>0.995</v>
      </c>
      <c r="D43" s="2">
        <v>0.86499999999999999</v>
      </c>
      <c r="E43" s="2">
        <v>0.99</v>
      </c>
      <c r="F43">
        <f t="shared" si="2"/>
        <v>0.95299999999999996</v>
      </c>
      <c r="G43">
        <f t="shared" si="3"/>
        <v>0.98699999999999999</v>
      </c>
      <c r="H43">
        <f t="shared" si="4"/>
        <v>0.86399999999999999</v>
      </c>
      <c r="I43">
        <f t="shared" si="5"/>
        <v>0.99</v>
      </c>
      <c r="J43" s="1">
        <f t="shared" si="6"/>
        <v>25.756756756756758</v>
      </c>
      <c r="K43" s="1">
        <f t="shared" si="7"/>
        <v>123.375</v>
      </c>
      <c r="L43" s="1">
        <f t="shared" si="8"/>
        <v>864</v>
      </c>
      <c r="M43" s="1" t="e">
        <f t="shared" si="9"/>
        <v>#DIV/0!</v>
      </c>
    </row>
    <row r="44" spans="1:13">
      <c r="A44" t="s">
        <v>143</v>
      </c>
      <c r="B44" s="2">
        <v>0.99</v>
      </c>
      <c r="C44" s="2">
        <v>0.99399999999999999</v>
      </c>
      <c r="D44" s="2">
        <v>0.86599999999999999</v>
      </c>
      <c r="E44" s="2">
        <v>0.99</v>
      </c>
      <c r="F44">
        <f t="shared" si="2"/>
        <v>0.95299999999999996</v>
      </c>
      <c r="G44">
        <f t="shared" si="3"/>
        <v>0.98599999999999999</v>
      </c>
      <c r="H44">
        <f t="shared" si="4"/>
        <v>0.86499999999999999</v>
      </c>
      <c r="I44">
        <f t="shared" si="5"/>
        <v>0.99</v>
      </c>
      <c r="J44" s="1">
        <f t="shared" si="6"/>
        <v>25.756756756756758</v>
      </c>
      <c r="K44" s="1">
        <f t="shared" si="7"/>
        <v>123.25</v>
      </c>
      <c r="L44" s="1">
        <f t="shared" si="8"/>
        <v>865</v>
      </c>
      <c r="M44" s="1" t="e">
        <f t="shared" si="9"/>
        <v>#DIV/0!</v>
      </c>
    </row>
    <row r="45" spans="1:13">
      <c r="A45" t="s">
        <v>13</v>
      </c>
      <c r="B45" s="2">
        <v>0.99</v>
      </c>
      <c r="C45" s="2">
        <v>0.99399999999999999</v>
      </c>
      <c r="D45" s="2">
        <v>0.89800000000000002</v>
      </c>
      <c r="E45" s="2">
        <v>0.98899999999999999</v>
      </c>
      <c r="F45">
        <f t="shared" si="2"/>
        <v>0.95299999999999996</v>
      </c>
      <c r="G45">
        <f t="shared" si="3"/>
        <v>0.98599999999999999</v>
      </c>
      <c r="H45">
        <f t="shared" si="4"/>
        <v>0.89700000000000002</v>
      </c>
      <c r="I45">
        <f t="shared" si="5"/>
        <v>0.98899999999999999</v>
      </c>
      <c r="J45" s="1">
        <f t="shared" si="6"/>
        <v>25.756756756756758</v>
      </c>
      <c r="K45" s="1">
        <f t="shared" si="7"/>
        <v>123.25</v>
      </c>
      <c r="L45" s="1">
        <f t="shared" si="8"/>
        <v>897</v>
      </c>
      <c r="M45" s="1" t="e">
        <f t="shared" si="9"/>
        <v>#DIV/0!</v>
      </c>
    </row>
    <row r="46" spans="1:13">
      <c r="A46" t="s">
        <v>91</v>
      </c>
      <c r="B46" s="2">
        <v>0.98799999999999999</v>
      </c>
      <c r="C46" s="2">
        <v>0.99399999999999999</v>
      </c>
      <c r="D46" s="2">
        <v>0.81399999999999995</v>
      </c>
      <c r="E46" s="2">
        <v>0.98799999999999999</v>
      </c>
      <c r="F46">
        <f t="shared" si="2"/>
        <v>0.95099999999999996</v>
      </c>
      <c r="G46">
        <f t="shared" si="3"/>
        <v>0.98599999999999999</v>
      </c>
      <c r="H46">
        <f t="shared" si="4"/>
        <v>0.81299999999999994</v>
      </c>
      <c r="I46">
        <f t="shared" si="5"/>
        <v>0.98799999999999999</v>
      </c>
      <c r="J46" s="1">
        <f t="shared" si="6"/>
        <v>25.702702702702702</v>
      </c>
      <c r="K46" s="1">
        <f t="shared" si="7"/>
        <v>123.25</v>
      </c>
      <c r="L46" s="1">
        <f t="shared" si="8"/>
        <v>812.99999999999989</v>
      </c>
      <c r="M46" s="1" t="e">
        <f t="shared" si="9"/>
        <v>#DIV/0!</v>
      </c>
    </row>
    <row r="47" spans="1:13">
      <c r="A47" t="s">
        <v>94</v>
      </c>
      <c r="B47" s="2">
        <v>0.98799999999999999</v>
      </c>
      <c r="C47" s="2">
        <v>0.99399999999999999</v>
      </c>
      <c r="D47" s="2">
        <v>0.89600000000000002</v>
      </c>
      <c r="E47" s="2">
        <v>0.98799999999999999</v>
      </c>
      <c r="F47">
        <f t="shared" si="2"/>
        <v>0.95099999999999996</v>
      </c>
      <c r="G47">
        <f t="shared" si="3"/>
        <v>0.98599999999999999</v>
      </c>
      <c r="H47">
        <f t="shared" si="4"/>
        <v>0.89500000000000002</v>
      </c>
      <c r="I47">
        <f t="shared" si="5"/>
        <v>0.98799999999999999</v>
      </c>
      <c r="J47" s="1">
        <f t="shared" si="6"/>
        <v>25.702702702702702</v>
      </c>
      <c r="K47" s="1">
        <f t="shared" si="7"/>
        <v>123.25</v>
      </c>
      <c r="L47" s="1">
        <f t="shared" si="8"/>
        <v>895</v>
      </c>
      <c r="M47" s="1" t="e">
        <f t="shared" si="9"/>
        <v>#DIV/0!</v>
      </c>
    </row>
    <row r="48" spans="1:13">
      <c r="A48" t="s">
        <v>144</v>
      </c>
      <c r="B48" s="2">
        <v>0.98799999999999999</v>
      </c>
      <c r="C48" s="2">
        <v>0.99399999999999999</v>
      </c>
      <c r="D48" s="2">
        <v>0.86599999999999999</v>
      </c>
      <c r="E48" s="2">
        <v>0.98799999999999999</v>
      </c>
      <c r="F48">
        <f t="shared" si="2"/>
        <v>0.95099999999999996</v>
      </c>
      <c r="G48">
        <f t="shared" si="3"/>
        <v>0.98599999999999999</v>
      </c>
      <c r="H48">
        <f t="shared" si="4"/>
        <v>0.86499999999999999</v>
      </c>
      <c r="I48">
        <f t="shared" si="5"/>
        <v>0.98799999999999999</v>
      </c>
      <c r="J48" s="1">
        <f t="shared" si="6"/>
        <v>25.702702702702702</v>
      </c>
      <c r="K48" s="1">
        <f t="shared" si="7"/>
        <v>123.25</v>
      </c>
      <c r="L48" s="1">
        <f t="shared" si="8"/>
        <v>865</v>
      </c>
      <c r="M48" s="1" t="e">
        <f t="shared" si="9"/>
        <v>#DIV/0!</v>
      </c>
    </row>
    <row r="49" spans="1:13">
      <c r="A49" t="s">
        <v>110</v>
      </c>
      <c r="B49" s="2">
        <v>0.98899999999999999</v>
      </c>
      <c r="C49" s="2">
        <v>0.995</v>
      </c>
      <c r="D49" s="2">
        <v>0.89400000000000002</v>
      </c>
      <c r="E49" s="2">
        <v>0.98699999999999999</v>
      </c>
      <c r="F49">
        <f t="shared" si="2"/>
        <v>0.95199999999999996</v>
      </c>
      <c r="G49">
        <f t="shared" si="3"/>
        <v>0.98699999999999999</v>
      </c>
      <c r="H49">
        <f t="shared" si="4"/>
        <v>0.89300000000000002</v>
      </c>
      <c r="I49">
        <f t="shared" si="5"/>
        <v>0.98699999999999999</v>
      </c>
      <c r="J49" s="1">
        <f t="shared" si="6"/>
        <v>25.72972972972973</v>
      </c>
      <c r="K49" s="1">
        <f t="shared" si="7"/>
        <v>123.375</v>
      </c>
      <c r="L49" s="1">
        <f t="shared" si="8"/>
        <v>893</v>
      </c>
      <c r="M49" s="1" t="e">
        <f t="shared" si="9"/>
        <v>#DIV/0!</v>
      </c>
    </row>
    <row r="50" spans="1:13">
      <c r="A50" t="s">
        <v>121</v>
      </c>
      <c r="B50" s="2">
        <v>0.98899999999999999</v>
      </c>
      <c r="C50" s="2">
        <v>0.99399999999999999</v>
      </c>
      <c r="D50" s="2">
        <v>0.86799999999999999</v>
      </c>
      <c r="E50" s="2">
        <v>0.98699999999999999</v>
      </c>
      <c r="F50">
        <f t="shared" si="2"/>
        <v>0.95199999999999996</v>
      </c>
      <c r="G50">
        <f t="shared" si="3"/>
        <v>0.98599999999999999</v>
      </c>
      <c r="H50">
        <f t="shared" si="4"/>
        <v>0.86699999999999999</v>
      </c>
      <c r="I50">
        <f t="shared" si="5"/>
        <v>0.98699999999999999</v>
      </c>
      <c r="J50" s="1">
        <f t="shared" si="6"/>
        <v>25.72972972972973</v>
      </c>
      <c r="K50" s="1">
        <f t="shared" si="7"/>
        <v>123.25</v>
      </c>
      <c r="L50" s="1">
        <f t="shared" si="8"/>
        <v>867</v>
      </c>
      <c r="M50" s="1" t="e">
        <f t="shared" si="9"/>
        <v>#DIV/0!</v>
      </c>
    </row>
    <row r="51" spans="1:13">
      <c r="A51" t="s">
        <v>133</v>
      </c>
      <c r="B51" s="2">
        <v>0.98899999999999999</v>
      </c>
      <c r="C51" s="2">
        <v>0.99399999999999999</v>
      </c>
      <c r="D51" s="2">
        <v>0.86799999999999999</v>
      </c>
      <c r="E51" s="2">
        <v>0.98699999999999999</v>
      </c>
      <c r="F51">
        <f t="shared" si="2"/>
        <v>0.95199999999999996</v>
      </c>
      <c r="G51">
        <f t="shared" si="3"/>
        <v>0.98599999999999999</v>
      </c>
      <c r="H51">
        <f t="shared" si="4"/>
        <v>0.86699999999999999</v>
      </c>
      <c r="I51">
        <f t="shared" si="5"/>
        <v>0.98699999999999999</v>
      </c>
      <c r="J51" s="1">
        <f t="shared" si="6"/>
        <v>25.72972972972973</v>
      </c>
      <c r="K51" s="1">
        <f t="shared" si="7"/>
        <v>123.25</v>
      </c>
      <c r="L51" s="1">
        <f t="shared" si="8"/>
        <v>867</v>
      </c>
      <c r="M51" s="1" t="e">
        <f t="shared" si="9"/>
        <v>#DIV/0!</v>
      </c>
    </row>
    <row r="52" spans="1:13">
      <c r="A52" t="s">
        <v>145</v>
      </c>
      <c r="B52" s="2">
        <v>0.98899999999999999</v>
      </c>
      <c r="C52" s="2">
        <v>0.99399999999999999</v>
      </c>
      <c r="D52" s="2">
        <v>0.86799999999999999</v>
      </c>
      <c r="E52" s="2">
        <v>0.98699999999999999</v>
      </c>
      <c r="F52">
        <f t="shared" si="2"/>
        <v>0.95199999999999996</v>
      </c>
      <c r="G52">
        <f t="shared" si="3"/>
        <v>0.98599999999999999</v>
      </c>
      <c r="H52">
        <f t="shared" si="4"/>
        <v>0.86699999999999999</v>
      </c>
      <c r="I52">
        <f t="shared" si="5"/>
        <v>0.98699999999999999</v>
      </c>
      <c r="J52" s="1">
        <f t="shared" si="6"/>
        <v>25.72972972972973</v>
      </c>
      <c r="K52" s="1">
        <f t="shared" si="7"/>
        <v>123.25</v>
      </c>
      <c r="L52" s="1">
        <f t="shared" si="8"/>
        <v>867</v>
      </c>
      <c r="M52" s="1" t="e">
        <f t="shared" si="9"/>
        <v>#DIV/0!</v>
      </c>
    </row>
    <row r="53" spans="1:13">
      <c r="A53" t="s">
        <v>115</v>
      </c>
      <c r="B53" s="2">
        <v>0.98799999999999999</v>
      </c>
      <c r="C53" s="2">
        <v>0.99399999999999999</v>
      </c>
      <c r="D53" s="2">
        <v>0.86699999999999999</v>
      </c>
      <c r="E53" s="2">
        <v>0.98699999999999999</v>
      </c>
      <c r="F53">
        <f t="shared" si="2"/>
        <v>0.95099999999999996</v>
      </c>
      <c r="G53">
        <f t="shared" si="3"/>
        <v>0.98599999999999999</v>
      </c>
      <c r="H53">
        <f t="shared" si="4"/>
        <v>0.86599999999999999</v>
      </c>
      <c r="I53">
        <f t="shared" si="5"/>
        <v>0.98699999999999999</v>
      </c>
      <c r="J53" s="1">
        <f t="shared" si="6"/>
        <v>25.702702702702702</v>
      </c>
      <c r="K53" s="1">
        <f t="shared" si="7"/>
        <v>123.25</v>
      </c>
      <c r="L53" s="1">
        <f t="shared" si="8"/>
        <v>866</v>
      </c>
      <c r="M53" s="1" t="e">
        <f t="shared" si="9"/>
        <v>#DIV/0!</v>
      </c>
    </row>
    <row r="54" spans="1:13">
      <c r="A54" t="s">
        <v>127</v>
      </c>
      <c r="B54" s="2">
        <v>0.98799999999999999</v>
      </c>
      <c r="C54" s="2">
        <v>0.99399999999999999</v>
      </c>
      <c r="D54" s="2">
        <v>0.86699999999999999</v>
      </c>
      <c r="E54" s="2">
        <v>0.98699999999999999</v>
      </c>
      <c r="F54">
        <f t="shared" si="2"/>
        <v>0.95099999999999996</v>
      </c>
      <c r="G54">
        <f t="shared" si="3"/>
        <v>0.98599999999999999</v>
      </c>
      <c r="H54">
        <f t="shared" si="4"/>
        <v>0.86599999999999999</v>
      </c>
      <c r="I54">
        <f t="shared" si="5"/>
        <v>0.98699999999999999</v>
      </c>
      <c r="J54" s="1">
        <f t="shared" si="6"/>
        <v>25.702702702702702</v>
      </c>
      <c r="K54" s="1">
        <f t="shared" si="7"/>
        <v>123.25</v>
      </c>
      <c r="L54" s="1">
        <f t="shared" si="8"/>
        <v>866</v>
      </c>
      <c r="M54" s="1" t="e">
        <f t="shared" si="9"/>
        <v>#DIV/0!</v>
      </c>
    </row>
    <row r="55" spans="1:13">
      <c r="A55" t="s">
        <v>139</v>
      </c>
      <c r="B55" s="2">
        <v>0.98799999999999999</v>
      </c>
      <c r="C55" s="2">
        <v>0.99399999999999999</v>
      </c>
      <c r="D55" s="2">
        <v>0.86699999999999999</v>
      </c>
      <c r="E55" s="2">
        <v>0.98699999999999999</v>
      </c>
      <c r="F55">
        <f t="shared" si="2"/>
        <v>0.95099999999999996</v>
      </c>
      <c r="G55">
        <f t="shared" si="3"/>
        <v>0.98599999999999999</v>
      </c>
      <c r="H55">
        <f t="shared" si="4"/>
        <v>0.86599999999999999</v>
      </c>
      <c r="I55">
        <f t="shared" si="5"/>
        <v>0.98699999999999999</v>
      </c>
      <c r="J55" s="1">
        <f t="shared" si="6"/>
        <v>25.702702702702702</v>
      </c>
      <c r="K55" s="1">
        <f t="shared" si="7"/>
        <v>123.25</v>
      </c>
      <c r="L55" s="1">
        <f t="shared" si="8"/>
        <v>866</v>
      </c>
      <c r="M55" s="1" t="e">
        <f t="shared" si="9"/>
        <v>#DIV/0!</v>
      </c>
    </row>
    <row r="56" spans="1:13">
      <c r="A56" t="s">
        <v>53</v>
      </c>
      <c r="B56" s="2">
        <v>0.98699999999999999</v>
      </c>
      <c r="C56" s="2">
        <v>0.99399999999999999</v>
      </c>
      <c r="D56" s="2">
        <v>0.82099999999999995</v>
      </c>
      <c r="E56" s="2">
        <v>0.98699999999999999</v>
      </c>
      <c r="F56">
        <f t="shared" si="2"/>
        <v>0.95</v>
      </c>
      <c r="G56">
        <f t="shared" si="3"/>
        <v>0.98599999999999999</v>
      </c>
      <c r="H56">
        <f t="shared" si="4"/>
        <v>0.82</v>
      </c>
      <c r="I56">
        <f t="shared" si="5"/>
        <v>0.98699999999999999</v>
      </c>
      <c r="J56" s="1">
        <f t="shared" si="6"/>
        <v>25.675675675675677</v>
      </c>
      <c r="K56" s="1">
        <f t="shared" si="7"/>
        <v>123.25</v>
      </c>
      <c r="L56" s="1">
        <f t="shared" si="8"/>
        <v>819.99999999999989</v>
      </c>
      <c r="M56" s="1" t="e">
        <f t="shared" si="9"/>
        <v>#DIV/0!</v>
      </c>
    </row>
    <row r="57" spans="1:13">
      <c r="A57" t="s">
        <v>87</v>
      </c>
      <c r="B57" s="2">
        <v>0.98699999999999999</v>
      </c>
      <c r="C57" s="2">
        <v>0.99399999999999999</v>
      </c>
      <c r="D57" s="2">
        <v>0.81699999999999995</v>
      </c>
      <c r="E57" s="2">
        <v>0.98699999999999999</v>
      </c>
      <c r="F57">
        <f t="shared" si="2"/>
        <v>0.95</v>
      </c>
      <c r="G57">
        <f t="shared" si="3"/>
        <v>0.98599999999999999</v>
      </c>
      <c r="H57">
        <f t="shared" si="4"/>
        <v>0.81599999999999995</v>
      </c>
      <c r="I57">
        <f t="shared" si="5"/>
        <v>0.98699999999999999</v>
      </c>
      <c r="J57" s="1">
        <f t="shared" si="6"/>
        <v>25.675675675675677</v>
      </c>
      <c r="K57" s="1">
        <f t="shared" si="7"/>
        <v>123.25</v>
      </c>
      <c r="L57" s="1">
        <f t="shared" si="8"/>
        <v>815.99999999999989</v>
      </c>
      <c r="M57" s="1" t="e">
        <f t="shared" si="9"/>
        <v>#DIV/0!</v>
      </c>
    </row>
    <row r="58" spans="1:13">
      <c r="A58" t="s">
        <v>95</v>
      </c>
      <c r="B58" s="2">
        <v>0.98699999999999999</v>
      </c>
      <c r="C58" s="2">
        <v>0.99399999999999999</v>
      </c>
      <c r="D58" s="2">
        <v>0.81899999999999995</v>
      </c>
      <c r="E58" s="2">
        <v>0.98699999999999999</v>
      </c>
      <c r="F58">
        <f t="shared" si="2"/>
        <v>0.95</v>
      </c>
      <c r="G58">
        <f t="shared" si="3"/>
        <v>0.98599999999999999</v>
      </c>
      <c r="H58">
        <f t="shared" si="4"/>
        <v>0.81799999999999995</v>
      </c>
      <c r="I58">
        <f t="shared" si="5"/>
        <v>0.98699999999999999</v>
      </c>
      <c r="J58" s="1">
        <f t="shared" si="6"/>
        <v>25.675675675675677</v>
      </c>
      <c r="K58" s="1">
        <f t="shared" si="7"/>
        <v>123.25</v>
      </c>
      <c r="L58" s="1">
        <f t="shared" si="8"/>
        <v>817.99999999999989</v>
      </c>
      <c r="M58" s="1" t="e">
        <f t="shared" si="9"/>
        <v>#DIV/0!</v>
      </c>
    </row>
    <row r="59" spans="1:13">
      <c r="A59" t="s">
        <v>107</v>
      </c>
      <c r="B59" s="2">
        <v>0.98699999999999999</v>
      </c>
      <c r="C59" s="2">
        <v>0.99299999999999999</v>
      </c>
      <c r="D59" s="2">
        <v>0.78100000000000003</v>
      </c>
      <c r="E59" s="2">
        <v>0.98699999999999999</v>
      </c>
      <c r="F59">
        <f t="shared" si="2"/>
        <v>0.95</v>
      </c>
      <c r="G59">
        <f t="shared" si="3"/>
        <v>0.98499999999999999</v>
      </c>
      <c r="H59">
        <f t="shared" si="4"/>
        <v>0.78</v>
      </c>
      <c r="I59">
        <f t="shared" si="5"/>
        <v>0.98699999999999999</v>
      </c>
      <c r="J59" s="1">
        <f t="shared" si="6"/>
        <v>25.675675675675677</v>
      </c>
      <c r="K59" s="1">
        <f t="shared" si="7"/>
        <v>123.125</v>
      </c>
      <c r="L59" s="1">
        <f t="shared" si="8"/>
        <v>780</v>
      </c>
      <c r="M59" s="1" t="e">
        <f t="shared" si="9"/>
        <v>#DIV/0!</v>
      </c>
    </row>
    <row r="60" spans="1:13">
      <c r="A60" t="s">
        <v>49</v>
      </c>
      <c r="B60" s="2">
        <v>0.98699999999999999</v>
      </c>
      <c r="C60" s="2">
        <v>0.99399999999999999</v>
      </c>
      <c r="D60" s="2">
        <v>0.84</v>
      </c>
      <c r="E60" s="2">
        <v>0.98599999999999999</v>
      </c>
      <c r="F60">
        <f t="shared" si="2"/>
        <v>0.95</v>
      </c>
      <c r="G60">
        <f t="shared" si="3"/>
        <v>0.98599999999999999</v>
      </c>
      <c r="H60">
        <f t="shared" si="4"/>
        <v>0.83899999999999997</v>
      </c>
      <c r="I60">
        <f t="shared" si="5"/>
        <v>0.98599999999999999</v>
      </c>
      <c r="J60" s="1">
        <f t="shared" si="6"/>
        <v>25.675675675675677</v>
      </c>
      <c r="K60" s="1">
        <f t="shared" si="7"/>
        <v>123.25</v>
      </c>
      <c r="L60" s="1">
        <f t="shared" si="8"/>
        <v>839</v>
      </c>
      <c r="M60" s="1" t="e">
        <f t="shared" si="9"/>
        <v>#DIV/0!</v>
      </c>
    </row>
    <row r="61" spans="1:13">
      <c r="A61" t="s">
        <v>58</v>
      </c>
      <c r="B61" s="2">
        <v>0.98599999999999999</v>
      </c>
      <c r="C61" s="2">
        <v>0.99399999999999999</v>
      </c>
      <c r="D61" s="2">
        <v>0.81200000000000006</v>
      </c>
      <c r="E61" s="2">
        <v>0.98499999999999999</v>
      </c>
      <c r="F61">
        <f t="shared" si="2"/>
        <v>0.94899999999999995</v>
      </c>
      <c r="G61">
        <f t="shared" si="3"/>
        <v>0.98599999999999999</v>
      </c>
      <c r="H61">
        <f t="shared" si="4"/>
        <v>0.81100000000000005</v>
      </c>
      <c r="I61">
        <f t="shared" si="5"/>
        <v>0.98499999999999999</v>
      </c>
      <c r="J61" s="1">
        <f t="shared" si="6"/>
        <v>25.648648648648649</v>
      </c>
      <c r="K61" s="1">
        <f t="shared" si="7"/>
        <v>123.25</v>
      </c>
      <c r="L61" s="1">
        <f t="shared" si="8"/>
        <v>811</v>
      </c>
      <c r="M61" s="1" t="e">
        <f t="shared" si="9"/>
        <v>#DIV/0!</v>
      </c>
    </row>
    <row r="62" spans="1:13">
      <c r="A62" t="s">
        <v>86</v>
      </c>
      <c r="B62" s="2">
        <v>0.98599999999999999</v>
      </c>
      <c r="C62" s="2">
        <v>0.99299999999999999</v>
      </c>
      <c r="D62" s="2">
        <v>0.88100000000000001</v>
      </c>
      <c r="E62" s="2">
        <v>0.98499999999999999</v>
      </c>
      <c r="F62">
        <f t="shared" si="2"/>
        <v>0.94899999999999995</v>
      </c>
      <c r="G62">
        <f t="shared" si="3"/>
        <v>0.98499999999999999</v>
      </c>
      <c r="H62">
        <f t="shared" si="4"/>
        <v>0.88</v>
      </c>
      <c r="I62">
        <f t="shared" si="5"/>
        <v>0.98499999999999999</v>
      </c>
      <c r="J62" s="1">
        <f t="shared" si="6"/>
        <v>25.648648648648649</v>
      </c>
      <c r="K62" s="1">
        <f t="shared" si="7"/>
        <v>123.125</v>
      </c>
      <c r="L62" s="1">
        <f t="shared" si="8"/>
        <v>880</v>
      </c>
      <c r="M62" s="1" t="e">
        <f t="shared" si="9"/>
        <v>#DIV/0!</v>
      </c>
    </row>
    <row r="63" spans="1:13">
      <c r="A63" t="s">
        <v>79</v>
      </c>
      <c r="B63" s="2">
        <v>0.98499999999999999</v>
      </c>
      <c r="C63" s="2">
        <v>0.99299999999999999</v>
      </c>
      <c r="D63" s="2">
        <v>0.78800000000000003</v>
      </c>
      <c r="E63" s="2">
        <v>0.98499999999999999</v>
      </c>
      <c r="F63">
        <f t="shared" si="2"/>
        <v>0.94799999999999995</v>
      </c>
      <c r="G63">
        <f t="shared" si="3"/>
        <v>0.98499999999999999</v>
      </c>
      <c r="H63">
        <f t="shared" si="4"/>
        <v>0.78700000000000003</v>
      </c>
      <c r="I63">
        <f t="shared" si="5"/>
        <v>0.98499999999999999</v>
      </c>
      <c r="J63" s="1">
        <f t="shared" si="6"/>
        <v>25.621621621621621</v>
      </c>
      <c r="K63" s="1">
        <f t="shared" si="7"/>
        <v>123.125</v>
      </c>
      <c r="L63" s="1">
        <f t="shared" si="8"/>
        <v>787</v>
      </c>
      <c r="M63" s="1" t="e">
        <f t="shared" si="9"/>
        <v>#DIV/0!</v>
      </c>
    </row>
    <row r="64" spans="1:13">
      <c r="A64" t="s">
        <v>98</v>
      </c>
      <c r="B64" s="2">
        <v>0.98499999999999999</v>
      </c>
      <c r="C64" s="2">
        <v>0.99299999999999999</v>
      </c>
      <c r="D64" s="2">
        <v>0.878</v>
      </c>
      <c r="E64" s="2">
        <v>0.98499999999999999</v>
      </c>
      <c r="F64">
        <f t="shared" si="2"/>
        <v>0.94799999999999995</v>
      </c>
      <c r="G64">
        <f t="shared" si="3"/>
        <v>0.98499999999999999</v>
      </c>
      <c r="H64">
        <f t="shared" si="4"/>
        <v>0.877</v>
      </c>
      <c r="I64">
        <f t="shared" si="5"/>
        <v>0.98499999999999999</v>
      </c>
      <c r="J64" s="1">
        <f t="shared" si="6"/>
        <v>25.621621621621621</v>
      </c>
      <c r="K64" s="1">
        <f t="shared" si="7"/>
        <v>123.125</v>
      </c>
      <c r="L64" s="1">
        <f t="shared" si="8"/>
        <v>877</v>
      </c>
      <c r="M64" s="1" t="e">
        <f t="shared" si="9"/>
        <v>#DIV/0!</v>
      </c>
    </row>
    <row r="65" spans="1:13">
      <c r="A65" t="s">
        <v>102</v>
      </c>
      <c r="B65" s="2">
        <v>0.98499999999999999</v>
      </c>
      <c r="C65" s="2">
        <v>0.99299999999999999</v>
      </c>
      <c r="D65" s="2">
        <v>0.878</v>
      </c>
      <c r="E65" s="2">
        <v>0.98499999999999999</v>
      </c>
      <c r="F65">
        <f t="shared" si="2"/>
        <v>0.94799999999999995</v>
      </c>
      <c r="G65">
        <f t="shared" si="3"/>
        <v>0.98499999999999999</v>
      </c>
      <c r="H65">
        <f t="shared" si="4"/>
        <v>0.877</v>
      </c>
      <c r="I65">
        <f t="shared" si="5"/>
        <v>0.98499999999999999</v>
      </c>
      <c r="J65" s="1">
        <f t="shared" si="6"/>
        <v>25.621621621621621</v>
      </c>
      <c r="K65" s="1">
        <f t="shared" si="7"/>
        <v>123.125</v>
      </c>
      <c r="L65" s="1">
        <f t="shared" si="8"/>
        <v>877</v>
      </c>
      <c r="M65" s="1" t="e">
        <f t="shared" si="9"/>
        <v>#DIV/0!</v>
      </c>
    </row>
    <row r="66" spans="1:13">
      <c r="A66" t="s">
        <v>90</v>
      </c>
      <c r="B66" s="2">
        <v>0.98599999999999999</v>
      </c>
      <c r="C66" s="2">
        <v>0.99299999999999999</v>
      </c>
      <c r="D66" s="2">
        <v>0.89900000000000002</v>
      </c>
      <c r="E66" s="2">
        <v>0.98399999999999999</v>
      </c>
      <c r="F66">
        <f t="shared" si="2"/>
        <v>0.94899999999999995</v>
      </c>
      <c r="G66">
        <f t="shared" si="3"/>
        <v>0.98499999999999999</v>
      </c>
      <c r="H66">
        <f t="shared" si="4"/>
        <v>0.89800000000000002</v>
      </c>
      <c r="I66">
        <f t="shared" si="5"/>
        <v>0.98399999999999999</v>
      </c>
      <c r="J66" s="1">
        <f t="shared" si="6"/>
        <v>25.648648648648649</v>
      </c>
      <c r="K66" s="1">
        <f t="shared" si="7"/>
        <v>123.125</v>
      </c>
      <c r="L66" s="1">
        <f t="shared" si="8"/>
        <v>898</v>
      </c>
      <c r="M66" s="1" t="e">
        <f t="shared" si="9"/>
        <v>#DIV/0!</v>
      </c>
    </row>
    <row r="67" spans="1:13">
      <c r="A67" t="s">
        <v>99</v>
      </c>
      <c r="B67" s="2">
        <v>0.98399999999999999</v>
      </c>
      <c r="C67" s="2">
        <v>0.98899999999999999</v>
      </c>
      <c r="D67" s="2">
        <v>0.82299999999999995</v>
      </c>
      <c r="E67" s="2">
        <v>0.98399999999999999</v>
      </c>
      <c r="F67">
        <f t="shared" ref="F67:F130" si="10">B67-P$2</f>
        <v>0.94699999999999995</v>
      </c>
      <c r="G67">
        <f t="shared" ref="G67:G130" si="11">C67-Q$2</f>
        <v>0.98099999999999998</v>
      </c>
      <c r="H67">
        <f t="shared" ref="H67:H130" si="12">D67-R$2</f>
        <v>0.82199999999999995</v>
      </c>
      <c r="I67">
        <f t="shared" ref="I67:I130" si="13">E67-S$2</f>
        <v>0.98399999999999999</v>
      </c>
      <c r="J67" s="1">
        <f t="shared" ref="J67:J130" si="14">F67/P$2</f>
        <v>25.594594594594593</v>
      </c>
      <c r="K67" s="1">
        <f t="shared" ref="K67:K130" si="15">G67/Q$2</f>
        <v>122.625</v>
      </c>
      <c r="L67" s="1">
        <f t="shared" ref="L67:L130" si="16">H67/R$2</f>
        <v>821.99999999999989</v>
      </c>
      <c r="M67" s="1" t="e">
        <f t="shared" ref="M67:M130" si="17">I67/S$2</f>
        <v>#DIV/0!</v>
      </c>
    </row>
    <row r="68" spans="1:13">
      <c r="A68" t="s">
        <v>103</v>
      </c>
      <c r="B68" s="2">
        <v>0.98299999999999998</v>
      </c>
      <c r="C68" s="2">
        <v>0.99199999999999999</v>
      </c>
      <c r="D68" s="2">
        <v>0.79700000000000004</v>
      </c>
      <c r="E68" s="2">
        <v>0.98299999999999998</v>
      </c>
      <c r="F68">
        <f t="shared" si="10"/>
        <v>0.94599999999999995</v>
      </c>
      <c r="G68">
        <f t="shared" si="11"/>
        <v>0.98399999999999999</v>
      </c>
      <c r="H68">
        <f t="shared" si="12"/>
        <v>0.79600000000000004</v>
      </c>
      <c r="I68">
        <f t="shared" si="13"/>
        <v>0.98299999999999998</v>
      </c>
      <c r="J68" s="1">
        <f t="shared" si="14"/>
        <v>25.567567567567568</v>
      </c>
      <c r="K68" s="1">
        <f t="shared" si="15"/>
        <v>123</v>
      </c>
      <c r="L68" s="1">
        <f t="shared" si="16"/>
        <v>796</v>
      </c>
      <c r="M68" s="1" t="e">
        <f t="shared" si="17"/>
        <v>#DIV/0!</v>
      </c>
    </row>
    <row r="69" spans="1:13">
      <c r="A69" t="s">
        <v>47</v>
      </c>
      <c r="B69" s="2">
        <v>0.98099999999999998</v>
      </c>
      <c r="C69" s="2">
        <v>0.98899999999999999</v>
      </c>
      <c r="D69" s="2">
        <v>0.81899999999999995</v>
      </c>
      <c r="E69" s="2">
        <v>0.98099999999999998</v>
      </c>
      <c r="F69">
        <f t="shared" si="10"/>
        <v>0.94399999999999995</v>
      </c>
      <c r="G69">
        <f t="shared" si="11"/>
        <v>0.98099999999999998</v>
      </c>
      <c r="H69">
        <f t="shared" si="12"/>
        <v>0.81799999999999995</v>
      </c>
      <c r="I69">
        <f t="shared" si="13"/>
        <v>0.98099999999999998</v>
      </c>
      <c r="J69" s="1">
        <f t="shared" si="14"/>
        <v>25.513513513513512</v>
      </c>
      <c r="K69" s="1">
        <f t="shared" si="15"/>
        <v>122.625</v>
      </c>
      <c r="L69" s="1">
        <f t="shared" si="16"/>
        <v>817.99999999999989</v>
      </c>
      <c r="M69" s="1" t="e">
        <f t="shared" si="17"/>
        <v>#DIV/0!</v>
      </c>
    </row>
    <row r="70" spans="1:13">
      <c r="A70" t="s">
        <v>135</v>
      </c>
      <c r="B70" s="2">
        <v>0.98</v>
      </c>
      <c r="C70" s="2">
        <v>0.99</v>
      </c>
      <c r="D70" s="2">
        <v>0.80400000000000005</v>
      </c>
      <c r="E70" s="2">
        <v>0.98</v>
      </c>
      <c r="F70">
        <f t="shared" si="10"/>
        <v>0.94299999999999995</v>
      </c>
      <c r="G70">
        <f t="shared" si="11"/>
        <v>0.98199999999999998</v>
      </c>
      <c r="H70">
        <f t="shared" si="12"/>
        <v>0.80300000000000005</v>
      </c>
      <c r="I70">
        <f t="shared" si="13"/>
        <v>0.98</v>
      </c>
      <c r="J70" s="1">
        <f t="shared" si="14"/>
        <v>25.486486486486488</v>
      </c>
      <c r="K70" s="1">
        <f t="shared" si="15"/>
        <v>122.75</v>
      </c>
      <c r="L70" s="1">
        <f t="shared" si="16"/>
        <v>803</v>
      </c>
      <c r="M70" s="1" t="e">
        <f t="shared" si="17"/>
        <v>#DIV/0!</v>
      </c>
    </row>
    <row r="71" spans="1:13">
      <c r="A71" t="s">
        <v>83</v>
      </c>
      <c r="B71" s="2">
        <v>0.98</v>
      </c>
      <c r="C71" s="2">
        <v>0.99199999999999999</v>
      </c>
      <c r="D71" s="2">
        <v>0.79</v>
      </c>
      <c r="E71" s="2">
        <v>0.97899999999999998</v>
      </c>
      <c r="F71">
        <f t="shared" si="10"/>
        <v>0.94299999999999995</v>
      </c>
      <c r="G71">
        <f t="shared" si="11"/>
        <v>0.98399999999999999</v>
      </c>
      <c r="H71">
        <f t="shared" si="12"/>
        <v>0.78900000000000003</v>
      </c>
      <c r="I71">
        <f t="shared" si="13"/>
        <v>0.97899999999999998</v>
      </c>
      <c r="J71" s="1">
        <f t="shared" si="14"/>
        <v>25.486486486486488</v>
      </c>
      <c r="K71" s="1">
        <f t="shared" si="15"/>
        <v>123</v>
      </c>
      <c r="L71" s="1">
        <f t="shared" si="16"/>
        <v>789</v>
      </c>
      <c r="M71" s="1" t="e">
        <f t="shared" si="17"/>
        <v>#DIV/0!</v>
      </c>
    </row>
    <row r="72" spans="1:13">
      <c r="A72" t="s">
        <v>57</v>
      </c>
      <c r="B72" s="2">
        <v>0.97899999999999998</v>
      </c>
      <c r="C72" s="2">
        <v>0.98799999999999999</v>
      </c>
      <c r="D72" s="2">
        <v>0.80900000000000005</v>
      </c>
      <c r="E72" s="2">
        <v>0.97899999999999998</v>
      </c>
      <c r="F72">
        <f t="shared" si="10"/>
        <v>0.94199999999999995</v>
      </c>
      <c r="G72">
        <f t="shared" si="11"/>
        <v>0.98</v>
      </c>
      <c r="H72">
        <f t="shared" si="12"/>
        <v>0.80800000000000005</v>
      </c>
      <c r="I72">
        <f t="shared" si="13"/>
        <v>0.97899999999999998</v>
      </c>
      <c r="J72" s="1">
        <f t="shared" si="14"/>
        <v>25.45945945945946</v>
      </c>
      <c r="K72" s="1">
        <f t="shared" si="15"/>
        <v>122.5</v>
      </c>
      <c r="L72" s="1">
        <f t="shared" si="16"/>
        <v>808</v>
      </c>
      <c r="M72" s="1" t="e">
        <f t="shared" si="17"/>
        <v>#DIV/0!</v>
      </c>
    </row>
    <row r="73" spans="1:13">
      <c r="A73" t="s">
        <v>111</v>
      </c>
      <c r="B73" s="2">
        <v>0.97899999999999998</v>
      </c>
      <c r="C73" s="2">
        <v>0.98399999999999999</v>
      </c>
      <c r="D73" s="2">
        <v>0.78600000000000003</v>
      </c>
      <c r="E73" s="2">
        <v>0.97899999999999998</v>
      </c>
      <c r="F73">
        <f t="shared" si="10"/>
        <v>0.94199999999999995</v>
      </c>
      <c r="G73">
        <f t="shared" si="11"/>
        <v>0.97599999999999998</v>
      </c>
      <c r="H73">
        <f t="shared" si="12"/>
        <v>0.78500000000000003</v>
      </c>
      <c r="I73">
        <f t="shared" si="13"/>
        <v>0.97899999999999998</v>
      </c>
      <c r="J73" s="1">
        <f t="shared" si="14"/>
        <v>25.45945945945946</v>
      </c>
      <c r="K73" s="1">
        <f t="shared" si="15"/>
        <v>122</v>
      </c>
      <c r="L73" s="1">
        <f t="shared" si="16"/>
        <v>785</v>
      </c>
      <c r="M73" s="1" t="e">
        <f t="shared" si="17"/>
        <v>#DIV/0!</v>
      </c>
    </row>
    <row r="74" spans="1:13">
      <c r="A74" t="s">
        <v>66</v>
      </c>
      <c r="B74" s="2">
        <v>0.98</v>
      </c>
      <c r="C74" s="2">
        <v>0.99199999999999999</v>
      </c>
      <c r="D74" s="2">
        <v>0.755</v>
      </c>
      <c r="E74" s="2">
        <v>0.97799999999999998</v>
      </c>
      <c r="F74">
        <f t="shared" si="10"/>
        <v>0.94299999999999995</v>
      </c>
      <c r="G74">
        <f t="shared" si="11"/>
        <v>0.98399999999999999</v>
      </c>
      <c r="H74">
        <f t="shared" si="12"/>
        <v>0.754</v>
      </c>
      <c r="I74">
        <f t="shared" si="13"/>
        <v>0.97799999999999998</v>
      </c>
      <c r="J74" s="1">
        <f t="shared" si="14"/>
        <v>25.486486486486488</v>
      </c>
      <c r="K74" s="1">
        <f t="shared" si="15"/>
        <v>123</v>
      </c>
      <c r="L74" s="1">
        <f t="shared" si="16"/>
        <v>754</v>
      </c>
      <c r="M74" s="1" t="e">
        <f t="shared" si="17"/>
        <v>#DIV/0!</v>
      </c>
    </row>
    <row r="75" spans="1:13">
      <c r="A75" t="s">
        <v>129</v>
      </c>
      <c r="B75" s="2">
        <v>0.97899999999999998</v>
      </c>
      <c r="C75" s="2">
        <v>0.98899999999999999</v>
      </c>
      <c r="D75" s="2">
        <v>0.80400000000000005</v>
      </c>
      <c r="E75" s="2">
        <v>0.97799999999999998</v>
      </c>
      <c r="F75">
        <f t="shared" si="10"/>
        <v>0.94199999999999995</v>
      </c>
      <c r="G75">
        <f t="shared" si="11"/>
        <v>0.98099999999999998</v>
      </c>
      <c r="H75">
        <f t="shared" si="12"/>
        <v>0.80300000000000005</v>
      </c>
      <c r="I75">
        <f t="shared" si="13"/>
        <v>0.97799999999999998</v>
      </c>
      <c r="J75" s="1">
        <f t="shared" si="14"/>
        <v>25.45945945945946</v>
      </c>
      <c r="K75" s="1">
        <f t="shared" si="15"/>
        <v>122.625</v>
      </c>
      <c r="L75" s="1">
        <f t="shared" si="16"/>
        <v>803</v>
      </c>
      <c r="M75" s="1" t="e">
        <f t="shared" si="17"/>
        <v>#DIV/0!</v>
      </c>
    </row>
    <row r="76" spans="1:13">
      <c r="A76" t="s">
        <v>74</v>
      </c>
      <c r="B76" s="2">
        <v>0.97899999999999998</v>
      </c>
      <c r="C76" s="2">
        <v>0.99199999999999999</v>
      </c>
      <c r="D76" s="2">
        <v>0.77600000000000002</v>
      </c>
      <c r="E76" s="2">
        <v>0.97599999999999998</v>
      </c>
      <c r="F76">
        <f t="shared" si="10"/>
        <v>0.94199999999999995</v>
      </c>
      <c r="G76">
        <f t="shared" si="11"/>
        <v>0.98399999999999999</v>
      </c>
      <c r="H76">
        <f t="shared" si="12"/>
        <v>0.77500000000000002</v>
      </c>
      <c r="I76">
        <f t="shared" si="13"/>
        <v>0.97599999999999998</v>
      </c>
      <c r="J76" s="1">
        <f t="shared" si="14"/>
        <v>25.45945945945946</v>
      </c>
      <c r="K76" s="1">
        <f t="shared" si="15"/>
        <v>123</v>
      </c>
      <c r="L76" s="1">
        <f t="shared" si="16"/>
        <v>775</v>
      </c>
      <c r="M76" s="1" t="e">
        <f t="shared" si="17"/>
        <v>#DIV/0!</v>
      </c>
    </row>
    <row r="77" spans="1:13">
      <c r="A77" t="s">
        <v>70</v>
      </c>
      <c r="B77" s="2">
        <v>0.97799999999999998</v>
      </c>
      <c r="C77" s="2">
        <v>0.99</v>
      </c>
      <c r="D77" s="2">
        <v>0.748</v>
      </c>
      <c r="E77" s="2">
        <v>0.97499999999999998</v>
      </c>
      <c r="F77">
        <f t="shared" si="10"/>
        <v>0.94099999999999995</v>
      </c>
      <c r="G77">
        <f t="shared" si="11"/>
        <v>0.98199999999999998</v>
      </c>
      <c r="H77">
        <f t="shared" si="12"/>
        <v>0.747</v>
      </c>
      <c r="I77">
        <f t="shared" si="13"/>
        <v>0.97499999999999998</v>
      </c>
      <c r="J77" s="1">
        <f t="shared" si="14"/>
        <v>25.432432432432432</v>
      </c>
      <c r="K77" s="1">
        <f t="shared" si="15"/>
        <v>122.75</v>
      </c>
      <c r="L77" s="1">
        <f t="shared" si="16"/>
        <v>747</v>
      </c>
      <c r="M77" s="1" t="e">
        <f t="shared" si="17"/>
        <v>#DIV/0!</v>
      </c>
    </row>
    <row r="78" spans="1:13">
      <c r="A78" t="s">
        <v>43</v>
      </c>
      <c r="B78" s="2">
        <v>0.97599999999999998</v>
      </c>
      <c r="C78" s="2">
        <v>0.98699999999999999</v>
      </c>
      <c r="D78" s="2">
        <v>0.746</v>
      </c>
      <c r="E78" s="2">
        <v>0.97299999999999998</v>
      </c>
      <c r="F78">
        <f t="shared" si="10"/>
        <v>0.93899999999999995</v>
      </c>
      <c r="G78">
        <f t="shared" si="11"/>
        <v>0.97899999999999998</v>
      </c>
      <c r="H78">
        <f t="shared" si="12"/>
        <v>0.745</v>
      </c>
      <c r="I78">
        <f t="shared" si="13"/>
        <v>0.97299999999999998</v>
      </c>
      <c r="J78" s="1">
        <f t="shared" si="14"/>
        <v>25.378378378378379</v>
      </c>
      <c r="K78" s="1">
        <f t="shared" si="15"/>
        <v>122.375</v>
      </c>
      <c r="L78" s="1">
        <f t="shared" si="16"/>
        <v>745</v>
      </c>
      <c r="M78" s="1" t="e">
        <f t="shared" si="17"/>
        <v>#DIV/0!</v>
      </c>
    </row>
    <row r="79" spans="1:13">
      <c r="A79" t="s">
        <v>55</v>
      </c>
      <c r="B79" s="2">
        <v>0.97399999999999998</v>
      </c>
      <c r="C79" s="2">
        <v>0.98399999999999999</v>
      </c>
      <c r="D79" s="2">
        <v>0.78</v>
      </c>
      <c r="E79" s="2">
        <v>0.97199999999999998</v>
      </c>
      <c r="F79">
        <f t="shared" si="10"/>
        <v>0.93699999999999994</v>
      </c>
      <c r="G79">
        <f t="shared" si="11"/>
        <v>0.97599999999999998</v>
      </c>
      <c r="H79">
        <f t="shared" si="12"/>
        <v>0.77900000000000003</v>
      </c>
      <c r="I79">
        <f t="shared" si="13"/>
        <v>0.97199999999999998</v>
      </c>
      <c r="J79" s="1">
        <f t="shared" si="14"/>
        <v>25.324324324324323</v>
      </c>
      <c r="K79" s="1">
        <f t="shared" si="15"/>
        <v>122</v>
      </c>
      <c r="L79" s="1">
        <f t="shared" si="16"/>
        <v>779</v>
      </c>
      <c r="M79" s="1" t="e">
        <f t="shared" si="17"/>
        <v>#DIV/0!</v>
      </c>
    </row>
    <row r="80" spans="1:13">
      <c r="A80" t="s">
        <v>62</v>
      </c>
      <c r="B80" s="2">
        <v>0.97399999999999998</v>
      </c>
      <c r="C80" s="2">
        <v>0.98799999999999999</v>
      </c>
      <c r="D80" s="2">
        <v>0.72199999999999998</v>
      </c>
      <c r="E80" s="2">
        <v>0.97199999999999998</v>
      </c>
      <c r="F80">
        <f t="shared" si="10"/>
        <v>0.93699999999999994</v>
      </c>
      <c r="G80">
        <f t="shared" si="11"/>
        <v>0.98</v>
      </c>
      <c r="H80">
        <f t="shared" si="12"/>
        <v>0.72099999999999997</v>
      </c>
      <c r="I80">
        <f t="shared" si="13"/>
        <v>0.97199999999999998</v>
      </c>
      <c r="J80" s="1">
        <f t="shared" si="14"/>
        <v>25.324324324324323</v>
      </c>
      <c r="K80" s="1">
        <f t="shared" si="15"/>
        <v>122.5</v>
      </c>
      <c r="L80" s="1">
        <f t="shared" si="16"/>
        <v>721</v>
      </c>
      <c r="M80" s="1" t="e">
        <f t="shared" si="17"/>
        <v>#DIV/0!</v>
      </c>
    </row>
    <row r="81" spans="1:13">
      <c r="A81" t="s">
        <v>11</v>
      </c>
      <c r="B81" s="2">
        <v>0.97299999999999998</v>
      </c>
      <c r="C81" s="2">
        <v>0.98399999999999999</v>
      </c>
      <c r="D81" s="2">
        <v>0.77</v>
      </c>
      <c r="E81" s="2">
        <v>0.97199999999999998</v>
      </c>
      <c r="F81">
        <f t="shared" si="10"/>
        <v>0.93599999999999994</v>
      </c>
      <c r="G81">
        <f t="shared" si="11"/>
        <v>0.97599999999999998</v>
      </c>
      <c r="H81">
        <f t="shared" si="12"/>
        <v>0.76900000000000002</v>
      </c>
      <c r="I81">
        <f t="shared" si="13"/>
        <v>0.97199999999999998</v>
      </c>
      <c r="J81" s="1">
        <f t="shared" si="14"/>
        <v>25.297297297297298</v>
      </c>
      <c r="K81" s="1">
        <f t="shared" si="15"/>
        <v>122</v>
      </c>
      <c r="L81" s="1">
        <f t="shared" si="16"/>
        <v>769</v>
      </c>
      <c r="M81" s="1" t="e">
        <f t="shared" si="17"/>
        <v>#DIV/0!</v>
      </c>
    </row>
    <row r="82" spans="1:13">
      <c r="A82" t="s">
        <v>37</v>
      </c>
      <c r="B82" s="2">
        <v>0.97299999999999998</v>
      </c>
      <c r="C82" s="2">
        <v>0.98899999999999999</v>
      </c>
      <c r="D82" s="2">
        <v>0.753</v>
      </c>
      <c r="E82" s="2">
        <v>0.97099999999999997</v>
      </c>
      <c r="F82">
        <f t="shared" si="10"/>
        <v>0.93599999999999994</v>
      </c>
      <c r="G82">
        <f t="shared" si="11"/>
        <v>0.98099999999999998</v>
      </c>
      <c r="H82">
        <f t="shared" si="12"/>
        <v>0.752</v>
      </c>
      <c r="I82">
        <f t="shared" si="13"/>
        <v>0.97099999999999997</v>
      </c>
      <c r="J82" s="1">
        <f t="shared" si="14"/>
        <v>25.297297297297298</v>
      </c>
      <c r="K82" s="1">
        <f t="shared" si="15"/>
        <v>122.625</v>
      </c>
      <c r="L82" s="1">
        <f t="shared" si="16"/>
        <v>752</v>
      </c>
      <c r="M82" s="1" t="e">
        <f t="shared" si="17"/>
        <v>#DIV/0!</v>
      </c>
    </row>
    <row r="83" spans="1:13">
      <c r="A83" t="s">
        <v>51</v>
      </c>
      <c r="B83" s="2">
        <v>0.96899999999999997</v>
      </c>
      <c r="C83" s="2">
        <v>0.98099999999999998</v>
      </c>
      <c r="D83" s="2">
        <v>0.747</v>
      </c>
      <c r="E83" s="2">
        <v>0.96799999999999997</v>
      </c>
      <c r="F83">
        <f t="shared" si="10"/>
        <v>0.93199999999999994</v>
      </c>
      <c r="G83">
        <f t="shared" si="11"/>
        <v>0.97299999999999998</v>
      </c>
      <c r="H83">
        <f t="shared" si="12"/>
        <v>0.746</v>
      </c>
      <c r="I83">
        <f t="shared" si="13"/>
        <v>0.96799999999999997</v>
      </c>
      <c r="J83" s="1">
        <f t="shared" si="14"/>
        <v>25.189189189189189</v>
      </c>
      <c r="K83" s="1">
        <f t="shared" si="15"/>
        <v>121.625</v>
      </c>
      <c r="L83" s="1">
        <f t="shared" si="16"/>
        <v>746</v>
      </c>
      <c r="M83" s="1" t="e">
        <f t="shared" si="17"/>
        <v>#DIV/0!</v>
      </c>
    </row>
    <row r="84" spans="1:13">
      <c r="A84" t="s">
        <v>147</v>
      </c>
      <c r="B84" s="2">
        <v>0.96599999999999997</v>
      </c>
      <c r="C84" s="2">
        <v>0.97799999999999998</v>
      </c>
      <c r="D84" s="2">
        <v>0.73699999999999999</v>
      </c>
      <c r="E84" s="2">
        <v>0.96599999999999997</v>
      </c>
      <c r="F84">
        <f t="shared" si="10"/>
        <v>0.92899999999999994</v>
      </c>
      <c r="G84">
        <f t="shared" si="11"/>
        <v>0.97</v>
      </c>
      <c r="H84">
        <f t="shared" si="12"/>
        <v>0.73599999999999999</v>
      </c>
      <c r="I84">
        <f t="shared" si="13"/>
        <v>0.96599999999999997</v>
      </c>
      <c r="J84" s="1">
        <f t="shared" si="14"/>
        <v>25.108108108108109</v>
      </c>
      <c r="K84" s="1">
        <f t="shared" si="15"/>
        <v>121.25</v>
      </c>
      <c r="L84" s="1">
        <f t="shared" si="16"/>
        <v>736</v>
      </c>
      <c r="M84" s="1" t="e">
        <f t="shared" si="17"/>
        <v>#DIV/0!</v>
      </c>
    </row>
    <row r="85" spans="1:13">
      <c r="A85" t="s">
        <v>141</v>
      </c>
      <c r="B85" s="2">
        <v>0.96399999999999997</v>
      </c>
      <c r="C85" s="2">
        <v>0.97899999999999998</v>
      </c>
      <c r="D85" s="2">
        <v>0.73499999999999999</v>
      </c>
      <c r="E85" s="2">
        <v>0.96399999999999997</v>
      </c>
      <c r="F85">
        <f t="shared" si="10"/>
        <v>0.92699999999999994</v>
      </c>
      <c r="G85">
        <f t="shared" si="11"/>
        <v>0.97099999999999997</v>
      </c>
      <c r="H85">
        <f t="shared" si="12"/>
        <v>0.73399999999999999</v>
      </c>
      <c r="I85">
        <f t="shared" si="13"/>
        <v>0.96399999999999997</v>
      </c>
      <c r="J85" s="1">
        <f t="shared" si="14"/>
        <v>25.054054054054053</v>
      </c>
      <c r="K85" s="1">
        <f t="shared" si="15"/>
        <v>121.375</v>
      </c>
      <c r="L85" s="1">
        <f t="shared" si="16"/>
        <v>734</v>
      </c>
      <c r="M85" s="1" t="e">
        <f t="shared" si="17"/>
        <v>#DIV/0!</v>
      </c>
    </row>
    <row r="86" spans="1:13">
      <c r="A86" t="s">
        <v>73</v>
      </c>
      <c r="B86" s="2">
        <v>0.96099999999999997</v>
      </c>
      <c r="C86" s="2">
        <v>0.97699999999999998</v>
      </c>
      <c r="D86" s="2">
        <v>0.70099999999999996</v>
      </c>
      <c r="E86" s="2">
        <v>0.95799999999999996</v>
      </c>
      <c r="F86">
        <f t="shared" si="10"/>
        <v>0.92399999999999993</v>
      </c>
      <c r="G86">
        <f t="shared" si="11"/>
        <v>0.96899999999999997</v>
      </c>
      <c r="H86">
        <f t="shared" si="12"/>
        <v>0.7</v>
      </c>
      <c r="I86">
        <f t="shared" si="13"/>
        <v>0.95799999999999996</v>
      </c>
      <c r="J86" s="1">
        <f t="shared" si="14"/>
        <v>24.972972972972972</v>
      </c>
      <c r="K86" s="1">
        <f t="shared" si="15"/>
        <v>121.125</v>
      </c>
      <c r="L86" s="1">
        <f t="shared" si="16"/>
        <v>699.99999999999989</v>
      </c>
      <c r="M86" s="1" t="e">
        <f t="shared" si="17"/>
        <v>#DIV/0!</v>
      </c>
    </row>
    <row r="87" spans="1:13">
      <c r="A87" t="s">
        <v>65</v>
      </c>
      <c r="B87" s="2">
        <v>0.95699999999999996</v>
      </c>
      <c r="C87" s="2">
        <v>0.97699999999999998</v>
      </c>
      <c r="D87" s="2">
        <v>0.68100000000000005</v>
      </c>
      <c r="E87" s="2">
        <v>0.95599999999999996</v>
      </c>
      <c r="F87">
        <f t="shared" si="10"/>
        <v>0.91999999999999993</v>
      </c>
      <c r="G87">
        <f t="shared" si="11"/>
        <v>0.96899999999999997</v>
      </c>
      <c r="H87">
        <f t="shared" si="12"/>
        <v>0.68</v>
      </c>
      <c r="I87">
        <f t="shared" si="13"/>
        <v>0.95599999999999996</v>
      </c>
      <c r="J87" s="1">
        <f t="shared" si="14"/>
        <v>24.864864864864863</v>
      </c>
      <c r="K87" s="1">
        <f t="shared" si="15"/>
        <v>121.125</v>
      </c>
      <c r="L87" s="1">
        <f t="shared" si="16"/>
        <v>680</v>
      </c>
      <c r="M87" s="1" t="e">
        <f t="shared" si="17"/>
        <v>#DIV/0!</v>
      </c>
    </row>
    <row r="88" spans="1:13">
      <c r="A88" t="s">
        <v>69</v>
      </c>
      <c r="B88" s="2">
        <v>0.95699999999999996</v>
      </c>
      <c r="C88" s="2">
        <v>0.97499999999999998</v>
      </c>
      <c r="D88" s="2">
        <v>0.68799999999999994</v>
      </c>
      <c r="E88" s="2">
        <v>0.95599999999999996</v>
      </c>
      <c r="F88">
        <f t="shared" si="10"/>
        <v>0.91999999999999993</v>
      </c>
      <c r="G88">
        <f t="shared" si="11"/>
        <v>0.96699999999999997</v>
      </c>
      <c r="H88">
        <f t="shared" si="12"/>
        <v>0.68699999999999994</v>
      </c>
      <c r="I88">
        <f t="shared" si="13"/>
        <v>0.95599999999999996</v>
      </c>
      <c r="J88" s="1">
        <f t="shared" si="14"/>
        <v>24.864864864864863</v>
      </c>
      <c r="K88" s="1">
        <f t="shared" si="15"/>
        <v>120.875</v>
      </c>
      <c r="L88" s="1">
        <f t="shared" si="16"/>
        <v>686.99999999999989</v>
      </c>
      <c r="M88" s="1" t="e">
        <f t="shared" si="17"/>
        <v>#DIV/0!</v>
      </c>
    </row>
    <row r="89" spans="1:13">
      <c r="A89" t="s">
        <v>122</v>
      </c>
      <c r="B89" s="2">
        <v>0.95699999999999996</v>
      </c>
      <c r="C89" s="2">
        <v>0.97899999999999998</v>
      </c>
      <c r="D89" s="2">
        <v>0.64900000000000002</v>
      </c>
      <c r="E89" s="2">
        <v>0.95599999999999996</v>
      </c>
      <c r="F89">
        <f t="shared" si="10"/>
        <v>0.91999999999999993</v>
      </c>
      <c r="G89">
        <f t="shared" si="11"/>
        <v>0.97099999999999997</v>
      </c>
      <c r="H89">
        <f t="shared" si="12"/>
        <v>0.64800000000000002</v>
      </c>
      <c r="I89">
        <f t="shared" si="13"/>
        <v>0.95599999999999996</v>
      </c>
      <c r="J89" s="1">
        <f t="shared" si="14"/>
        <v>24.864864864864863</v>
      </c>
      <c r="K89" s="1">
        <f t="shared" si="15"/>
        <v>121.375</v>
      </c>
      <c r="L89" s="1">
        <f t="shared" si="16"/>
        <v>648</v>
      </c>
      <c r="M89" s="1" t="e">
        <f t="shared" si="17"/>
        <v>#DIV/0!</v>
      </c>
    </row>
    <row r="90" spans="1:13">
      <c r="A90" t="s">
        <v>116</v>
      </c>
      <c r="B90" s="2">
        <v>0.95199999999999996</v>
      </c>
      <c r="C90" s="2">
        <v>0.98</v>
      </c>
      <c r="D90" s="2">
        <v>0.64900000000000002</v>
      </c>
      <c r="E90" s="2">
        <v>0.95199999999999996</v>
      </c>
      <c r="F90">
        <f t="shared" si="10"/>
        <v>0.91499999999999992</v>
      </c>
      <c r="G90">
        <f t="shared" si="11"/>
        <v>0.97199999999999998</v>
      </c>
      <c r="H90">
        <f t="shared" si="12"/>
        <v>0.64800000000000002</v>
      </c>
      <c r="I90">
        <f t="shared" si="13"/>
        <v>0.95199999999999996</v>
      </c>
      <c r="J90" s="1">
        <f t="shared" si="14"/>
        <v>24.72972972972973</v>
      </c>
      <c r="K90" s="1">
        <f t="shared" si="15"/>
        <v>121.5</v>
      </c>
      <c r="L90" s="1">
        <f t="shared" si="16"/>
        <v>648</v>
      </c>
      <c r="M90" s="1" t="e">
        <f t="shared" si="17"/>
        <v>#DIV/0!</v>
      </c>
    </row>
    <row r="91" spans="1:13">
      <c r="A91" t="s">
        <v>61</v>
      </c>
      <c r="B91" s="2">
        <v>0.94699999999999995</v>
      </c>
      <c r="C91" s="2">
        <v>0.97499999999999998</v>
      </c>
      <c r="D91" s="2">
        <v>0.68400000000000005</v>
      </c>
      <c r="E91" s="2">
        <v>0.94699999999999995</v>
      </c>
      <c r="F91">
        <f t="shared" si="10"/>
        <v>0.90999999999999992</v>
      </c>
      <c r="G91">
        <f t="shared" si="11"/>
        <v>0.96699999999999997</v>
      </c>
      <c r="H91">
        <f t="shared" si="12"/>
        <v>0.68300000000000005</v>
      </c>
      <c r="I91">
        <f t="shared" si="13"/>
        <v>0.94699999999999995</v>
      </c>
      <c r="J91" s="1">
        <f t="shared" si="14"/>
        <v>24.594594594594593</v>
      </c>
      <c r="K91" s="1">
        <f t="shared" si="15"/>
        <v>120.875</v>
      </c>
      <c r="L91" s="1">
        <f t="shared" si="16"/>
        <v>683</v>
      </c>
      <c r="M91" s="1" t="e">
        <f t="shared" si="17"/>
        <v>#DIV/0!</v>
      </c>
    </row>
    <row r="92" spans="1:13">
      <c r="A92" t="s">
        <v>114</v>
      </c>
      <c r="B92" s="2">
        <v>0.93799999999999994</v>
      </c>
      <c r="C92" s="2">
        <v>0.97</v>
      </c>
      <c r="D92" s="2">
        <v>0.63</v>
      </c>
      <c r="E92" s="2">
        <v>0.94</v>
      </c>
      <c r="F92">
        <f t="shared" si="10"/>
        <v>0.90099999999999991</v>
      </c>
      <c r="G92">
        <f t="shared" si="11"/>
        <v>0.96199999999999997</v>
      </c>
      <c r="H92">
        <f t="shared" si="12"/>
        <v>0.629</v>
      </c>
      <c r="I92">
        <f t="shared" si="13"/>
        <v>0.94</v>
      </c>
      <c r="J92" s="1">
        <f t="shared" si="14"/>
        <v>24.351351351351351</v>
      </c>
      <c r="K92" s="1">
        <f t="shared" si="15"/>
        <v>120.25</v>
      </c>
      <c r="L92" s="1">
        <f t="shared" si="16"/>
        <v>629</v>
      </c>
      <c r="M92" s="1" t="e">
        <f t="shared" si="17"/>
        <v>#DIV/0!</v>
      </c>
    </row>
    <row r="93" spans="1:13">
      <c r="A93" t="s">
        <v>119</v>
      </c>
      <c r="B93" s="2">
        <v>0.93799999999999994</v>
      </c>
      <c r="C93" s="2">
        <v>0.96899999999999997</v>
      </c>
      <c r="D93" s="2">
        <v>0.63100000000000001</v>
      </c>
      <c r="E93" s="2">
        <v>0.93700000000000006</v>
      </c>
      <c r="F93">
        <f t="shared" si="10"/>
        <v>0.90099999999999991</v>
      </c>
      <c r="G93">
        <f t="shared" si="11"/>
        <v>0.96099999999999997</v>
      </c>
      <c r="H93">
        <f t="shared" si="12"/>
        <v>0.63</v>
      </c>
      <c r="I93">
        <f t="shared" si="13"/>
        <v>0.93700000000000006</v>
      </c>
      <c r="J93" s="1">
        <f t="shared" si="14"/>
        <v>24.351351351351351</v>
      </c>
      <c r="K93" s="1">
        <f t="shared" si="15"/>
        <v>120.125</v>
      </c>
      <c r="L93" s="1">
        <f t="shared" si="16"/>
        <v>630</v>
      </c>
      <c r="M93" s="1" t="e">
        <f t="shared" si="17"/>
        <v>#DIV/0!</v>
      </c>
    </row>
    <row r="94" spans="1:13">
      <c r="A94" t="s">
        <v>113</v>
      </c>
      <c r="B94" s="2">
        <v>0.92400000000000004</v>
      </c>
      <c r="C94" s="2">
        <v>0.96399999999999997</v>
      </c>
      <c r="D94" s="2">
        <v>0.63500000000000001</v>
      </c>
      <c r="E94" s="2">
        <v>0.92500000000000004</v>
      </c>
      <c r="F94">
        <f t="shared" si="10"/>
        <v>0.88700000000000001</v>
      </c>
      <c r="G94">
        <f t="shared" si="11"/>
        <v>0.95599999999999996</v>
      </c>
      <c r="H94">
        <f t="shared" si="12"/>
        <v>0.63400000000000001</v>
      </c>
      <c r="I94">
        <f t="shared" si="13"/>
        <v>0.92500000000000004</v>
      </c>
      <c r="J94" s="1">
        <f t="shared" si="14"/>
        <v>23.972972972972975</v>
      </c>
      <c r="K94" s="1">
        <f t="shared" si="15"/>
        <v>119.49999999999999</v>
      </c>
      <c r="L94" s="1">
        <f t="shared" si="16"/>
        <v>634</v>
      </c>
      <c r="M94" s="1" t="e">
        <f t="shared" si="17"/>
        <v>#DIV/0!</v>
      </c>
    </row>
    <row r="95" spans="1:13">
      <c r="A95" t="s">
        <v>120</v>
      </c>
      <c r="B95" s="2">
        <v>0.90700000000000003</v>
      </c>
      <c r="C95" s="2">
        <v>0.95</v>
      </c>
      <c r="D95" s="2">
        <v>0.61299999999999999</v>
      </c>
      <c r="E95" s="2">
        <v>0.91</v>
      </c>
      <c r="F95">
        <f t="shared" si="10"/>
        <v>0.87</v>
      </c>
      <c r="G95">
        <f t="shared" si="11"/>
        <v>0.94199999999999995</v>
      </c>
      <c r="H95">
        <f t="shared" si="12"/>
        <v>0.61199999999999999</v>
      </c>
      <c r="I95">
        <f t="shared" si="13"/>
        <v>0.91</v>
      </c>
      <c r="J95" s="1">
        <f t="shared" si="14"/>
        <v>23.513513513513516</v>
      </c>
      <c r="K95" s="1">
        <f t="shared" si="15"/>
        <v>117.74999999999999</v>
      </c>
      <c r="L95" s="1">
        <f t="shared" si="16"/>
        <v>612</v>
      </c>
      <c r="M95" s="1" t="e">
        <f t="shared" si="17"/>
        <v>#DIV/0!</v>
      </c>
    </row>
    <row r="96" spans="1:13">
      <c r="A96" t="s">
        <v>59</v>
      </c>
      <c r="B96" s="2">
        <v>0.873</v>
      </c>
      <c r="C96" s="2">
        <v>0.91500000000000004</v>
      </c>
      <c r="D96" s="2">
        <v>0.55100000000000005</v>
      </c>
      <c r="E96" s="2">
        <v>0.871</v>
      </c>
      <c r="F96">
        <f t="shared" si="10"/>
        <v>0.83599999999999997</v>
      </c>
      <c r="G96">
        <f t="shared" si="11"/>
        <v>0.90700000000000003</v>
      </c>
      <c r="H96">
        <f t="shared" si="12"/>
        <v>0.55000000000000004</v>
      </c>
      <c r="I96">
        <f t="shared" si="13"/>
        <v>0.871</v>
      </c>
      <c r="J96" s="1">
        <f t="shared" si="14"/>
        <v>22.594594594594597</v>
      </c>
      <c r="K96" s="1">
        <f t="shared" si="15"/>
        <v>113.375</v>
      </c>
      <c r="L96" s="1">
        <f t="shared" si="16"/>
        <v>550</v>
      </c>
      <c r="M96" s="1" t="e">
        <f t="shared" si="17"/>
        <v>#DIV/0!</v>
      </c>
    </row>
    <row r="97" spans="1:13">
      <c r="A97" t="s">
        <v>67</v>
      </c>
      <c r="B97" s="2">
        <v>0.82099999999999995</v>
      </c>
      <c r="C97" s="2">
        <v>0.86599999999999999</v>
      </c>
      <c r="D97" s="2">
        <v>0.49099999999999999</v>
      </c>
      <c r="E97" s="2">
        <v>0.81599999999999995</v>
      </c>
      <c r="F97">
        <f t="shared" si="10"/>
        <v>0.78399999999999992</v>
      </c>
      <c r="G97">
        <f t="shared" si="11"/>
        <v>0.85799999999999998</v>
      </c>
      <c r="H97">
        <f t="shared" si="12"/>
        <v>0.49</v>
      </c>
      <c r="I97">
        <f t="shared" si="13"/>
        <v>0.81599999999999995</v>
      </c>
      <c r="J97" s="1">
        <f t="shared" si="14"/>
        <v>21.189189189189189</v>
      </c>
      <c r="K97" s="1">
        <f t="shared" si="15"/>
        <v>107.25</v>
      </c>
      <c r="L97" s="1">
        <f t="shared" si="16"/>
        <v>490</v>
      </c>
      <c r="M97" s="1" t="e">
        <f t="shared" si="17"/>
        <v>#DIV/0!</v>
      </c>
    </row>
    <row r="98" spans="1:13">
      <c r="A98" t="s">
        <v>63</v>
      </c>
      <c r="B98" s="2">
        <v>0.81299999999999994</v>
      </c>
      <c r="C98" s="2">
        <v>0.85599999999999998</v>
      </c>
      <c r="D98" s="2">
        <v>0.48</v>
      </c>
      <c r="E98" s="2">
        <v>0.80700000000000005</v>
      </c>
      <c r="F98">
        <f t="shared" si="10"/>
        <v>0.77599999999999991</v>
      </c>
      <c r="G98">
        <f t="shared" si="11"/>
        <v>0.84799999999999998</v>
      </c>
      <c r="H98">
        <f t="shared" si="12"/>
        <v>0.47899999999999998</v>
      </c>
      <c r="I98">
        <f t="shared" si="13"/>
        <v>0.80700000000000005</v>
      </c>
      <c r="J98" s="1">
        <f t="shared" si="14"/>
        <v>20.972972972972972</v>
      </c>
      <c r="K98" s="1">
        <f t="shared" si="15"/>
        <v>106</v>
      </c>
      <c r="L98" s="1">
        <f t="shared" si="16"/>
        <v>478.99999999999994</v>
      </c>
      <c r="M98" s="1" t="e">
        <f t="shared" si="17"/>
        <v>#DIV/0!</v>
      </c>
    </row>
    <row r="99" spans="1:13">
      <c r="A99" t="s">
        <v>71</v>
      </c>
      <c r="B99" s="2">
        <v>0.80600000000000005</v>
      </c>
      <c r="C99" s="2">
        <v>0.85699999999999998</v>
      </c>
      <c r="D99" s="2">
        <v>0.47899999999999998</v>
      </c>
      <c r="E99" s="2">
        <v>0.80300000000000005</v>
      </c>
      <c r="F99">
        <f t="shared" si="10"/>
        <v>0.76900000000000002</v>
      </c>
      <c r="G99">
        <f t="shared" si="11"/>
        <v>0.84899999999999998</v>
      </c>
      <c r="H99">
        <f t="shared" si="12"/>
        <v>0.47799999999999998</v>
      </c>
      <c r="I99">
        <f t="shared" si="13"/>
        <v>0.80300000000000005</v>
      </c>
      <c r="J99" s="1">
        <f t="shared" si="14"/>
        <v>20.783783783783786</v>
      </c>
      <c r="K99" s="1">
        <f t="shared" si="15"/>
        <v>106.125</v>
      </c>
      <c r="L99" s="1">
        <f t="shared" si="16"/>
        <v>477.99999999999994</v>
      </c>
      <c r="M99" s="1" t="e">
        <f t="shared" si="17"/>
        <v>#DIV/0!</v>
      </c>
    </row>
    <row r="100" spans="1:13">
      <c r="A100" t="s">
        <v>75</v>
      </c>
      <c r="B100" s="2">
        <v>0.8</v>
      </c>
      <c r="C100" s="2">
        <v>0.84399999999999997</v>
      </c>
      <c r="D100" s="2">
        <v>0.46600000000000003</v>
      </c>
      <c r="E100" s="2">
        <v>0.79400000000000004</v>
      </c>
      <c r="F100">
        <f t="shared" si="10"/>
        <v>0.76300000000000001</v>
      </c>
      <c r="G100">
        <f t="shared" si="11"/>
        <v>0.83599999999999997</v>
      </c>
      <c r="H100">
        <f t="shared" si="12"/>
        <v>0.46500000000000002</v>
      </c>
      <c r="I100">
        <f t="shared" si="13"/>
        <v>0.79400000000000004</v>
      </c>
      <c r="J100" s="1">
        <f t="shared" si="14"/>
        <v>20.621621621621625</v>
      </c>
      <c r="K100" s="1">
        <f t="shared" si="15"/>
        <v>104.5</v>
      </c>
      <c r="L100" s="1">
        <f t="shared" si="16"/>
        <v>465</v>
      </c>
      <c r="M100" s="1" t="e">
        <f t="shared" si="17"/>
        <v>#DIV/0!</v>
      </c>
    </row>
    <row r="101" spans="1:13">
      <c r="A101" t="s">
        <v>123</v>
      </c>
      <c r="B101" s="2">
        <v>0.75900000000000001</v>
      </c>
      <c r="C101" s="2">
        <v>0.79500000000000004</v>
      </c>
      <c r="D101" s="2">
        <v>0.41599999999999998</v>
      </c>
      <c r="E101" s="2">
        <v>0.749</v>
      </c>
      <c r="F101">
        <f t="shared" si="10"/>
        <v>0.72199999999999998</v>
      </c>
      <c r="G101">
        <f t="shared" si="11"/>
        <v>0.78700000000000003</v>
      </c>
      <c r="H101">
        <f t="shared" si="12"/>
        <v>0.41499999999999998</v>
      </c>
      <c r="I101">
        <f t="shared" si="13"/>
        <v>0.749</v>
      </c>
      <c r="J101" s="1">
        <f t="shared" si="14"/>
        <v>19.513513513513512</v>
      </c>
      <c r="K101" s="1">
        <f t="shared" si="15"/>
        <v>98.375</v>
      </c>
      <c r="L101" s="1">
        <f t="shared" si="16"/>
        <v>414.99999999999994</v>
      </c>
      <c r="M101" s="1" t="e">
        <f t="shared" si="17"/>
        <v>#DIV/0!</v>
      </c>
    </row>
    <row r="102" spans="1:13">
      <c r="A102" t="s">
        <v>117</v>
      </c>
      <c r="B102" s="2">
        <v>0.751</v>
      </c>
      <c r="C102" s="2">
        <v>0.78800000000000003</v>
      </c>
      <c r="D102" s="2">
        <v>0.41399999999999998</v>
      </c>
      <c r="E102" s="2">
        <v>0.74399999999999999</v>
      </c>
      <c r="F102">
        <f t="shared" si="10"/>
        <v>0.71399999999999997</v>
      </c>
      <c r="G102">
        <f t="shared" si="11"/>
        <v>0.78</v>
      </c>
      <c r="H102">
        <f t="shared" si="12"/>
        <v>0.41299999999999998</v>
      </c>
      <c r="I102">
        <f t="shared" si="13"/>
        <v>0.74399999999999999</v>
      </c>
      <c r="J102" s="1">
        <f t="shared" si="14"/>
        <v>19.297297297297298</v>
      </c>
      <c r="K102" s="1">
        <f t="shared" si="15"/>
        <v>97.5</v>
      </c>
      <c r="L102" s="1">
        <f t="shared" si="16"/>
        <v>412.99999999999994</v>
      </c>
      <c r="M102" s="1" t="e">
        <f t="shared" si="17"/>
        <v>#DIV/0!</v>
      </c>
    </row>
    <row r="103" spans="1:13">
      <c r="A103" t="s">
        <v>41</v>
      </c>
      <c r="B103" s="2">
        <v>7.0000000000000001E-3</v>
      </c>
      <c r="C103" s="2">
        <v>0.93200000000000005</v>
      </c>
      <c r="D103" s="2">
        <v>0.60199999999999998</v>
      </c>
      <c r="E103" s="2">
        <v>7.0000000000000001E-3</v>
      </c>
      <c r="F103">
        <f t="shared" si="10"/>
        <v>-0.03</v>
      </c>
      <c r="G103">
        <f t="shared" si="11"/>
        <v>0.92400000000000004</v>
      </c>
      <c r="H103">
        <f t="shared" si="12"/>
        <v>0.60099999999999998</v>
      </c>
      <c r="I103">
        <f t="shared" si="13"/>
        <v>7.0000000000000001E-3</v>
      </c>
      <c r="J103" s="1">
        <f t="shared" si="14"/>
        <v>-0.81081081081081086</v>
      </c>
      <c r="K103" s="1">
        <f t="shared" si="15"/>
        <v>115.5</v>
      </c>
      <c r="L103" s="1">
        <f t="shared" si="16"/>
        <v>601</v>
      </c>
      <c r="M103" s="1" t="e">
        <f t="shared" si="17"/>
        <v>#DIV/0!</v>
      </c>
    </row>
    <row r="104" spans="1:13">
      <c r="A104" t="s">
        <v>17</v>
      </c>
      <c r="B104" s="2">
        <v>2E-3</v>
      </c>
      <c r="C104" s="2">
        <v>4.7E-2</v>
      </c>
      <c r="D104" s="2">
        <v>1.6E-2</v>
      </c>
      <c r="E104" s="2">
        <v>1E-3</v>
      </c>
      <c r="F104">
        <f t="shared" si="10"/>
        <v>-3.4999999999999996E-2</v>
      </c>
      <c r="G104">
        <f t="shared" si="11"/>
        <v>3.9E-2</v>
      </c>
      <c r="H104">
        <f t="shared" si="12"/>
        <v>1.4999999999999999E-2</v>
      </c>
      <c r="I104">
        <f t="shared" si="13"/>
        <v>1E-3</v>
      </c>
      <c r="J104" s="1">
        <f t="shared" si="14"/>
        <v>-0.94594594594594594</v>
      </c>
      <c r="K104" s="1">
        <f t="shared" si="15"/>
        <v>4.875</v>
      </c>
      <c r="L104" s="1">
        <f t="shared" si="16"/>
        <v>15</v>
      </c>
      <c r="M104" s="1" t="e">
        <f t="shared" si="17"/>
        <v>#DIV/0!</v>
      </c>
    </row>
    <row r="105" spans="1:13">
      <c r="A105" t="s">
        <v>5</v>
      </c>
      <c r="B105" s="2">
        <v>0.98499999999999999</v>
      </c>
      <c r="C105" s="2">
        <v>0.99299999999999999</v>
      </c>
      <c r="D105" s="2">
        <v>0.82799999999999996</v>
      </c>
      <c r="E105" s="2">
        <v>0</v>
      </c>
      <c r="F105">
        <f t="shared" si="10"/>
        <v>0.94799999999999995</v>
      </c>
      <c r="G105">
        <f t="shared" si="11"/>
        <v>0.98499999999999999</v>
      </c>
      <c r="H105">
        <f t="shared" si="12"/>
        <v>0.82699999999999996</v>
      </c>
      <c r="I105">
        <f t="shared" si="13"/>
        <v>0</v>
      </c>
      <c r="J105" s="1">
        <f t="shared" si="14"/>
        <v>25.621621621621621</v>
      </c>
      <c r="K105" s="1">
        <f t="shared" si="15"/>
        <v>123.125</v>
      </c>
      <c r="L105" s="1">
        <f t="shared" si="16"/>
        <v>826.99999999999989</v>
      </c>
      <c r="M105" s="1" t="e">
        <f t="shared" si="17"/>
        <v>#DIV/0!</v>
      </c>
    </row>
    <row r="106" spans="1:13">
      <c r="A106" t="s">
        <v>20</v>
      </c>
      <c r="B106" s="2">
        <v>0.98399999999999999</v>
      </c>
      <c r="C106" s="2">
        <v>0.99399999999999999</v>
      </c>
      <c r="D106" s="2">
        <v>0.82099999999999995</v>
      </c>
      <c r="E106" s="2">
        <v>0</v>
      </c>
      <c r="F106">
        <f t="shared" si="10"/>
        <v>0.94699999999999995</v>
      </c>
      <c r="G106">
        <f t="shared" si="11"/>
        <v>0.98599999999999999</v>
      </c>
      <c r="H106">
        <f t="shared" si="12"/>
        <v>0.82</v>
      </c>
      <c r="I106">
        <f t="shared" si="13"/>
        <v>0</v>
      </c>
      <c r="J106" s="1">
        <f t="shared" si="14"/>
        <v>25.594594594594593</v>
      </c>
      <c r="K106" s="1">
        <f t="shared" si="15"/>
        <v>123.25</v>
      </c>
      <c r="L106" s="1">
        <f t="shared" si="16"/>
        <v>819.99999999999989</v>
      </c>
      <c r="M106" s="1" t="e">
        <f t="shared" si="17"/>
        <v>#DIV/0!</v>
      </c>
    </row>
    <row r="107" spans="1:13">
      <c r="A107" t="s">
        <v>14</v>
      </c>
      <c r="B107" s="2">
        <v>0.98</v>
      </c>
      <c r="C107" s="2">
        <v>0.99099999999999999</v>
      </c>
      <c r="D107" s="2">
        <v>0.80900000000000005</v>
      </c>
      <c r="E107" s="2">
        <v>0</v>
      </c>
      <c r="F107">
        <f t="shared" si="10"/>
        <v>0.94299999999999995</v>
      </c>
      <c r="G107">
        <f t="shared" si="11"/>
        <v>0.98299999999999998</v>
      </c>
      <c r="H107">
        <f t="shared" si="12"/>
        <v>0.80800000000000005</v>
      </c>
      <c r="I107">
        <f t="shared" si="13"/>
        <v>0</v>
      </c>
      <c r="J107" s="1">
        <f t="shared" si="14"/>
        <v>25.486486486486488</v>
      </c>
      <c r="K107" s="1">
        <f t="shared" si="15"/>
        <v>122.875</v>
      </c>
      <c r="L107" s="1">
        <f t="shared" si="16"/>
        <v>808</v>
      </c>
      <c r="M107" s="1" t="e">
        <f t="shared" si="17"/>
        <v>#DIV/0!</v>
      </c>
    </row>
    <row r="108" spans="1:13">
      <c r="A108" t="s">
        <v>26</v>
      </c>
      <c r="B108" s="2">
        <v>0.97799999999999998</v>
      </c>
      <c r="C108" s="2">
        <v>0.98899999999999999</v>
      </c>
      <c r="D108" s="2">
        <v>0.77200000000000002</v>
      </c>
      <c r="E108" s="2">
        <v>0</v>
      </c>
      <c r="F108">
        <f t="shared" si="10"/>
        <v>0.94099999999999995</v>
      </c>
      <c r="G108">
        <f t="shared" si="11"/>
        <v>0.98099999999999998</v>
      </c>
      <c r="H108">
        <f t="shared" si="12"/>
        <v>0.77100000000000002</v>
      </c>
      <c r="I108">
        <f t="shared" si="13"/>
        <v>0</v>
      </c>
      <c r="J108" s="1">
        <f t="shared" si="14"/>
        <v>25.432432432432432</v>
      </c>
      <c r="K108" s="1">
        <f t="shared" si="15"/>
        <v>122.625</v>
      </c>
      <c r="L108" s="1">
        <f t="shared" si="16"/>
        <v>771</v>
      </c>
      <c r="M108" s="1" t="e">
        <f t="shared" si="17"/>
        <v>#DIV/0!</v>
      </c>
    </row>
    <row r="109" spans="1:13">
      <c r="A109" t="s">
        <v>9</v>
      </c>
      <c r="B109" s="2">
        <v>0.97399999999999998</v>
      </c>
      <c r="C109" s="2">
        <v>0.98499999999999999</v>
      </c>
      <c r="D109" s="2">
        <v>0.73799999999999999</v>
      </c>
      <c r="E109" s="2">
        <v>0</v>
      </c>
      <c r="F109">
        <f t="shared" si="10"/>
        <v>0.93699999999999994</v>
      </c>
      <c r="G109">
        <f t="shared" si="11"/>
        <v>0.97699999999999998</v>
      </c>
      <c r="H109">
        <f t="shared" si="12"/>
        <v>0.73699999999999999</v>
      </c>
      <c r="I109">
        <f t="shared" si="13"/>
        <v>0</v>
      </c>
      <c r="J109" s="1">
        <f t="shared" si="14"/>
        <v>25.324324324324323</v>
      </c>
      <c r="K109" s="1">
        <f t="shared" si="15"/>
        <v>122.125</v>
      </c>
      <c r="L109" s="1">
        <f t="shared" si="16"/>
        <v>737</v>
      </c>
      <c r="M109" s="1" t="e">
        <f t="shared" si="17"/>
        <v>#DIV/0!</v>
      </c>
    </row>
    <row r="110" spans="1:13">
      <c r="A110" t="s">
        <v>24</v>
      </c>
      <c r="B110" s="2">
        <v>0.96899999999999997</v>
      </c>
      <c r="C110" s="2">
        <v>0.98799999999999999</v>
      </c>
      <c r="D110" s="2">
        <v>0.73599999999999999</v>
      </c>
      <c r="E110" s="2">
        <v>0</v>
      </c>
      <c r="F110">
        <f t="shared" si="10"/>
        <v>0.93199999999999994</v>
      </c>
      <c r="G110">
        <f t="shared" si="11"/>
        <v>0.98</v>
      </c>
      <c r="H110">
        <f t="shared" si="12"/>
        <v>0.73499999999999999</v>
      </c>
      <c r="I110">
        <f t="shared" si="13"/>
        <v>0</v>
      </c>
      <c r="J110" s="1">
        <f t="shared" si="14"/>
        <v>25.189189189189189</v>
      </c>
      <c r="K110" s="1">
        <f t="shared" si="15"/>
        <v>122.5</v>
      </c>
      <c r="L110" s="1">
        <f t="shared" si="16"/>
        <v>735</v>
      </c>
      <c r="M110" s="1" t="e">
        <f t="shared" si="17"/>
        <v>#DIV/0!</v>
      </c>
    </row>
    <row r="111" spans="1:13">
      <c r="A111" t="s">
        <v>18</v>
      </c>
      <c r="B111" s="2">
        <v>0.96</v>
      </c>
      <c r="C111" s="2">
        <v>0.98199999999999998</v>
      </c>
      <c r="D111" s="2">
        <v>0.69799999999999995</v>
      </c>
      <c r="E111" s="2">
        <v>0</v>
      </c>
      <c r="F111">
        <f t="shared" si="10"/>
        <v>0.92299999999999993</v>
      </c>
      <c r="G111">
        <f t="shared" si="11"/>
        <v>0.97399999999999998</v>
      </c>
      <c r="H111">
        <f t="shared" si="12"/>
        <v>0.69699999999999995</v>
      </c>
      <c r="I111">
        <f t="shared" si="13"/>
        <v>0</v>
      </c>
      <c r="J111" s="1">
        <f t="shared" si="14"/>
        <v>24.945945945945944</v>
      </c>
      <c r="K111" s="1">
        <f t="shared" si="15"/>
        <v>121.75</v>
      </c>
      <c r="L111" s="1">
        <f t="shared" si="16"/>
        <v>696.99999999999989</v>
      </c>
      <c r="M111" s="1" t="e">
        <f t="shared" si="17"/>
        <v>#DIV/0!</v>
      </c>
    </row>
    <row r="112" spans="1:13">
      <c r="A112" t="s">
        <v>30</v>
      </c>
      <c r="B112" s="2">
        <v>0.93799999999999994</v>
      </c>
      <c r="C112" s="2">
        <v>0.96699999999999997</v>
      </c>
      <c r="D112" s="2">
        <v>0.65200000000000002</v>
      </c>
      <c r="E112" s="2">
        <v>0</v>
      </c>
      <c r="F112">
        <f t="shared" si="10"/>
        <v>0.90099999999999991</v>
      </c>
      <c r="G112">
        <f t="shared" si="11"/>
        <v>0.95899999999999996</v>
      </c>
      <c r="H112">
        <f t="shared" si="12"/>
        <v>0.65100000000000002</v>
      </c>
      <c r="I112">
        <f t="shared" si="13"/>
        <v>0</v>
      </c>
      <c r="J112" s="1">
        <f t="shared" si="14"/>
        <v>24.351351351351351</v>
      </c>
      <c r="K112" s="1">
        <f t="shared" si="15"/>
        <v>119.875</v>
      </c>
      <c r="L112" s="1">
        <f t="shared" si="16"/>
        <v>651</v>
      </c>
      <c r="M112" s="1" t="e">
        <f t="shared" si="17"/>
        <v>#DIV/0!</v>
      </c>
    </row>
    <row r="113" spans="1:13">
      <c r="A113" t="s">
        <v>16</v>
      </c>
      <c r="B113" s="2">
        <v>0.92600000000000005</v>
      </c>
      <c r="C113" s="2">
        <v>0.96299999999999997</v>
      </c>
      <c r="D113" s="2">
        <v>0.57399999999999995</v>
      </c>
      <c r="E113" s="2">
        <v>0</v>
      </c>
      <c r="F113">
        <f t="shared" si="10"/>
        <v>0.88900000000000001</v>
      </c>
      <c r="G113">
        <f t="shared" si="11"/>
        <v>0.95499999999999996</v>
      </c>
      <c r="H113">
        <f t="shared" si="12"/>
        <v>0.57299999999999995</v>
      </c>
      <c r="I113">
        <f t="shared" si="13"/>
        <v>0</v>
      </c>
      <c r="J113" s="1">
        <f t="shared" si="14"/>
        <v>24.027027027027028</v>
      </c>
      <c r="K113" s="1">
        <f t="shared" si="15"/>
        <v>119.37499999999999</v>
      </c>
      <c r="L113" s="1">
        <f t="shared" si="16"/>
        <v>572.99999999999989</v>
      </c>
      <c r="M113" s="1" t="e">
        <f t="shared" si="17"/>
        <v>#DIV/0!</v>
      </c>
    </row>
    <row r="114" spans="1:13">
      <c r="A114" t="s">
        <v>7</v>
      </c>
      <c r="B114" s="2">
        <v>0.91600000000000004</v>
      </c>
      <c r="C114" s="2">
        <v>0.94899999999999995</v>
      </c>
      <c r="D114" s="2">
        <v>0.54600000000000004</v>
      </c>
      <c r="E114" s="2">
        <v>0</v>
      </c>
      <c r="F114">
        <f t="shared" si="10"/>
        <v>0.879</v>
      </c>
      <c r="G114">
        <f t="shared" si="11"/>
        <v>0.94099999999999995</v>
      </c>
      <c r="H114">
        <f t="shared" si="12"/>
        <v>0.54500000000000004</v>
      </c>
      <c r="I114">
        <f t="shared" si="13"/>
        <v>0</v>
      </c>
      <c r="J114" s="1">
        <f t="shared" si="14"/>
        <v>23.756756756756758</v>
      </c>
      <c r="K114" s="1">
        <f t="shared" si="15"/>
        <v>117.62499999999999</v>
      </c>
      <c r="L114" s="1">
        <f t="shared" si="16"/>
        <v>545</v>
      </c>
      <c r="M114" s="1" t="e">
        <f t="shared" si="17"/>
        <v>#DIV/0!</v>
      </c>
    </row>
    <row r="115" spans="1:13">
      <c r="A115" t="s">
        <v>28</v>
      </c>
      <c r="B115" s="2">
        <v>0.88600000000000001</v>
      </c>
      <c r="C115" s="2">
        <v>0.93</v>
      </c>
      <c r="D115" s="2">
        <v>0.52</v>
      </c>
      <c r="E115" s="2">
        <v>0</v>
      </c>
      <c r="F115">
        <f t="shared" si="10"/>
        <v>0.84899999999999998</v>
      </c>
      <c r="G115">
        <f t="shared" si="11"/>
        <v>0.92200000000000004</v>
      </c>
      <c r="H115">
        <f t="shared" si="12"/>
        <v>0.51900000000000002</v>
      </c>
      <c r="I115">
        <f t="shared" si="13"/>
        <v>0</v>
      </c>
      <c r="J115" s="1">
        <f t="shared" si="14"/>
        <v>22.945945945945947</v>
      </c>
      <c r="K115" s="1">
        <f t="shared" si="15"/>
        <v>115.25</v>
      </c>
      <c r="L115" s="1">
        <f t="shared" si="16"/>
        <v>519</v>
      </c>
      <c r="M115" s="1" t="e">
        <f t="shared" si="17"/>
        <v>#DIV/0!</v>
      </c>
    </row>
    <row r="116" spans="1:13">
      <c r="A116" t="s">
        <v>22</v>
      </c>
      <c r="B116" s="2">
        <v>0.88500000000000001</v>
      </c>
      <c r="C116" s="2">
        <v>0.92900000000000005</v>
      </c>
      <c r="D116" s="2">
        <v>0.48399999999999999</v>
      </c>
      <c r="E116" s="2">
        <v>0</v>
      </c>
      <c r="F116">
        <f t="shared" si="10"/>
        <v>0.84799999999999998</v>
      </c>
      <c r="G116">
        <f t="shared" si="11"/>
        <v>0.92100000000000004</v>
      </c>
      <c r="H116">
        <f t="shared" si="12"/>
        <v>0.48299999999999998</v>
      </c>
      <c r="I116">
        <f t="shared" si="13"/>
        <v>0</v>
      </c>
      <c r="J116" s="1">
        <f t="shared" si="14"/>
        <v>22.918918918918919</v>
      </c>
      <c r="K116" s="1">
        <f t="shared" si="15"/>
        <v>115.125</v>
      </c>
      <c r="L116" s="1">
        <f t="shared" si="16"/>
        <v>483</v>
      </c>
      <c r="M116" s="1" t="e">
        <f t="shared" si="17"/>
        <v>#DIV/0!</v>
      </c>
    </row>
    <row r="117" spans="1:13">
      <c r="A117" t="s">
        <v>34</v>
      </c>
      <c r="B117" s="2">
        <v>0.876</v>
      </c>
      <c r="C117" s="2">
        <v>0.92800000000000005</v>
      </c>
      <c r="D117" s="2">
        <v>0.45900000000000002</v>
      </c>
      <c r="E117" s="2">
        <v>0</v>
      </c>
      <c r="F117">
        <f t="shared" si="10"/>
        <v>0.83899999999999997</v>
      </c>
      <c r="G117">
        <f t="shared" si="11"/>
        <v>0.92</v>
      </c>
      <c r="H117">
        <f t="shared" si="12"/>
        <v>0.45800000000000002</v>
      </c>
      <c r="I117">
        <f t="shared" si="13"/>
        <v>0</v>
      </c>
      <c r="J117" s="1">
        <f t="shared" si="14"/>
        <v>22.675675675675677</v>
      </c>
      <c r="K117" s="1">
        <f t="shared" si="15"/>
        <v>115</v>
      </c>
      <c r="L117" s="1">
        <f t="shared" si="16"/>
        <v>458</v>
      </c>
      <c r="M117" s="1" t="e">
        <f t="shared" si="17"/>
        <v>#DIV/0!</v>
      </c>
    </row>
    <row r="118" spans="1:13">
      <c r="A118" t="s">
        <v>40</v>
      </c>
      <c r="B118" s="2">
        <v>0.77600000000000002</v>
      </c>
      <c r="C118" s="2">
        <v>0.82899999999999996</v>
      </c>
      <c r="D118" s="2">
        <v>0.36199999999999999</v>
      </c>
      <c r="E118" s="2">
        <v>0</v>
      </c>
      <c r="F118">
        <f t="shared" si="10"/>
        <v>0.73899999999999999</v>
      </c>
      <c r="G118">
        <f t="shared" si="11"/>
        <v>0.82099999999999995</v>
      </c>
      <c r="H118">
        <f t="shared" si="12"/>
        <v>0.36099999999999999</v>
      </c>
      <c r="I118">
        <f t="shared" si="13"/>
        <v>0</v>
      </c>
      <c r="J118" s="1">
        <f t="shared" si="14"/>
        <v>19.972972972972975</v>
      </c>
      <c r="K118" s="1">
        <f t="shared" si="15"/>
        <v>102.62499999999999</v>
      </c>
      <c r="L118" s="1">
        <f t="shared" si="16"/>
        <v>361</v>
      </c>
      <c r="M118" s="1" t="e">
        <f t="shared" si="17"/>
        <v>#DIV/0!</v>
      </c>
    </row>
    <row r="119" spans="1:13">
      <c r="A119" t="s">
        <v>42</v>
      </c>
      <c r="B119" s="2">
        <v>0.69799999999999995</v>
      </c>
      <c r="C119" s="2">
        <v>0.68700000000000006</v>
      </c>
      <c r="D119" s="2">
        <v>0.25900000000000001</v>
      </c>
      <c r="E119" s="2">
        <v>0</v>
      </c>
      <c r="F119">
        <f t="shared" si="10"/>
        <v>0.66099999999999992</v>
      </c>
      <c r="G119">
        <f t="shared" si="11"/>
        <v>0.67900000000000005</v>
      </c>
      <c r="H119">
        <f t="shared" si="12"/>
        <v>0.25800000000000001</v>
      </c>
      <c r="I119">
        <f t="shared" si="13"/>
        <v>0</v>
      </c>
      <c r="J119" s="1">
        <f t="shared" si="14"/>
        <v>17.864864864864863</v>
      </c>
      <c r="K119" s="1">
        <f t="shared" si="15"/>
        <v>84.875</v>
      </c>
      <c r="L119" s="1">
        <f t="shared" si="16"/>
        <v>258</v>
      </c>
      <c r="M119" s="1" t="e">
        <f t="shared" si="17"/>
        <v>#DIV/0!</v>
      </c>
    </row>
    <row r="120" spans="1:13">
      <c r="A120" t="s">
        <v>36</v>
      </c>
      <c r="B120" s="2">
        <v>0.67</v>
      </c>
      <c r="C120" s="2">
        <v>0.65600000000000003</v>
      </c>
      <c r="D120" s="2">
        <v>0.26500000000000001</v>
      </c>
      <c r="E120" s="2">
        <v>0</v>
      </c>
      <c r="F120">
        <f t="shared" si="10"/>
        <v>0.63300000000000001</v>
      </c>
      <c r="G120">
        <f t="shared" si="11"/>
        <v>0.64800000000000002</v>
      </c>
      <c r="H120">
        <f t="shared" si="12"/>
        <v>0.26400000000000001</v>
      </c>
      <c r="I120">
        <f t="shared" si="13"/>
        <v>0</v>
      </c>
      <c r="J120" s="1">
        <f t="shared" si="14"/>
        <v>17.108108108108109</v>
      </c>
      <c r="K120" s="1">
        <f t="shared" si="15"/>
        <v>81</v>
      </c>
      <c r="L120" s="1">
        <f t="shared" si="16"/>
        <v>264</v>
      </c>
      <c r="M120" s="1" t="e">
        <f t="shared" si="17"/>
        <v>#DIV/0!</v>
      </c>
    </row>
    <row r="121" spans="1:13">
      <c r="A121" t="s">
        <v>38</v>
      </c>
      <c r="B121" s="2">
        <v>0.47799999999999998</v>
      </c>
      <c r="C121" s="2">
        <v>0.41899999999999998</v>
      </c>
      <c r="D121" s="2">
        <v>0.217</v>
      </c>
      <c r="E121" s="2">
        <v>0</v>
      </c>
      <c r="F121">
        <f t="shared" si="10"/>
        <v>0.441</v>
      </c>
      <c r="G121">
        <f t="shared" si="11"/>
        <v>0.41099999999999998</v>
      </c>
      <c r="H121">
        <f t="shared" si="12"/>
        <v>0.216</v>
      </c>
      <c r="I121">
        <f t="shared" si="13"/>
        <v>0</v>
      </c>
      <c r="J121" s="1">
        <f t="shared" si="14"/>
        <v>11.918918918918919</v>
      </c>
      <c r="K121" s="1">
        <f t="shared" si="15"/>
        <v>51.374999999999993</v>
      </c>
      <c r="L121" s="1">
        <f t="shared" si="16"/>
        <v>216</v>
      </c>
      <c r="M121" s="1" t="e">
        <f t="shared" si="17"/>
        <v>#DIV/0!</v>
      </c>
    </row>
    <row r="122" spans="1:13">
      <c r="A122" t="s">
        <v>32</v>
      </c>
      <c r="B122" s="2">
        <v>0.45700000000000002</v>
      </c>
      <c r="C122" s="2">
        <v>0.40799999999999997</v>
      </c>
      <c r="D122" s="2">
        <v>0.185</v>
      </c>
      <c r="E122" s="2">
        <v>0</v>
      </c>
      <c r="F122">
        <f t="shared" si="10"/>
        <v>0.42000000000000004</v>
      </c>
      <c r="G122">
        <f t="shared" si="11"/>
        <v>0.39999999999999997</v>
      </c>
      <c r="H122">
        <f t="shared" si="12"/>
        <v>0.184</v>
      </c>
      <c r="I122">
        <f t="shared" si="13"/>
        <v>0</v>
      </c>
      <c r="J122" s="1">
        <f t="shared" si="14"/>
        <v>11.351351351351353</v>
      </c>
      <c r="K122" s="1">
        <f t="shared" si="15"/>
        <v>49.999999999999993</v>
      </c>
      <c r="L122" s="1">
        <f t="shared" si="16"/>
        <v>184</v>
      </c>
      <c r="M122" s="1" t="e">
        <f t="shared" si="17"/>
        <v>#DIV/0!</v>
      </c>
    </row>
    <row r="123" spans="1:13">
      <c r="A123" t="s">
        <v>77</v>
      </c>
      <c r="B123" s="2">
        <v>0.26600000000000001</v>
      </c>
      <c r="C123" s="2">
        <v>0.16</v>
      </c>
      <c r="D123" s="2">
        <v>0.04</v>
      </c>
      <c r="E123" s="2">
        <v>0</v>
      </c>
      <c r="F123">
        <f t="shared" si="10"/>
        <v>0.22900000000000001</v>
      </c>
      <c r="G123">
        <f t="shared" si="11"/>
        <v>0.152</v>
      </c>
      <c r="H123">
        <f t="shared" si="12"/>
        <v>3.9E-2</v>
      </c>
      <c r="I123">
        <f t="shared" si="13"/>
        <v>0</v>
      </c>
      <c r="J123" s="1">
        <f t="shared" si="14"/>
        <v>6.1891891891891895</v>
      </c>
      <c r="K123" s="1">
        <f t="shared" si="15"/>
        <v>19</v>
      </c>
      <c r="L123" s="1">
        <f t="shared" si="16"/>
        <v>39</v>
      </c>
      <c r="M123" s="1" t="e">
        <f t="shared" si="17"/>
        <v>#DIV/0!</v>
      </c>
    </row>
    <row r="124" spans="1:13">
      <c r="A124" t="s">
        <v>81</v>
      </c>
      <c r="B124" s="2">
        <v>0.26600000000000001</v>
      </c>
      <c r="C124" s="2">
        <v>0.16</v>
      </c>
      <c r="D124" s="2">
        <v>0.04</v>
      </c>
      <c r="E124" s="2">
        <v>0</v>
      </c>
      <c r="F124">
        <f t="shared" si="10"/>
        <v>0.22900000000000001</v>
      </c>
      <c r="G124">
        <f t="shared" si="11"/>
        <v>0.152</v>
      </c>
      <c r="H124">
        <f t="shared" si="12"/>
        <v>3.9E-2</v>
      </c>
      <c r="I124">
        <f t="shared" si="13"/>
        <v>0</v>
      </c>
      <c r="J124" s="1">
        <f t="shared" si="14"/>
        <v>6.1891891891891895</v>
      </c>
      <c r="K124" s="1">
        <f t="shared" si="15"/>
        <v>19</v>
      </c>
      <c r="L124" s="1">
        <f t="shared" si="16"/>
        <v>39</v>
      </c>
      <c r="M124" s="1" t="e">
        <f t="shared" si="17"/>
        <v>#DIV/0!</v>
      </c>
    </row>
    <row r="125" spans="1:13">
      <c r="A125" t="s">
        <v>105</v>
      </c>
      <c r="B125" s="2">
        <v>0.01</v>
      </c>
      <c r="C125" s="2">
        <v>3.7999999999999999E-2</v>
      </c>
      <c r="D125" s="2">
        <v>8.9999999999999993E-3</v>
      </c>
      <c r="E125" s="2">
        <v>0</v>
      </c>
      <c r="F125">
        <f t="shared" si="10"/>
        <v>-2.6999999999999996E-2</v>
      </c>
      <c r="G125">
        <f t="shared" si="11"/>
        <v>0.03</v>
      </c>
      <c r="H125">
        <f t="shared" si="12"/>
        <v>8.0000000000000002E-3</v>
      </c>
      <c r="I125">
        <f t="shared" si="13"/>
        <v>0</v>
      </c>
      <c r="J125" s="1">
        <f t="shared" si="14"/>
        <v>-0.72972972972972971</v>
      </c>
      <c r="K125" s="1">
        <f t="shared" si="15"/>
        <v>3.75</v>
      </c>
      <c r="L125" s="1">
        <f t="shared" si="16"/>
        <v>8</v>
      </c>
      <c r="M125" s="1" t="e">
        <f t="shared" si="17"/>
        <v>#DIV/0!</v>
      </c>
    </row>
    <row r="126" spans="1:13">
      <c r="A126" t="s">
        <v>109</v>
      </c>
      <c r="B126" s="2">
        <v>0.01</v>
      </c>
      <c r="C126" s="2">
        <v>3.7999999999999999E-2</v>
      </c>
      <c r="D126" s="2">
        <v>8.9999999999999993E-3</v>
      </c>
      <c r="E126" s="2">
        <v>0</v>
      </c>
      <c r="F126">
        <f t="shared" si="10"/>
        <v>-2.6999999999999996E-2</v>
      </c>
      <c r="G126">
        <f t="shared" si="11"/>
        <v>0.03</v>
      </c>
      <c r="H126">
        <f t="shared" si="12"/>
        <v>8.0000000000000002E-3</v>
      </c>
      <c r="I126">
        <f t="shared" si="13"/>
        <v>0</v>
      </c>
      <c r="J126" s="1">
        <f t="shared" si="14"/>
        <v>-0.72972972972972971</v>
      </c>
      <c r="K126" s="1">
        <f t="shared" si="15"/>
        <v>3.75</v>
      </c>
      <c r="L126" s="1">
        <f t="shared" si="16"/>
        <v>8</v>
      </c>
      <c r="M126" s="1" t="e">
        <f t="shared" si="17"/>
        <v>#DIV/0!</v>
      </c>
    </row>
    <row r="127" spans="1:13">
      <c r="A127" t="s">
        <v>100</v>
      </c>
      <c r="B127" s="2">
        <v>6.0000000000000001E-3</v>
      </c>
      <c r="C127" s="2">
        <v>7.0000000000000001E-3</v>
      </c>
      <c r="D127" s="2">
        <v>2E-3</v>
      </c>
      <c r="E127" s="2">
        <v>0</v>
      </c>
      <c r="F127">
        <f t="shared" si="10"/>
        <v>-3.1E-2</v>
      </c>
      <c r="G127">
        <f t="shared" si="11"/>
        <v>-1E-3</v>
      </c>
      <c r="H127">
        <f t="shared" si="12"/>
        <v>1E-3</v>
      </c>
      <c r="I127">
        <f t="shared" si="13"/>
        <v>0</v>
      </c>
      <c r="J127" s="1">
        <f t="shared" si="14"/>
        <v>-0.83783783783783783</v>
      </c>
      <c r="K127" s="1">
        <f t="shared" si="15"/>
        <v>-0.125</v>
      </c>
      <c r="L127" s="1">
        <f t="shared" si="16"/>
        <v>1</v>
      </c>
      <c r="M127" s="1" t="e">
        <f t="shared" si="17"/>
        <v>#DIV/0!</v>
      </c>
    </row>
    <row r="128" spans="1:13">
      <c r="A128" t="s">
        <v>85</v>
      </c>
      <c r="B128" s="2">
        <v>4.0000000000000001E-3</v>
      </c>
      <c r="C128" s="2">
        <v>8.9999999999999993E-3</v>
      </c>
      <c r="D128" s="2">
        <v>3.0000000000000001E-3</v>
      </c>
      <c r="E128" s="2">
        <v>0</v>
      </c>
      <c r="F128">
        <f t="shared" si="10"/>
        <v>-3.3000000000000002E-2</v>
      </c>
      <c r="G128">
        <f t="shared" si="11"/>
        <v>9.9999999999999915E-4</v>
      </c>
      <c r="H128">
        <f t="shared" si="12"/>
        <v>2E-3</v>
      </c>
      <c r="I128">
        <f t="shared" si="13"/>
        <v>0</v>
      </c>
      <c r="J128" s="1">
        <f t="shared" si="14"/>
        <v>-0.891891891891892</v>
      </c>
      <c r="K128" s="1">
        <f t="shared" si="15"/>
        <v>0.12499999999999989</v>
      </c>
      <c r="L128" s="1">
        <f t="shared" si="16"/>
        <v>2</v>
      </c>
      <c r="M128" s="1" t="e">
        <f t="shared" si="17"/>
        <v>#DIV/0!</v>
      </c>
    </row>
    <row r="129" spans="1:13">
      <c r="A129" t="s">
        <v>89</v>
      </c>
      <c r="B129" s="2">
        <v>4.0000000000000001E-3</v>
      </c>
      <c r="C129" s="2">
        <v>8.9999999999999993E-3</v>
      </c>
      <c r="D129" s="2">
        <v>3.0000000000000001E-3</v>
      </c>
      <c r="E129" s="2">
        <v>0</v>
      </c>
      <c r="F129">
        <f t="shared" si="10"/>
        <v>-3.3000000000000002E-2</v>
      </c>
      <c r="G129">
        <f t="shared" si="11"/>
        <v>9.9999999999999915E-4</v>
      </c>
      <c r="H129">
        <f t="shared" si="12"/>
        <v>2E-3</v>
      </c>
      <c r="I129">
        <f t="shared" si="13"/>
        <v>0</v>
      </c>
      <c r="J129" s="1">
        <f t="shared" si="14"/>
        <v>-0.891891891891892</v>
      </c>
      <c r="K129" s="1">
        <f t="shared" si="15"/>
        <v>0.12499999999999989</v>
      </c>
      <c r="L129" s="1">
        <f t="shared" si="16"/>
        <v>2</v>
      </c>
      <c r="M129" s="1" t="e">
        <f t="shared" si="17"/>
        <v>#DIV/0!</v>
      </c>
    </row>
    <row r="130" spans="1:13">
      <c r="A130" t="s">
        <v>93</v>
      </c>
      <c r="B130" s="2">
        <v>4.0000000000000001E-3</v>
      </c>
      <c r="C130" s="2">
        <v>8.9999999999999993E-3</v>
      </c>
      <c r="D130" s="2">
        <v>3.0000000000000001E-3</v>
      </c>
      <c r="E130" s="2">
        <v>0</v>
      </c>
      <c r="F130">
        <f t="shared" si="10"/>
        <v>-3.3000000000000002E-2</v>
      </c>
      <c r="G130">
        <f t="shared" si="11"/>
        <v>9.9999999999999915E-4</v>
      </c>
      <c r="H130">
        <f t="shared" si="12"/>
        <v>2E-3</v>
      </c>
      <c r="I130">
        <f t="shared" si="13"/>
        <v>0</v>
      </c>
      <c r="J130" s="1">
        <f t="shared" si="14"/>
        <v>-0.891891891891892</v>
      </c>
      <c r="K130" s="1">
        <f t="shared" si="15"/>
        <v>0.12499999999999989</v>
      </c>
      <c r="L130" s="1">
        <f t="shared" si="16"/>
        <v>2</v>
      </c>
      <c r="M130" s="1" t="e">
        <f t="shared" si="17"/>
        <v>#DIV/0!</v>
      </c>
    </row>
    <row r="131" spans="1:13">
      <c r="A131" t="s">
        <v>84</v>
      </c>
      <c r="B131" s="2">
        <v>2E-3</v>
      </c>
      <c r="C131" s="2">
        <v>1E-3</v>
      </c>
      <c r="D131" s="2">
        <v>0</v>
      </c>
      <c r="E131" s="2">
        <v>0</v>
      </c>
      <c r="F131">
        <f t="shared" ref="F131:F144" si="18">B131-P$2</f>
        <v>-3.4999999999999996E-2</v>
      </c>
      <c r="G131">
        <f t="shared" ref="G131:G144" si="19">C131-Q$2</f>
        <v>-7.0000000000000001E-3</v>
      </c>
      <c r="H131">
        <f t="shared" ref="H131:H144" si="20">D131-R$2</f>
        <v>-1E-3</v>
      </c>
      <c r="I131">
        <f t="shared" ref="I131:I144" si="21">E131-S$2</f>
        <v>0</v>
      </c>
      <c r="J131" s="1">
        <f t="shared" ref="J131:J144" si="22">F131/P$2</f>
        <v>-0.94594594594594594</v>
      </c>
      <c r="K131" s="1">
        <f t="shared" ref="K131:K144" si="23">G131/Q$2</f>
        <v>-0.875</v>
      </c>
      <c r="L131" s="1">
        <f t="shared" ref="L131:L144" si="24">H131/R$2</f>
        <v>-1</v>
      </c>
      <c r="M131" s="1" t="e">
        <f t="shared" ref="M131:M144" si="25">I131/S$2</f>
        <v>#DIV/0!</v>
      </c>
    </row>
    <row r="132" spans="1:13">
      <c r="A132" t="s">
        <v>88</v>
      </c>
      <c r="B132" s="2">
        <v>2E-3</v>
      </c>
      <c r="C132" s="2">
        <v>1E-3</v>
      </c>
      <c r="D132" s="2">
        <v>0</v>
      </c>
      <c r="E132" s="2">
        <v>0</v>
      </c>
      <c r="F132">
        <f t="shared" si="18"/>
        <v>-3.4999999999999996E-2</v>
      </c>
      <c r="G132">
        <f t="shared" si="19"/>
        <v>-7.0000000000000001E-3</v>
      </c>
      <c r="H132">
        <f t="shared" si="20"/>
        <v>-1E-3</v>
      </c>
      <c r="I132">
        <f t="shared" si="21"/>
        <v>0</v>
      </c>
      <c r="J132" s="1">
        <f t="shared" si="22"/>
        <v>-0.94594594594594594</v>
      </c>
      <c r="K132" s="1">
        <f t="shared" si="23"/>
        <v>-0.875</v>
      </c>
      <c r="L132" s="1">
        <f t="shared" si="24"/>
        <v>-1</v>
      </c>
      <c r="M132" s="1" t="e">
        <f t="shared" si="25"/>
        <v>#DIV/0!</v>
      </c>
    </row>
    <row r="133" spans="1:13">
      <c r="A133" t="s">
        <v>92</v>
      </c>
      <c r="B133" s="2">
        <v>2E-3</v>
      </c>
      <c r="C133" s="2">
        <v>1E-3</v>
      </c>
      <c r="D133" s="2">
        <v>0</v>
      </c>
      <c r="E133" s="2">
        <v>0</v>
      </c>
      <c r="F133">
        <f t="shared" si="18"/>
        <v>-3.4999999999999996E-2</v>
      </c>
      <c r="G133">
        <f t="shared" si="19"/>
        <v>-7.0000000000000001E-3</v>
      </c>
      <c r="H133">
        <f t="shared" si="20"/>
        <v>-1E-3</v>
      </c>
      <c r="I133">
        <f t="shared" si="21"/>
        <v>0</v>
      </c>
      <c r="J133" s="1">
        <f t="shared" si="22"/>
        <v>-0.94594594594594594</v>
      </c>
      <c r="K133" s="1">
        <f t="shared" si="23"/>
        <v>-0.875</v>
      </c>
      <c r="L133" s="1">
        <f t="shared" si="24"/>
        <v>-1</v>
      </c>
      <c r="M133" s="1" t="e">
        <f t="shared" si="25"/>
        <v>#DIV/0!</v>
      </c>
    </row>
    <row r="134" spans="1:13">
      <c r="A134" t="s">
        <v>96</v>
      </c>
      <c r="B134" s="2">
        <v>2E-3</v>
      </c>
      <c r="C134" s="2">
        <v>1E-3</v>
      </c>
      <c r="D134" s="2">
        <v>0</v>
      </c>
      <c r="E134" s="2">
        <v>0</v>
      </c>
      <c r="F134">
        <f t="shared" si="18"/>
        <v>-3.4999999999999996E-2</v>
      </c>
      <c r="G134">
        <f t="shared" si="19"/>
        <v>-7.0000000000000001E-3</v>
      </c>
      <c r="H134">
        <f t="shared" si="20"/>
        <v>-1E-3</v>
      </c>
      <c r="I134">
        <f t="shared" si="21"/>
        <v>0</v>
      </c>
      <c r="J134" s="1">
        <f t="shared" si="22"/>
        <v>-0.94594594594594594</v>
      </c>
      <c r="K134" s="1">
        <f t="shared" si="23"/>
        <v>-0.875</v>
      </c>
      <c r="L134" s="1">
        <f t="shared" si="24"/>
        <v>-1</v>
      </c>
      <c r="M134" s="1" t="e">
        <f t="shared" si="25"/>
        <v>#DIV/0!</v>
      </c>
    </row>
    <row r="135" spans="1:13">
      <c r="A135" t="s">
        <v>104</v>
      </c>
      <c r="B135" s="2">
        <v>2E-3</v>
      </c>
      <c r="C135" s="2">
        <v>1E-3</v>
      </c>
      <c r="D135" s="2">
        <v>0</v>
      </c>
      <c r="E135" s="2">
        <v>0</v>
      </c>
      <c r="F135">
        <f t="shared" si="18"/>
        <v>-3.4999999999999996E-2</v>
      </c>
      <c r="G135">
        <f t="shared" si="19"/>
        <v>-7.0000000000000001E-3</v>
      </c>
      <c r="H135">
        <f t="shared" si="20"/>
        <v>-1E-3</v>
      </c>
      <c r="I135">
        <f t="shared" si="21"/>
        <v>0</v>
      </c>
      <c r="J135" s="1">
        <f t="shared" si="22"/>
        <v>-0.94594594594594594</v>
      </c>
      <c r="K135" s="1">
        <f t="shared" si="23"/>
        <v>-0.875</v>
      </c>
      <c r="L135" s="1">
        <f t="shared" si="24"/>
        <v>-1</v>
      </c>
      <c r="M135" s="1" t="e">
        <f t="shared" si="25"/>
        <v>#DIV/0!</v>
      </c>
    </row>
    <row r="136" spans="1:13">
      <c r="A136" t="s">
        <v>108</v>
      </c>
      <c r="B136" s="2">
        <v>2E-3</v>
      </c>
      <c r="C136" s="2">
        <v>1E-3</v>
      </c>
      <c r="D136" s="2">
        <v>0</v>
      </c>
      <c r="E136" s="2">
        <v>0</v>
      </c>
      <c r="F136">
        <f t="shared" si="18"/>
        <v>-3.4999999999999996E-2</v>
      </c>
      <c r="G136">
        <f t="shared" si="19"/>
        <v>-7.0000000000000001E-3</v>
      </c>
      <c r="H136">
        <f t="shared" si="20"/>
        <v>-1E-3</v>
      </c>
      <c r="I136">
        <f t="shared" si="21"/>
        <v>0</v>
      </c>
      <c r="J136" s="1">
        <f t="shared" si="22"/>
        <v>-0.94594594594594594</v>
      </c>
      <c r="K136" s="1">
        <f t="shared" si="23"/>
        <v>-0.875</v>
      </c>
      <c r="L136" s="1">
        <f t="shared" si="24"/>
        <v>-1</v>
      </c>
      <c r="M136" s="1" t="e">
        <f t="shared" si="25"/>
        <v>#DIV/0!</v>
      </c>
    </row>
    <row r="137" spans="1:13">
      <c r="A137" t="s">
        <v>97</v>
      </c>
      <c r="B137" s="2">
        <v>1E-3</v>
      </c>
      <c r="C137" s="2">
        <v>0</v>
      </c>
      <c r="D137" s="2">
        <v>0</v>
      </c>
      <c r="E137" s="2">
        <v>0</v>
      </c>
      <c r="F137">
        <f t="shared" si="18"/>
        <v>-3.5999999999999997E-2</v>
      </c>
      <c r="G137">
        <f t="shared" si="19"/>
        <v>-8.0000000000000002E-3</v>
      </c>
      <c r="H137">
        <f t="shared" si="20"/>
        <v>-1E-3</v>
      </c>
      <c r="I137">
        <f t="shared" si="21"/>
        <v>0</v>
      </c>
      <c r="J137" s="1">
        <f t="shared" si="22"/>
        <v>-0.97297297297297292</v>
      </c>
      <c r="K137" s="1">
        <f t="shared" si="23"/>
        <v>-1</v>
      </c>
      <c r="L137" s="1">
        <f t="shared" si="24"/>
        <v>-1</v>
      </c>
      <c r="M137" s="1" t="e">
        <f t="shared" si="25"/>
        <v>#DIV/0!</v>
      </c>
    </row>
    <row r="138" spans="1:13">
      <c r="A138" t="s">
        <v>8</v>
      </c>
      <c r="B138" s="2">
        <v>0</v>
      </c>
      <c r="C138" s="2">
        <v>0</v>
      </c>
      <c r="D138" s="2">
        <v>0</v>
      </c>
      <c r="E138" s="2">
        <v>0</v>
      </c>
      <c r="F138">
        <f t="shared" si="18"/>
        <v>-3.6999999999999998E-2</v>
      </c>
      <c r="G138">
        <f t="shared" si="19"/>
        <v>-8.0000000000000002E-3</v>
      </c>
      <c r="H138">
        <f t="shared" si="20"/>
        <v>-1E-3</v>
      </c>
      <c r="I138">
        <f t="shared" si="21"/>
        <v>0</v>
      </c>
      <c r="J138" s="1">
        <f t="shared" si="22"/>
        <v>-1</v>
      </c>
      <c r="K138" s="1">
        <f t="shared" si="23"/>
        <v>-1</v>
      </c>
      <c r="L138" s="1">
        <f t="shared" si="24"/>
        <v>-1</v>
      </c>
      <c r="M138" s="1" t="e">
        <f t="shared" si="25"/>
        <v>#DIV/0!</v>
      </c>
    </row>
    <row r="139" spans="1:13">
      <c r="A139" t="s">
        <v>23</v>
      </c>
      <c r="B139" s="2">
        <v>0</v>
      </c>
      <c r="C139" s="2">
        <v>0</v>
      </c>
      <c r="D139" s="2">
        <v>0</v>
      </c>
      <c r="E139" s="2">
        <v>0</v>
      </c>
      <c r="F139">
        <f t="shared" si="18"/>
        <v>-3.6999999999999998E-2</v>
      </c>
      <c r="G139">
        <f t="shared" si="19"/>
        <v>-8.0000000000000002E-3</v>
      </c>
      <c r="H139">
        <f t="shared" si="20"/>
        <v>-1E-3</v>
      </c>
      <c r="I139">
        <f t="shared" si="21"/>
        <v>0</v>
      </c>
      <c r="J139" s="1">
        <f t="shared" si="22"/>
        <v>-1</v>
      </c>
      <c r="K139" s="1">
        <f t="shared" si="23"/>
        <v>-1</v>
      </c>
      <c r="L139" s="1">
        <f t="shared" si="24"/>
        <v>-1</v>
      </c>
      <c r="M139" s="1" t="e">
        <f t="shared" si="25"/>
        <v>#DIV/0!</v>
      </c>
    </row>
    <row r="140" spans="1:13">
      <c r="A140" t="s">
        <v>29</v>
      </c>
      <c r="B140" s="2">
        <v>0</v>
      </c>
      <c r="C140" s="2">
        <v>0</v>
      </c>
      <c r="D140" s="2">
        <v>0</v>
      </c>
      <c r="E140" s="2">
        <v>0</v>
      </c>
      <c r="F140">
        <f t="shared" si="18"/>
        <v>-3.6999999999999998E-2</v>
      </c>
      <c r="G140">
        <f t="shared" si="19"/>
        <v>-8.0000000000000002E-3</v>
      </c>
      <c r="H140">
        <f t="shared" si="20"/>
        <v>-1E-3</v>
      </c>
      <c r="I140">
        <f t="shared" si="21"/>
        <v>0</v>
      </c>
      <c r="J140" s="1">
        <f t="shared" si="22"/>
        <v>-1</v>
      </c>
      <c r="K140" s="1">
        <f t="shared" si="23"/>
        <v>-1</v>
      </c>
      <c r="L140" s="1">
        <f t="shared" si="24"/>
        <v>-1</v>
      </c>
      <c r="M140" s="1" t="e">
        <f t="shared" si="25"/>
        <v>#DIV/0!</v>
      </c>
    </row>
    <row r="141" spans="1:13">
      <c r="A141" t="s">
        <v>35</v>
      </c>
      <c r="B141" s="2">
        <v>0</v>
      </c>
      <c r="C141" s="2">
        <v>0</v>
      </c>
      <c r="D141" s="2">
        <v>0</v>
      </c>
      <c r="E141" s="2">
        <v>0</v>
      </c>
      <c r="F141">
        <f t="shared" si="18"/>
        <v>-3.6999999999999998E-2</v>
      </c>
      <c r="G141">
        <f t="shared" si="19"/>
        <v>-8.0000000000000002E-3</v>
      </c>
      <c r="H141">
        <f t="shared" si="20"/>
        <v>-1E-3</v>
      </c>
      <c r="I141">
        <f t="shared" si="21"/>
        <v>0</v>
      </c>
      <c r="J141" s="1">
        <f t="shared" si="22"/>
        <v>-1</v>
      </c>
      <c r="K141" s="1">
        <f t="shared" si="23"/>
        <v>-1</v>
      </c>
      <c r="L141" s="1">
        <f t="shared" si="24"/>
        <v>-1</v>
      </c>
      <c r="M141" s="1" t="e">
        <f t="shared" si="25"/>
        <v>#DIV/0!</v>
      </c>
    </row>
    <row r="142" spans="1:13">
      <c r="A142" t="s">
        <v>76</v>
      </c>
      <c r="B142" s="2">
        <v>0</v>
      </c>
      <c r="C142" s="2">
        <v>0</v>
      </c>
      <c r="D142" s="2">
        <v>0</v>
      </c>
      <c r="E142" s="2">
        <v>0</v>
      </c>
      <c r="F142">
        <f t="shared" si="18"/>
        <v>-3.6999999999999998E-2</v>
      </c>
      <c r="G142">
        <f t="shared" si="19"/>
        <v>-8.0000000000000002E-3</v>
      </c>
      <c r="H142">
        <f t="shared" si="20"/>
        <v>-1E-3</v>
      </c>
      <c r="I142">
        <f t="shared" si="21"/>
        <v>0</v>
      </c>
      <c r="J142" s="1">
        <f t="shared" si="22"/>
        <v>-1</v>
      </c>
      <c r="K142" s="1">
        <f t="shared" si="23"/>
        <v>-1</v>
      </c>
      <c r="L142" s="1">
        <f t="shared" si="24"/>
        <v>-1</v>
      </c>
      <c r="M142" s="1" t="e">
        <f t="shared" si="25"/>
        <v>#DIV/0!</v>
      </c>
    </row>
    <row r="143" spans="1:13">
      <c r="A143" t="s">
        <v>80</v>
      </c>
      <c r="B143" s="2">
        <v>0</v>
      </c>
      <c r="C143" s="2">
        <v>0</v>
      </c>
      <c r="D143" s="2">
        <v>0</v>
      </c>
      <c r="E143" s="2">
        <v>0</v>
      </c>
      <c r="F143">
        <f t="shared" si="18"/>
        <v>-3.6999999999999998E-2</v>
      </c>
      <c r="G143">
        <f t="shared" si="19"/>
        <v>-8.0000000000000002E-3</v>
      </c>
      <c r="H143">
        <f t="shared" si="20"/>
        <v>-1E-3</v>
      </c>
      <c r="I143">
        <f t="shared" si="21"/>
        <v>0</v>
      </c>
      <c r="J143" s="1">
        <f t="shared" si="22"/>
        <v>-1</v>
      </c>
      <c r="K143" s="1">
        <f t="shared" si="23"/>
        <v>-1</v>
      </c>
      <c r="L143" s="1">
        <f t="shared" si="24"/>
        <v>-1</v>
      </c>
      <c r="M143" s="1" t="e">
        <f t="shared" si="25"/>
        <v>#DIV/0!</v>
      </c>
    </row>
    <row r="144" spans="1:13">
      <c r="A144" t="s">
        <v>101</v>
      </c>
      <c r="B144" s="2">
        <v>0</v>
      </c>
      <c r="C144" s="2">
        <v>0</v>
      </c>
      <c r="D144" s="2">
        <v>0</v>
      </c>
      <c r="E144" s="2">
        <v>0</v>
      </c>
      <c r="F144">
        <f t="shared" si="18"/>
        <v>-3.6999999999999998E-2</v>
      </c>
      <c r="G144">
        <f t="shared" si="19"/>
        <v>-8.0000000000000002E-3</v>
      </c>
      <c r="H144">
        <f t="shared" si="20"/>
        <v>-1E-3</v>
      </c>
      <c r="I144">
        <f t="shared" si="21"/>
        <v>0</v>
      </c>
      <c r="J144" s="1">
        <f t="shared" si="22"/>
        <v>-1</v>
      </c>
      <c r="K144" s="1">
        <f t="shared" si="23"/>
        <v>-1</v>
      </c>
      <c r="L144" s="1">
        <f t="shared" si="24"/>
        <v>-1</v>
      </c>
      <c r="M144" s="1" t="e">
        <f t="shared" si="25"/>
        <v>#DIV/0!</v>
      </c>
    </row>
  </sheetData>
  <autoFilter ref="A1:E144">
    <sortState ref="A2:E144">
      <sortCondition descending="1" ref="E2:E144"/>
      <sortCondition descending="1" ref="B2:B144"/>
    </sortState>
  </autoFilter>
  <conditionalFormatting sqref="F2:I14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44"/>
  <sheetViews>
    <sheetView workbookViewId="0">
      <selection activeCell="F1" sqref="F1"/>
    </sheetView>
  </sheetViews>
  <sheetFormatPr defaultRowHeight="13.8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106</v>
      </c>
      <c r="B2">
        <v>0.97499999999999998</v>
      </c>
      <c r="C2">
        <v>0.98699999999999999</v>
      </c>
      <c r="D2">
        <v>0.86399999999999999</v>
      </c>
      <c r="E2">
        <v>0.95399999999999996</v>
      </c>
    </row>
    <row r="3" spans="1:5">
      <c r="A3" t="s">
        <v>110</v>
      </c>
      <c r="B3">
        <v>0.97199999999999998</v>
      </c>
      <c r="C3">
        <v>0.98699999999999999</v>
      </c>
      <c r="D3">
        <v>0.871</v>
      </c>
      <c r="E3">
        <v>0.95399999999999996</v>
      </c>
    </row>
    <row r="4" spans="1:5">
      <c r="A4" t="s">
        <v>78</v>
      </c>
      <c r="B4">
        <v>0.97599999999999998</v>
      </c>
      <c r="C4">
        <v>0.98699999999999999</v>
      </c>
      <c r="D4">
        <v>0.86599999999999999</v>
      </c>
      <c r="E4">
        <v>0.95299999999999996</v>
      </c>
    </row>
    <row r="5" spans="1:5">
      <c r="A5" t="s">
        <v>82</v>
      </c>
      <c r="B5">
        <v>0.97399999999999998</v>
      </c>
      <c r="C5">
        <v>0.98599999999999999</v>
      </c>
      <c r="D5">
        <v>0.86499999999999999</v>
      </c>
      <c r="E5">
        <v>0.95</v>
      </c>
    </row>
    <row r="6" spans="1:5">
      <c r="A6" t="s">
        <v>94</v>
      </c>
      <c r="B6">
        <v>0.96899999999999997</v>
      </c>
      <c r="C6">
        <v>0.98499999999999999</v>
      </c>
      <c r="D6">
        <v>0.86299999999999999</v>
      </c>
      <c r="E6">
        <v>0.94799999999999995</v>
      </c>
    </row>
    <row r="7" spans="1:5">
      <c r="A7" t="s">
        <v>90</v>
      </c>
      <c r="B7">
        <v>0.96599999999999997</v>
      </c>
      <c r="C7">
        <v>0.98399999999999999</v>
      </c>
      <c r="D7">
        <v>0.86</v>
      </c>
      <c r="E7">
        <v>0.94599999999999995</v>
      </c>
    </row>
    <row r="8" spans="1:5">
      <c r="A8" t="s">
        <v>98</v>
      </c>
      <c r="B8">
        <v>0.96499999999999997</v>
      </c>
      <c r="C8">
        <v>0.98299999999999998</v>
      </c>
      <c r="D8">
        <v>0.85199999999999998</v>
      </c>
      <c r="E8">
        <v>0.94499999999999995</v>
      </c>
    </row>
    <row r="9" spans="1:5">
      <c r="A9" t="s">
        <v>102</v>
      </c>
      <c r="B9">
        <v>0.96499999999999997</v>
      </c>
      <c r="C9">
        <v>0.98299999999999998</v>
      </c>
      <c r="D9">
        <v>0.85199999999999998</v>
      </c>
      <c r="E9">
        <v>0.94499999999999995</v>
      </c>
    </row>
    <row r="10" spans="1:5">
      <c r="A10" t="s">
        <v>86</v>
      </c>
      <c r="B10">
        <v>0.96399999999999997</v>
      </c>
      <c r="C10">
        <v>0.98299999999999998</v>
      </c>
      <c r="D10">
        <v>0.85</v>
      </c>
      <c r="E10">
        <v>0.94499999999999995</v>
      </c>
    </row>
    <row r="11" spans="1:5">
      <c r="A11" t="s">
        <v>115</v>
      </c>
      <c r="B11">
        <v>0.96599999999999997</v>
      </c>
      <c r="C11">
        <v>0.98299999999999998</v>
      </c>
      <c r="D11">
        <v>0.82399999999999995</v>
      </c>
      <c r="E11">
        <v>0.94099999999999995</v>
      </c>
    </row>
    <row r="12" spans="1:5">
      <c r="A12" t="s">
        <v>127</v>
      </c>
      <c r="B12">
        <v>0.96599999999999997</v>
      </c>
      <c r="C12">
        <v>0.98299999999999998</v>
      </c>
      <c r="D12">
        <v>0.82399999999999995</v>
      </c>
      <c r="E12">
        <v>0.94099999999999995</v>
      </c>
    </row>
    <row r="13" spans="1:5">
      <c r="A13" t="s">
        <v>139</v>
      </c>
      <c r="B13">
        <v>0.96599999999999997</v>
      </c>
      <c r="C13">
        <v>0.98299999999999998</v>
      </c>
      <c r="D13">
        <v>0.82399999999999995</v>
      </c>
      <c r="E13">
        <v>0.94099999999999995</v>
      </c>
    </row>
    <row r="14" spans="1:5">
      <c r="A14" t="s">
        <v>121</v>
      </c>
      <c r="B14">
        <v>0.96399999999999997</v>
      </c>
      <c r="C14">
        <v>0.98299999999999998</v>
      </c>
      <c r="D14">
        <v>0.82499999999999996</v>
      </c>
      <c r="E14">
        <v>0.94</v>
      </c>
    </row>
    <row r="15" spans="1:5">
      <c r="A15" t="s">
        <v>133</v>
      </c>
      <c r="B15">
        <v>0.96399999999999997</v>
      </c>
      <c r="C15">
        <v>0.98299999999999998</v>
      </c>
      <c r="D15">
        <v>0.82499999999999996</v>
      </c>
      <c r="E15">
        <v>0.94</v>
      </c>
    </row>
    <row r="16" spans="1:5">
      <c r="A16" t="s">
        <v>145</v>
      </c>
      <c r="B16">
        <v>0.96399999999999997</v>
      </c>
      <c r="C16">
        <v>0.98299999999999998</v>
      </c>
      <c r="D16">
        <v>0.82499999999999996</v>
      </c>
      <c r="E16">
        <v>0.94</v>
      </c>
    </row>
    <row r="17" spans="1:5">
      <c r="A17" t="s">
        <v>45</v>
      </c>
      <c r="B17">
        <v>0.95899999999999996</v>
      </c>
      <c r="C17">
        <v>0.98099999999999998</v>
      </c>
      <c r="D17">
        <v>0.82</v>
      </c>
      <c r="E17">
        <v>0.93899999999999995</v>
      </c>
    </row>
    <row r="18" spans="1:5">
      <c r="A18" t="s">
        <v>49</v>
      </c>
      <c r="B18">
        <v>0.96199999999999997</v>
      </c>
      <c r="C18">
        <v>0.98199999999999998</v>
      </c>
      <c r="D18">
        <v>0.81499999999999995</v>
      </c>
      <c r="E18">
        <v>0.93700000000000006</v>
      </c>
    </row>
    <row r="19" spans="1:5">
      <c r="A19" t="s">
        <v>53</v>
      </c>
      <c r="B19">
        <v>0.96099999999999997</v>
      </c>
      <c r="C19">
        <v>0.98099999999999998</v>
      </c>
      <c r="D19">
        <v>0.80700000000000005</v>
      </c>
      <c r="E19">
        <v>0.93600000000000005</v>
      </c>
    </row>
    <row r="20" spans="1:5">
      <c r="A20" t="s">
        <v>132</v>
      </c>
      <c r="B20">
        <v>0.95899999999999996</v>
      </c>
      <c r="C20">
        <v>0.97799999999999998</v>
      </c>
      <c r="D20">
        <v>0.81</v>
      </c>
      <c r="E20">
        <v>0.93400000000000005</v>
      </c>
    </row>
    <row r="21" spans="1:5">
      <c r="A21" t="s">
        <v>131</v>
      </c>
      <c r="B21">
        <v>0.96</v>
      </c>
      <c r="C21">
        <v>0.98</v>
      </c>
      <c r="D21">
        <v>0.81299999999999994</v>
      </c>
      <c r="E21">
        <v>0.93100000000000005</v>
      </c>
    </row>
    <row r="22" spans="1:5">
      <c r="A22" t="s">
        <v>138</v>
      </c>
      <c r="B22">
        <v>0.95799999999999996</v>
      </c>
      <c r="C22">
        <v>0.97899999999999998</v>
      </c>
      <c r="D22">
        <v>0.8</v>
      </c>
      <c r="E22">
        <v>0.92800000000000005</v>
      </c>
    </row>
    <row r="23" spans="1:5">
      <c r="A23" t="s">
        <v>143</v>
      </c>
      <c r="B23">
        <v>0.95899999999999996</v>
      </c>
      <c r="C23">
        <v>0.98</v>
      </c>
      <c r="D23">
        <v>0.80300000000000005</v>
      </c>
      <c r="E23">
        <v>0.92600000000000005</v>
      </c>
    </row>
    <row r="24" spans="1:5">
      <c r="A24" t="s">
        <v>144</v>
      </c>
      <c r="B24">
        <v>0.95499999999999996</v>
      </c>
      <c r="C24">
        <v>0.97799999999999998</v>
      </c>
      <c r="D24">
        <v>0.79800000000000004</v>
      </c>
      <c r="E24">
        <v>0.92600000000000005</v>
      </c>
    </row>
    <row r="25" spans="1:5">
      <c r="A25" t="s">
        <v>125</v>
      </c>
      <c r="B25">
        <v>0.95299999999999996</v>
      </c>
      <c r="C25">
        <v>0.97799999999999998</v>
      </c>
      <c r="D25">
        <v>0.81399999999999995</v>
      </c>
      <c r="E25">
        <v>0.92500000000000004</v>
      </c>
    </row>
    <row r="26" spans="1:5">
      <c r="A26" t="s">
        <v>47</v>
      </c>
      <c r="B26">
        <v>0.95199999999999996</v>
      </c>
      <c r="C26">
        <v>0.96799999999999997</v>
      </c>
      <c r="D26">
        <v>0.77100000000000002</v>
      </c>
      <c r="E26">
        <v>0.92500000000000004</v>
      </c>
    </row>
    <row r="27" spans="1:5">
      <c r="A27" t="s">
        <v>72</v>
      </c>
      <c r="B27">
        <v>0.93600000000000005</v>
      </c>
      <c r="C27">
        <v>0.96699999999999997</v>
      </c>
      <c r="D27">
        <v>0.81699999999999995</v>
      </c>
      <c r="E27">
        <v>0.92400000000000004</v>
      </c>
    </row>
    <row r="28" spans="1:5">
      <c r="A28" t="s">
        <v>137</v>
      </c>
      <c r="B28">
        <v>0.95299999999999996</v>
      </c>
      <c r="C28">
        <v>0.97799999999999998</v>
      </c>
      <c r="D28">
        <v>0.80400000000000005</v>
      </c>
      <c r="E28">
        <v>0.92200000000000004</v>
      </c>
    </row>
    <row r="29" spans="1:5">
      <c r="A29" t="s">
        <v>126</v>
      </c>
      <c r="B29">
        <v>0.94799999999999995</v>
      </c>
      <c r="C29">
        <v>0.97599999999999998</v>
      </c>
      <c r="D29">
        <v>0.80100000000000005</v>
      </c>
      <c r="E29">
        <v>0.92</v>
      </c>
    </row>
    <row r="30" spans="1:5">
      <c r="A30" t="s">
        <v>55</v>
      </c>
      <c r="B30">
        <v>0.94199999999999995</v>
      </c>
      <c r="C30">
        <v>0.96199999999999997</v>
      </c>
      <c r="D30">
        <v>0.746</v>
      </c>
      <c r="E30">
        <v>0.91800000000000004</v>
      </c>
    </row>
    <row r="31" spans="1:5">
      <c r="A31" t="s">
        <v>46</v>
      </c>
      <c r="B31">
        <v>0.93700000000000006</v>
      </c>
      <c r="C31">
        <v>0.97</v>
      </c>
      <c r="D31">
        <v>0.82199999999999995</v>
      </c>
      <c r="E31">
        <v>0.91800000000000004</v>
      </c>
    </row>
    <row r="32" spans="1:5">
      <c r="A32" t="s">
        <v>135</v>
      </c>
      <c r="B32">
        <v>0.94099999999999995</v>
      </c>
      <c r="C32">
        <v>0.96199999999999997</v>
      </c>
      <c r="D32">
        <v>0.745</v>
      </c>
      <c r="E32">
        <v>0.91500000000000004</v>
      </c>
    </row>
    <row r="33" spans="1:5">
      <c r="A33" t="s">
        <v>129</v>
      </c>
      <c r="B33">
        <v>0.93899999999999995</v>
      </c>
      <c r="C33">
        <v>0.96199999999999997</v>
      </c>
      <c r="D33">
        <v>0.745</v>
      </c>
      <c r="E33">
        <v>0.91300000000000003</v>
      </c>
    </row>
    <row r="34" spans="1:5">
      <c r="A34" t="s">
        <v>11</v>
      </c>
      <c r="B34">
        <v>0.93400000000000005</v>
      </c>
      <c r="C34">
        <v>0.95799999999999996</v>
      </c>
      <c r="D34">
        <v>0.73</v>
      </c>
      <c r="E34">
        <v>0.91300000000000003</v>
      </c>
    </row>
    <row r="35" spans="1:5">
      <c r="A35" t="s">
        <v>51</v>
      </c>
      <c r="B35">
        <v>0.93300000000000005</v>
      </c>
      <c r="C35">
        <v>0.95499999999999996</v>
      </c>
      <c r="D35">
        <v>0.72099999999999997</v>
      </c>
      <c r="E35">
        <v>0.91300000000000003</v>
      </c>
    </row>
    <row r="36" spans="1:5">
      <c r="A36" t="s">
        <v>73</v>
      </c>
      <c r="B36">
        <v>0.93799999999999994</v>
      </c>
      <c r="C36">
        <v>0.96699999999999997</v>
      </c>
      <c r="D36">
        <v>0.73199999999999998</v>
      </c>
      <c r="E36">
        <v>0.91200000000000003</v>
      </c>
    </row>
    <row r="37" spans="1:5">
      <c r="A37" t="s">
        <v>54</v>
      </c>
      <c r="B37">
        <v>0.92900000000000005</v>
      </c>
      <c r="C37">
        <v>0.96</v>
      </c>
      <c r="D37">
        <v>0.8</v>
      </c>
      <c r="E37">
        <v>0.91</v>
      </c>
    </row>
    <row r="38" spans="1:5">
      <c r="A38" t="s">
        <v>56</v>
      </c>
      <c r="B38">
        <v>0.93200000000000005</v>
      </c>
      <c r="C38">
        <v>0.96099999999999997</v>
      </c>
      <c r="D38">
        <v>0.80800000000000005</v>
      </c>
      <c r="E38">
        <v>0.90900000000000003</v>
      </c>
    </row>
    <row r="39" spans="1:5">
      <c r="A39" t="s">
        <v>10</v>
      </c>
      <c r="B39">
        <v>0.92700000000000005</v>
      </c>
      <c r="C39">
        <v>0.95799999999999996</v>
      </c>
      <c r="D39">
        <v>0.78200000000000003</v>
      </c>
      <c r="E39">
        <v>0.90900000000000003</v>
      </c>
    </row>
    <row r="40" spans="1:5">
      <c r="A40" t="s">
        <v>57</v>
      </c>
      <c r="B40">
        <v>0.93799999999999994</v>
      </c>
      <c r="C40">
        <v>0.96599999999999997</v>
      </c>
      <c r="D40">
        <v>0.75700000000000001</v>
      </c>
      <c r="E40">
        <v>0.90700000000000003</v>
      </c>
    </row>
    <row r="41" spans="1:5">
      <c r="A41" t="s">
        <v>39</v>
      </c>
      <c r="B41">
        <v>0.92500000000000004</v>
      </c>
      <c r="C41">
        <v>0.96199999999999997</v>
      </c>
      <c r="D41">
        <v>0.79600000000000004</v>
      </c>
      <c r="E41">
        <v>0.90700000000000003</v>
      </c>
    </row>
    <row r="42" spans="1:5">
      <c r="A42" t="s">
        <v>25</v>
      </c>
      <c r="B42">
        <v>0.92400000000000004</v>
      </c>
      <c r="C42">
        <v>0.95799999999999996</v>
      </c>
      <c r="D42">
        <v>0.78700000000000003</v>
      </c>
      <c r="E42">
        <v>0.90700000000000003</v>
      </c>
    </row>
    <row r="43" spans="1:5">
      <c r="A43" t="s">
        <v>48</v>
      </c>
      <c r="B43">
        <v>0.92600000000000005</v>
      </c>
      <c r="C43">
        <v>0.96399999999999997</v>
      </c>
      <c r="D43">
        <v>0.80900000000000005</v>
      </c>
      <c r="E43">
        <v>0.90500000000000003</v>
      </c>
    </row>
    <row r="44" spans="1:5">
      <c r="A44" t="s">
        <v>64</v>
      </c>
      <c r="B44">
        <v>0.92</v>
      </c>
      <c r="C44">
        <v>0.95399999999999996</v>
      </c>
      <c r="D44">
        <v>0.78200000000000003</v>
      </c>
      <c r="E44">
        <v>0.90500000000000003</v>
      </c>
    </row>
    <row r="45" spans="1:5">
      <c r="A45" t="s">
        <v>65</v>
      </c>
      <c r="B45">
        <v>0.92100000000000004</v>
      </c>
      <c r="C45">
        <v>0.95299999999999996</v>
      </c>
      <c r="D45">
        <v>0.69399999999999995</v>
      </c>
      <c r="E45">
        <v>0.90400000000000003</v>
      </c>
    </row>
    <row r="46" spans="1:5">
      <c r="A46" t="s">
        <v>60</v>
      </c>
      <c r="B46">
        <v>0.91100000000000003</v>
      </c>
      <c r="C46">
        <v>0.94899999999999995</v>
      </c>
      <c r="D46">
        <v>0.77200000000000002</v>
      </c>
      <c r="E46">
        <v>0.90300000000000002</v>
      </c>
    </row>
    <row r="47" spans="1:5">
      <c r="A47" t="s">
        <v>52</v>
      </c>
      <c r="B47">
        <v>0.92200000000000004</v>
      </c>
      <c r="C47">
        <v>0.96</v>
      </c>
      <c r="D47">
        <v>0.79600000000000004</v>
      </c>
      <c r="E47">
        <v>0.90200000000000002</v>
      </c>
    </row>
    <row r="48" spans="1:5">
      <c r="A48" t="s">
        <v>147</v>
      </c>
      <c r="B48">
        <v>0.92200000000000004</v>
      </c>
      <c r="C48">
        <v>0.94699999999999995</v>
      </c>
      <c r="D48">
        <v>0.69699999999999995</v>
      </c>
      <c r="E48">
        <v>0.9</v>
      </c>
    </row>
    <row r="49" spans="1:5">
      <c r="A49" t="s">
        <v>61</v>
      </c>
      <c r="B49">
        <v>0.91800000000000004</v>
      </c>
      <c r="C49">
        <v>0.95099999999999996</v>
      </c>
      <c r="D49">
        <v>0.69</v>
      </c>
      <c r="E49">
        <v>0.9</v>
      </c>
    </row>
    <row r="50" spans="1:5">
      <c r="A50" t="s">
        <v>12</v>
      </c>
      <c r="B50">
        <v>0.91700000000000004</v>
      </c>
      <c r="C50">
        <v>0.95399999999999996</v>
      </c>
      <c r="D50">
        <v>0.77600000000000002</v>
      </c>
      <c r="E50">
        <v>0.89900000000000002</v>
      </c>
    </row>
    <row r="51" spans="1:5">
      <c r="A51" t="s">
        <v>19</v>
      </c>
      <c r="B51">
        <v>0.91700000000000004</v>
      </c>
      <c r="C51">
        <v>0.95399999999999996</v>
      </c>
      <c r="D51">
        <v>0.77600000000000002</v>
      </c>
      <c r="E51">
        <v>0.89900000000000002</v>
      </c>
    </row>
    <row r="52" spans="1:5">
      <c r="A52" t="s">
        <v>141</v>
      </c>
      <c r="B52">
        <v>0.92100000000000004</v>
      </c>
      <c r="C52">
        <v>0.94699999999999995</v>
      </c>
      <c r="D52">
        <v>0.69699999999999995</v>
      </c>
      <c r="E52">
        <v>0.89800000000000002</v>
      </c>
    </row>
    <row r="53" spans="1:5">
      <c r="A53" t="s">
        <v>50</v>
      </c>
      <c r="B53">
        <v>0.91600000000000004</v>
      </c>
      <c r="C53">
        <v>0.95099999999999996</v>
      </c>
      <c r="D53">
        <v>0.77200000000000002</v>
      </c>
      <c r="E53">
        <v>0.89800000000000002</v>
      </c>
    </row>
    <row r="54" spans="1:5">
      <c r="A54" t="s">
        <v>128</v>
      </c>
      <c r="B54">
        <v>0.91800000000000004</v>
      </c>
      <c r="C54">
        <v>0.95499999999999996</v>
      </c>
      <c r="D54">
        <v>0.76700000000000002</v>
      </c>
      <c r="E54">
        <v>0.89600000000000002</v>
      </c>
    </row>
    <row r="55" spans="1:5">
      <c r="A55" t="s">
        <v>134</v>
      </c>
      <c r="B55">
        <v>0.91800000000000004</v>
      </c>
      <c r="C55">
        <v>0.95699999999999996</v>
      </c>
      <c r="D55">
        <v>0.78300000000000003</v>
      </c>
      <c r="E55">
        <v>0.89400000000000002</v>
      </c>
    </row>
    <row r="56" spans="1:5">
      <c r="A56" t="s">
        <v>83</v>
      </c>
      <c r="B56">
        <v>0.90800000000000003</v>
      </c>
      <c r="C56">
        <v>0.95099999999999996</v>
      </c>
      <c r="D56">
        <v>0.70699999999999996</v>
      </c>
      <c r="E56">
        <v>0.89200000000000002</v>
      </c>
    </row>
    <row r="57" spans="1:5">
      <c r="A57" t="s">
        <v>142</v>
      </c>
      <c r="B57">
        <v>0.91500000000000004</v>
      </c>
      <c r="C57">
        <v>0.95399999999999996</v>
      </c>
      <c r="D57">
        <v>0.78300000000000003</v>
      </c>
      <c r="E57">
        <v>0.89100000000000001</v>
      </c>
    </row>
    <row r="58" spans="1:5">
      <c r="A58" t="s">
        <v>79</v>
      </c>
      <c r="B58">
        <v>0.90300000000000002</v>
      </c>
      <c r="C58">
        <v>0.94599999999999995</v>
      </c>
      <c r="D58">
        <v>0.69399999999999995</v>
      </c>
      <c r="E58">
        <v>0.89100000000000001</v>
      </c>
    </row>
    <row r="59" spans="1:5">
      <c r="A59" t="s">
        <v>136</v>
      </c>
      <c r="B59">
        <v>0.90700000000000003</v>
      </c>
      <c r="C59">
        <v>0.95</v>
      </c>
      <c r="D59">
        <v>0.78600000000000003</v>
      </c>
      <c r="E59">
        <v>0.88600000000000001</v>
      </c>
    </row>
    <row r="60" spans="1:5">
      <c r="A60" t="s">
        <v>33</v>
      </c>
      <c r="B60">
        <v>0.90200000000000002</v>
      </c>
      <c r="C60">
        <v>0.94399999999999995</v>
      </c>
      <c r="D60">
        <v>0.77900000000000003</v>
      </c>
      <c r="E60">
        <v>0.88600000000000001</v>
      </c>
    </row>
    <row r="61" spans="1:5">
      <c r="A61" t="s">
        <v>95</v>
      </c>
      <c r="B61">
        <v>0.89900000000000002</v>
      </c>
      <c r="C61">
        <v>0.94799999999999995</v>
      </c>
      <c r="D61">
        <v>0.71199999999999997</v>
      </c>
      <c r="E61">
        <v>0.88600000000000001</v>
      </c>
    </row>
    <row r="62" spans="1:5">
      <c r="A62" t="s">
        <v>31</v>
      </c>
      <c r="B62">
        <v>0.90400000000000003</v>
      </c>
      <c r="C62">
        <v>0.94099999999999995</v>
      </c>
      <c r="D62">
        <v>0.755</v>
      </c>
      <c r="E62">
        <v>0.88500000000000001</v>
      </c>
    </row>
    <row r="63" spans="1:5">
      <c r="A63" t="s">
        <v>69</v>
      </c>
      <c r="B63">
        <v>0.89900000000000002</v>
      </c>
      <c r="C63">
        <v>0.94199999999999995</v>
      </c>
      <c r="D63">
        <v>0.68200000000000005</v>
      </c>
      <c r="E63">
        <v>0.88500000000000001</v>
      </c>
    </row>
    <row r="64" spans="1:5">
      <c r="A64" t="s">
        <v>68</v>
      </c>
      <c r="B64">
        <v>0.89500000000000002</v>
      </c>
      <c r="C64">
        <v>0.93</v>
      </c>
      <c r="D64">
        <v>0.751</v>
      </c>
      <c r="E64">
        <v>0.88500000000000001</v>
      </c>
    </row>
    <row r="65" spans="1:5">
      <c r="A65" t="s">
        <v>103</v>
      </c>
      <c r="B65">
        <v>0.89300000000000002</v>
      </c>
      <c r="C65">
        <v>0.93300000000000005</v>
      </c>
      <c r="D65">
        <v>0.70399999999999996</v>
      </c>
      <c r="E65">
        <v>0.88300000000000001</v>
      </c>
    </row>
    <row r="66" spans="1:5">
      <c r="A66" t="s">
        <v>114</v>
      </c>
      <c r="B66">
        <v>0.90800000000000003</v>
      </c>
      <c r="C66">
        <v>0.94399999999999995</v>
      </c>
      <c r="D66">
        <v>0.65</v>
      </c>
      <c r="E66">
        <v>0.88200000000000001</v>
      </c>
    </row>
    <row r="67" spans="1:5">
      <c r="A67" t="s">
        <v>13</v>
      </c>
      <c r="B67">
        <v>0.89100000000000001</v>
      </c>
      <c r="C67">
        <v>0.92900000000000005</v>
      </c>
      <c r="D67">
        <v>0.74399999999999999</v>
      </c>
      <c r="E67">
        <v>0.88</v>
      </c>
    </row>
    <row r="68" spans="1:5">
      <c r="A68" t="s">
        <v>99</v>
      </c>
      <c r="B68">
        <v>0.89</v>
      </c>
      <c r="C68">
        <v>0.91200000000000003</v>
      </c>
      <c r="D68">
        <v>0.69499999999999995</v>
      </c>
      <c r="E68">
        <v>0.879</v>
      </c>
    </row>
    <row r="69" spans="1:5">
      <c r="A69" t="s">
        <v>119</v>
      </c>
      <c r="B69">
        <v>0.90400000000000003</v>
      </c>
      <c r="C69">
        <v>0.94199999999999995</v>
      </c>
      <c r="D69">
        <v>0.64700000000000002</v>
      </c>
      <c r="E69">
        <v>0.878</v>
      </c>
    </row>
    <row r="70" spans="1:5">
      <c r="A70" t="s">
        <v>112</v>
      </c>
      <c r="B70">
        <v>0.88700000000000001</v>
      </c>
      <c r="C70">
        <v>0.92700000000000005</v>
      </c>
      <c r="D70">
        <v>0.73599999999999999</v>
      </c>
      <c r="E70">
        <v>0.876</v>
      </c>
    </row>
    <row r="71" spans="1:5">
      <c r="A71" t="s">
        <v>44</v>
      </c>
      <c r="B71">
        <v>0.88600000000000001</v>
      </c>
      <c r="C71">
        <v>0.92300000000000004</v>
      </c>
      <c r="D71">
        <v>0.73799999999999999</v>
      </c>
      <c r="E71">
        <v>0.876</v>
      </c>
    </row>
    <row r="72" spans="1:5">
      <c r="A72" t="s">
        <v>113</v>
      </c>
      <c r="B72">
        <v>0.89900000000000002</v>
      </c>
      <c r="C72">
        <v>0.94</v>
      </c>
      <c r="D72">
        <v>0.65300000000000002</v>
      </c>
      <c r="E72">
        <v>0.875</v>
      </c>
    </row>
    <row r="73" spans="1:5">
      <c r="A73" t="s">
        <v>130</v>
      </c>
      <c r="B73">
        <v>0.89200000000000002</v>
      </c>
      <c r="C73">
        <v>0.93899999999999995</v>
      </c>
      <c r="D73">
        <v>0.76</v>
      </c>
      <c r="E73">
        <v>0.875</v>
      </c>
    </row>
    <row r="74" spans="1:5">
      <c r="A74" t="s">
        <v>146</v>
      </c>
      <c r="B74">
        <v>0.89400000000000002</v>
      </c>
      <c r="C74">
        <v>0.93100000000000005</v>
      </c>
      <c r="D74">
        <v>0.72499999999999998</v>
      </c>
      <c r="E74">
        <v>0.874</v>
      </c>
    </row>
    <row r="75" spans="1:5">
      <c r="A75" t="s">
        <v>91</v>
      </c>
      <c r="B75">
        <v>0.88600000000000001</v>
      </c>
      <c r="C75">
        <v>0.93</v>
      </c>
      <c r="D75">
        <v>0.69499999999999995</v>
      </c>
      <c r="E75">
        <v>0.873</v>
      </c>
    </row>
    <row r="76" spans="1:5">
      <c r="A76" t="s">
        <v>140</v>
      </c>
      <c r="B76">
        <v>0.89300000000000002</v>
      </c>
      <c r="C76">
        <v>0.92900000000000005</v>
      </c>
      <c r="D76">
        <v>0.72</v>
      </c>
      <c r="E76">
        <v>0.871</v>
      </c>
    </row>
    <row r="77" spans="1:5">
      <c r="A77" t="s">
        <v>87</v>
      </c>
      <c r="B77">
        <v>0.876</v>
      </c>
      <c r="C77">
        <v>0.93300000000000005</v>
      </c>
      <c r="D77">
        <v>0.70099999999999996</v>
      </c>
      <c r="E77">
        <v>0.86799999999999999</v>
      </c>
    </row>
    <row r="78" spans="1:5">
      <c r="A78" t="s">
        <v>124</v>
      </c>
      <c r="B78">
        <v>0.89700000000000002</v>
      </c>
      <c r="C78">
        <v>0.94299999999999995</v>
      </c>
      <c r="D78">
        <v>0.76500000000000001</v>
      </c>
      <c r="E78">
        <v>0.86699999999999999</v>
      </c>
    </row>
    <row r="79" spans="1:5">
      <c r="A79" t="s">
        <v>27</v>
      </c>
      <c r="B79">
        <v>0.878</v>
      </c>
      <c r="C79">
        <v>0.92800000000000005</v>
      </c>
      <c r="D79">
        <v>0.73499999999999999</v>
      </c>
      <c r="E79">
        <v>0.86499999999999999</v>
      </c>
    </row>
    <row r="80" spans="1:5">
      <c r="A80" t="s">
        <v>118</v>
      </c>
      <c r="B80">
        <v>0.879</v>
      </c>
      <c r="C80">
        <v>0.92500000000000004</v>
      </c>
      <c r="D80">
        <v>0.73099999999999998</v>
      </c>
      <c r="E80">
        <v>0.86199999999999999</v>
      </c>
    </row>
    <row r="81" spans="1:5">
      <c r="A81" t="s">
        <v>120</v>
      </c>
      <c r="B81">
        <v>0.88</v>
      </c>
      <c r="C81">
        <v>0.92800000000000005</v>
      </c>
      <c r="D81">
        <v>0.63800000000000001</v>
      </c>
      <c r="E81">
        <v>0.86099999999999999</v>
      </c>
    </row>
    <row r="82" spans="1:5">
      <c r="A82" t="s">
        <v>59</v>
      </c>
      <c r="B82">
        <v>0.88300000000000001</v>
      </c>
      <c r="C82">
        <v>0.91400000000000003</v>
      </c>
      <c r="D82">
        <v>0.626</v>
      </c>
      <c r="E82">
        <v>0.86</v>
      </c>
    </row>
    <row r="83" spans="1:5">
      <c r="A83" t="s">
        <v>111</v>
      </c>
      <c r="B83">
        <v>0.86899999999999999</v>
      </c>
      <c r="C83">
        <v>0.81799999999999995</v>
      </c>
      <c r="D83">
        <v>0.61099999999999999</v>
      </c>
      <c r="E83">
        <v>0.85399999999999998</v>
      </c>
    </row>
    <row r="84" spans="1:5">
      <c r="A84" t="s">
        <v>21</v>
      </c>
      <c r="B84">
        <v>0.86799999999999999</v>
      </c>
      <c r="C84">
        <v>0.91700000000000004</v>
      </c>
      <c r="D84">
        <v>0.72</v>
      </c>
      <c r="E84">
        <v>0.85399999999999998</v>
      </c>
    </row>
    <row r="85" spans="1:5">
      <c r="A85" t="s">
        <v>107</v>
      </c>
      <c r="B85">
        <v>0.871</v>
      </c>
      <c r="C85">
        <v>0.83099999999999996</v>
      </c>
      <c r="D85">
        <v>0.60299999999999998</v>
      </c>
      <c r="E85">
        <v>0.84699999999999998</v>
      </c>
    </row>
    <row r="86" spans="1:5">
      <c r="A86" t="s">
        <v>15</v>
      </c>
      <c r="B86">
        <v>0.85099999999999998</v>
      </c>
      <c r="C86">
        <v>0.89100000000000001</v>
      </c>
      <c r="D86">
        <v>0.70299999999999996</v>
      </c>
      <c r="E86">
        <v>0.84399999999999997</v>
      </c>
    </row>
    <row r="87" spans="1:5">
      <c r="A87" t="s">
        <v>75</v>
      </c>
      <c r="B87">
        <v>0.85899999999999999</v>
      </c>
      <c r="C87">
        <v>0.89400000000000002</v>
      </c>
      <c r="D87">
        <v>0.60099999999999998</v>
      </c>
      <c r="E87">
        <v>0.83099999999999996</v>
      </c>
    </row>
    <row r="88" spans="1:5">
      <c r="A88" t="s">
        <v>67</v>
      </c>
      <c r="B88">
        <v>0.85799999999999998</v>
      </c>
      <c r="C88">
        <v>0.89400000000000002</v>
      </c>
      <c r="D88">
        <v>0.59899999999999998</v>
      </c>
      <c r="E88">
        <v>0.82899999999999996</v>
      </c>
    </row>
    <row r="89" spans="1:5">
      <c r="A89" t="s">
        <v>63</v>
      </c>
      <c r="B89">
        <v>0.85599999999999998</v>
      </c>
      <c r="C89">
        <v>0.89</v>
      </c>
      <c r="D89">
        <v>0.59299999999999997</v>
      </c>
      <c r="E89">
        <v>0.82699999999999996</v>
      </c>
    </row>
    <row r="90" spans="1:5">
      <c r="A90" t="s">
        <v>6</v>
      </c>
      <c r="B90">
        <v>0.83199999999999996</v>
      </c>
      <c r="C90">
        <v>0.878</v>
      </c>
      <c r="D90">
        <v>0.67100000000000004</v>
      </c>
      <c r="E90">
        <v>0.82599999999999996</v>
      </c>
    </row>
    <row r="91" spans="1:5">
      <c r="A91" t="s">
        <v>58</v>
      </c>
      <c r="B91">
        <v>0.82899999999999996</v>
      </c>
      <c r="C91">
        <v>0.85799999999999998</v>
      </c>
      <c r="D91">
        <v>0.63800000000000001</v>
      </c>
      <c r="E91">
        <v>0.82</v>
      </c>
    </row>
    <row r="92" spans="1:5">
      <c r="A92" t="s">
        <v>71</v>
      </c>
      <c r="B92">
        <v>0.83799999999999997</v>
      </c>
      <c r="C92">
        <v>0.88400000000000001</v>
      </c>
      <c r="D92">
        <v>0.58099999999999996</v>
      </c>
      <c r="E92">
        <v>0.81299999999999994</v>
      </c>
    </row>
    <row r="93" spans="1:5">
      <c r="A93" t="s">
        <v>123</v>
      </c>
      <c r="B93">
        <v>0.83199999999999996</v>
      </c>
      <c r="C93">
        <v>0.86499999999999999</v>
      </c>
      <c r="D93">
        <v>0.55900000000000005</v>
      </c>
      <c r="E93">
        <v>0.80400000000000005</v>
      </c>
    </row>
    <row r="94" spans="1:5">
      <c r="A94" t="s">
        <v>117</v>
      </c>
      <c r="B94">
        <v>0.83</v>
      </c>
      <c r="C94">
        <v>0.86399999999999999</v>
      </c>
      <c r="D94">
        <v>0.55900000000000005</v>
      </c>
      <c r="E94">
        <v>0.80200000000000005</v>
      </c>
    </row>
    <row r="95" spans="1:5">
      <c r="A95" t="s">
        <v>74</v>
      </c>
      <c r="B95">
        <v>0.81399999999999995</v>
      </c>
      <c r="C95">
        <v>0.84499999999999997</v>
      </c>
      <c r="D95">
        <v>0.61699999999999999</v>
      </c>
      <c r="E95">
        <v>0.79700000000000004</v>
      </c>
    </row>
    <row r="96" spans="1:5">
      <c r="A96" t="s">
        <v>43</v>
      </c>
      <c r="B96">
        <v>0.80400000000000005</v>
      </c>
      <c r="C96">
        <v>0.83099999999999996</v>
      </c>
      <c r="D96">
        <v>0.59499999999999997</v>
      </c>
      <c r="E96">
        <v>0.78800000000000003</v>
      </c>
    </row>
    <row r="97" spans="1:5">
      <c r="A97" t="s">
        <v>66</v>
      </c>
      <c r="B97">
        <v>0.79500000000000004</v>
      </c>
      <c r="C97">
        <v>0.81399999999999995</v>
      </c>
      <c r="D97">
        <v>0.58399999999999996</v>
      </c>
      <c r="E97">
        <v>0.78800000000000003</v>
      </c>
    </row>
    <row r="98" spans="1:5">
      <c r="A98" t="s">
        <v>37</v>
      </c>
      <c r="B98">
        <v>0.78900000000000003</v>
      </c>
      <c r="C98">
        <v>0.81699999999999995</v>
      </c>
      <c r="D98">
        <v>0.58899999999999997</v>
      </c>
      <c r="E98">
        <v>0.78500000000000003</v>
      </c>
    </row>
    <row r="99" spans="1:5">
      <c r="A99" t="s">
        <v>62</v>
      </c>
      <c r="B99">
        <v>0.78500000000000003</v>
      </c>
      <c r="C99">
        <v>0.80200000000000005</v>
      </c>
      <c r="D99">
        <v>0.56299999999999994</v>
      </c>
      <c r="E99">
        <v>0.77900000000000003</v>
      </c>
    </row>
    <row r="100" spans="1:5">
      <c r="A100" t="s">
        <v>70</v>
      </c>
      <c r="B100">
        <v>0.755</v>
      </c>
      <c r="C100">
        <v>0.753</v>
      </c>
      <c r="D100">
        <v>0.53800000000000003</v>
      </c>
      <c r="E100">
        <v>0.752</v>
      </c>
    </row>
    <row r="101" spans="1:5">
      <c r="A101" t="s">
        <v>122</v>
      </c>
      <c r="B101">
        <v>0.72299999999999998</v>
      </c>
      <c r="C101">
        <v>0.73499999999999999</v>
      </c>
      <c r="D101">
        <v>0.48899999999999999</v>
      </c>
      <c r="E101">
        <v>0.71799999999999997</v>
      </c>
    </row>
    <row r="102" spans="1:5">
      <c r="A102" t="s">
        <v>116</v>
      </c>
      <c r="B102">
        <v>0.72</v>
      </c>
      <c r="C102">
        <v>0.73199999999999998</v>
      </c>
      <c r="D102">
        <v>0.48599999999999999</v>
      </c>
      <c r="E102">
        <v>0.71599999999999997</v>
      </c>
    </row>
    <row r="103" spans="1:5">
      <c r="A103" t="s">
        <v>41</v>
      </c>
      <c r="B103">
        <v>0.01</v>
      </c>
      <c r="C103">
        <v>0.499</v>
      </c>
      <c r="D103">
        <v>0.29499999999999998</v>
      </c>
      <c r="E103">
        <v>8.9999999999999993E-3</v>
      </c>
    </row>
    <row r="104" spans="1:5">
      <c r="A104" t="s">
        <v>17</v>
      </c>
      <c r="B104">
        <v>4.0000000000000001E-3</v>
      </c>
      <c r="C104">
        <v>2.7E-2</v>
      </c>
      <c r="D104">
        <v>0.01</v>
      </c>
      <c r="E104">
        <v>2E-3</v>
      </c>
    </row>
    <row r="105" spans="1:5">
      <c r="A105" t="s">
        <v>20</v>
      </c>
      <c r="B105">
        <v>0.91500000000000004</v>
      </c>
      <c r="C105">
        <v>0.94699999999999995</v>
      </c>
      <c r="D105">
        <v>0.72399999999999998</v>
      </c>
      <c r="E105">
        <v>0</v>
      </c>
    </row>
    <row r="106" spans="1:5">
      <c r="A106" t="s">
        <v>5</v>
      </c>
      <c r="B106">
        <v>0.91400000000000003</v>
      </c>
      <c r="C106">
        <v>0.94899999999999995</v>
      </c>
      <c r="D106">
        <v>0.72499999999999998</v>
      </c>
      <c r="E106">
        <v>0</v>
      </c>
    </row>
    <row r="107" spans="1:5">
      <c r="A107" t="s">
        <v>26</v>
      </c>
      <c r="B107">
        <v>0.91100000000000003</v>
      </c>
      <c r="C107">
        <v>0.94499999999999995</v>
      </c>
      <c r="D107">
        <v>0.70299999999999996</v>
      </c>
      <c r="E107">
        <v>0</v>
      </c>
    </row>
    <row r="108" spans="1:5">
      <c r="A108" t="s">
        <v>14</v>
      </c>
      <c r="B108">
        <v>0.90500000000000003</v>
      </c>
      <c r="C108">
        <v>0.94899999999999995</v>
      </c>
      <c r="D108">
        <v>0.71899999999999997</v>
      </c>
      <c r="E108">
        <v>0</v>
      </c>
    </row>
    <row r="109" spans="1:5">
      <c r="A109" t="s">
        <v>24</v>
      </c>
      <c r="B109">
        <v>0.90100000000000002</v>
      </c>
      <c r="C109">
        <v>0.92700000000000005</v>
      </c>
      <c r="D109">
        <v>0.66900000000000004</v>
      </c>
      <c r="E109">
        <v>0</v>
      </c>
    </row>
    <row r="110" spans="1:5">
      <c r="A110" t="s">
        <v>9</v>
      </c>
      <c r="B110">
        <v>0.89900000000000002</v>
      </c>
      <c r="C110">
        <v>0.92700000000000005</v>
      </c>
      <c r="D110">
        <v>0.66600000000000004</v>
      </c>
      <c r="E110">
        <v>0</v>
      </c>
    </row>
    <row r="111" spans="1:5">
      <c r="A111" t="s">
        <v>18</v>
      </c>
      <c r="B111">
        <v>0.89100000000000001</v>
      </c>
      <c r="C111">
        <v>0.92100000000000004</v>
      </c>
      <c r="D111">
        <v>0.64400000000000002</v>
      </c>
      <c r="E111">
        <v>0</v>
      </c>
    </row>
    <row r="112" spans="1:5">
      <c r="A112" t="s">
        <v>30</v>
      </c>
      <c r="B112">
        <v>0.878</v>
      </c>
      <c r="C112">
        <v>0.90900000000000003</v>
      </c>
      <c r="D112">
        <v>0.61599999999999999</v>
      </c>
      <c r="E112">
        <v>0</v>
      </c>
    </row>
    <row r="113" spans="1:5">
      <c r="A113" t="s">
        <v>42</v>
      </c>
      <c r="B113">
        <v>0.77</v>
      </c>
      <c r="C113">
        <v>0.79</v>
      </c>
      <c r="D113">
        <v>0.44600000000000001</v>
      </c>
      <c r="E113">
        <v>0</v>
      </c>
    </row>
    <row r="114" spans="1:5">
      <c r="A114" t="s">
        <v>36</v>
      </c>
      <c r="B114">
        <v>0.754</v>
      </c>
      <c r="C114">
        <v>0.77600000000000002</v>
      </c>
      <c r="D114">
        <v>0.439</v>
      </c>
      <c r="E114">
        <v>0</v>
      </c>
    </row>
    <row r="115" spans="1:5">
      <c r="A115" t="s">
        <v>16</v>
      </c>
      <c r="B115">
        <v>0.70799999999999996</v>
      </c>
      <c r="C115">
        <v>0.74099999999999999</v>
      </c>
      <c r="D115">
        <v>0.40500000000000003</v>
      </c>
      <c r="E115">
        <v>0</v>
      </c>
    </row>
    <row r="116" spans="1:5">
      <c r="A116" t="s">
        <v>38</v>
      </c>
      <c r="B116">
        <v>0.68799999999999994</v>
      </c>
      <c r="C116">
        <v>0.75600000000000001</v>
      </c>
      <c r="D116">
        <v>0.48199999999999998</v>
      </c>
      <c r="E116">
        <v>0</v>
      </c>
    </row>
    <row r="117" spans="1:5">
      <c r="A117" t="s">
        <v>7</v>
      </c>
      <c r="B117">
        <v>0.68</v>
      </c>
      <c r="C117">
        <v>0.71299999999999997</v>
      </c>
      <c r="D117">
        <v>0.377</v>
      </c>
      <c r="E117">
        <v>0</v>
      </c>
    </row>
    <row r="118" spans="1:5">
      <c r="A118" t="s">
        <v>34</v>
      </c>
      <c r="B118">
        <v>0.67800000000000005</v>
      </c>
      <c r="C118">
        <v>0.72299999999999998</v>
      </c>
      <c r="D118">
        <v>0.36099999999999999</v>
      </c>
      <c r="E118">
        <v>0</v>
      </c>
    </row>
    <row r="119" spans="1:5">
      <c r="A119" t="s">
        <v>32</v>
      </c>
      <c r="B119">
        <v>0.67300000000000004</v>
      </c>
      <c r="C119">
        <v>0.74099999999999999</v>
      </c>
      <c r="D119">
        <v>0.46800000000000003</v>
      </c>
      <c r="E119">
        <v>0</v>
      </c>
    </row>
    <row r="120" spans="1:5">
      <c r="A120" t="s">
        <v>22</v>
      </c>
      <c r="B120">
        <v>0.66400000000000003</v>
      </c>
      <c r="C120">
        <v>0.68300000000000005</v>
      </c>
      <c r="D120">
        <v>0.33900000000000002</v>
      </c>
      <c r="E120">
        <v>0</v>
      </c>
    </row>
    <row r="121" spans="1:5">
      <c r="A121" t="s">
        <v>28</v>
      </c>
      <c r="B121">
        <v>0.65600000000000003</v>
      </c>
      <c r="C121">
        <v>0.67600000000000005</v>
      </c>
      <c r="D121">
        <v>0.35199999999999998</v>
      </c>
      <c r="E121">
        <v>0</v>
      </c>
    </row>
    <row r="122" spans="1:5">
      <c r="A122" t="s">
        <v>40</v>
      </c>
      <c r="B122">
        <v>0.59799999999999998</v>
      </c>
      <c r="C122">
        <v>0.61799999999999999</v>
      </c>
      <c r="D122">
        <v>0.26900000000000002</v>
      </c>
      <c r="E122">
        <v>0</v>
      </c>
    </row>
    <row r="123" spans="1:5">
      <c r="A123" t="s">
        <v>77</v>
      </c>
      <c r="B123">
        <v>0.17100000000000001</v>
      </c>
      <c r="C123">
        <v>7.5999999999999998E-2</v>
      </c>
      <c r="D123">
        <v>1.9E-2</v>
      </c>
      <c r="E123">
        <v>0</v>
      </c>
    </row>
    <row r="124" spans="1:5">
      <c r="A124" t="s">
        <v>81</v>
      </c>
      <c r="B124">
        <v>0.17100000000000001</v>
      </c>
      <c r="C124">
        <v>7.5999999999999998E-2</v>
      </c>
      <c r="D124">
        <v>1.9E-2</v>
      </c>
      <c r="E124">
        <v>0</v>
      </c>
    </row>
    <row r="125" spans="1:5">
      <c r="A125" t="s">
        <v>105</v>
      </c>
      <c r="B125">
        <v>0.01</v>
      </c>
      <c r="C125">
        <v>1.2999999999999999E-2</v>
      </c>
      <c r="D125">
        <v>3.0000000000000001E-3</v>
      </c>
      <c r="E125">
        <v>0</v>
      </c>
    </row>
    <row r="126" spans="1:5">
      <c r="A126" t="s">
        <v>109</v>
      </c>
      <c r="B126">
        <v>0.01</v>
      </c>
      <c r="C126">
        <v>1.2999999999999999E-2</v>
      </c>
      <c r="D126">
        <v>3.0000000000000001E-3</v>
      </c>
      <c r="E126">
        <v>0</v>
      </c>
    </row>
    <row r="127" spans="1:5">
      <c r="A127" t="s">
        <v>100</v>
      </c>
      <c r="B127">
        <v>6.0000000000000001E-3</v>
      </c>
      <c r="C127">
        <v>4.0000000000000001E-3</v>
      </c>
      <c r="D127">
        <v>1E-3</v>
      </c>
      <c r="E127">
        <v>0</v>
      </c>
    </row>
    <row r="128" spans="1:5">
      <c r="A128" t="s">
        <v>85</v>
      </c>
      <c r="B128">
        <v>4.0000000000000001E-3</v>
      </c>
      <c r="C128">
        <v>8.0000000000000002E-3</v>
      </c>
      <c r="D128">
        <v>3.0000000000000001E-3</v>
      </c>
      <c r="E128">
        <v>0</v>
      </c>
    </row>
    <row r="129" spans="1:5">
      <c r="A129" t="s">
        <v>89</v>
      </c>
      <c r="B129">
        <v>4.0000000000000001E-3</v>
      </c>
      <c r="C129">
        <v>8.0000000000000002E-3</v>
      </c>
      <c r="D129">
        <v>3.0000000000000001E-3</v>
      </c>
      <c r="E129">
        <v>0</v>
      </c>
    </row>
    <row r="130" spans="1:5">
      <c r="A130" t="s">
        <v>93</v>
      </c>
      <c r="B130">
        <v>4.0000000000000001E-3</v>
      </c>
      <c r="C130">
        <v>8.0000000000000002E-3</v>
      </c>
      <c r="D130">
        <v>3.0000000000000001E-3</v>
      </c>
      <c r="E130">
        <v>0</v>
      </c>
    </row>
    <row r="131" spans="1:5">
      <c r="A131" t="s">
        <v>104</v>
      </c>
      <c r="B131">
        <v>4.0000000000000001E-3</v>
      </c>
      <c r="C131">
        <v>1E-3</v>
      </c>
      <c r="D131">
        <v>0</v>
      </c>
      <c r="E131">
        <v>0</v>
      </c>
    </row>
    <row r="132" spans="1:5">
      <c r="A132" t="s">
        <v>108</v>
      </c>
      <c r="B132">
        <v>4.0000000000000001E-3</v>
      </c>
      <c r="C132">
        <v>1E-3</v>
      </c>
      <c r="D132">
        <v>0</v>
      </c>
      <c r="E132">
        <v>0</v>
      </c>
    </row>
    <row r="133" spans="1:5">
      <c r="A133" t="s">
        <v>97</v>
      </c>
      <c r="B133">
        <v>3.0000000000000001E-3</v>
      </c>
      <c r="C133">
        <v>2E-3</v>
      </c>
      <c r="D133">
        <v>1E-3</v>
      </c>
      <c r="E133">
        <v>0</v>
      </c>
    </row>
    <row r="134" spans="1:5">
      <c r="A134" t="s">
        <v>84</v>
      </c>
      <c r="B134">
        <v>2E-3</v>
      </c>
      <c r="C134">
        <v>1E-3</v>
      </c>
      <c r="D134">
        <v>0</v>
      </c>
      <c r="E134">
        <v>0</v>
      </c>
    </row>
    <row r="135" spans="1:5">
      <c r="A135" t="s">
        <v>88</v>
      </c>
      <c r="B135">
        <v>2E-3</v>
      </c>
      <c r="C135">
        <v>1E-3</v>
      </c>
      <c r="D135">
        <v>0</v>
      </c>
      <c r="E135">
        <v>0</v>
      </c>
    </row>
    <row r="136" spans="1:5">
      <c r="A136" t="s">
        <v>92</v>
      </c>
      <c r="B136">
        <v>2E-3</v>
      </c>
      <c r="C136">
        <v>1E-3</v>
      </c>
      <c r="D136">
        <v>0</v>
      </c>
      <c r="E136">
        <v>0</v>
      </c>
    </row>
    <row r="137" spans="1:5">
      <c r="A137" t="s">
        <v>96</v>
      </c>
      <c r="B137">
        <v>2E-3</v>
      </c>
      <c r="C137">
        <v>1E-3</v>
      </c>
      <c r="D137">
        <v>0</v>
      </c>
      <c r="E137">
        <v>0</v>
      </c>
    </row>
    <row r="138" spans="1:5">
      <c r="A138" t="s">
        <v>8</v>
      </c>
      <c r="B138">
        <v>0</v>
      </c>
      <c r="C138">
        <v>0</v>
      </c>
      <c r="D138">
        <v>0</v>
      </c>
      <c r="E138">
        <v>0</v>
      </c>
    </row>
    <row r="139" spans="1:5">
      <c r="A139" t="s">
        <v>23</v>
      </c>
      <c r="B139">
        <v>0</v>
      </c>
      <c r="C139">
        <v>0</v>
      </c>
      <c r="D139">
        <v>0</v>
      </c>
      <c r="E139">
        <v>0</v>
      </c>
    </row>
    <row r="140" spans="1:5">
      <c r="A140" t="s">
        <v>29</v>
      </c>
      <c r="B140">
        <v>0</v>
      </c>
      <c r="C140">
        <v>0</v>
      </c>
      <c r="D140">
        <v>0</v>
      </c>
      <c r="E140">
        <v>0</v>
      </c>
    </row>
    <row r="141" spans="1:5">
      <c r="A141" t="s">
        <v>35</v>
      </c>
      <c r="B141">
        <v>0</v>
      </c>
      <c r="C141">
        <v>0</v>
      </c>
      <c r="D141">
        <v>0</v>
      </c>
      <c r="E141">
        <v>0</v>
      </c>
    </row>
    <row r="142" spans="1:5">
      <c r="A142" t="s">
        <v>76</v>
      </c>
      <c r="B142">
        <v>0</v>
      </c>
      <c r="C142">
        <v>0</v>
      </c>
      <c r="D142">
        <v>0</v>
      </c>
      <c r="E142">
        <v>0</v>
      </c>
    </row>
    <row r="143" spans="1:5">
      <c r="A143" t="s">
        <v>80</v>
      </c>
      <c r="B143">
        <v>0</v>
      </c>
      <c r="C143">
        <v>0</v>
      </c>
      <c r="D143">
        <v>0</v>
      </c>
      <c r="E143">
        <v>0</v>
      </c>
    </row>
    <row r="144" spans="1:5">
      <c r="A144" t="s">
        <v>101</v>
      </c>
      <c r="B144">
        <v>0</v>
      </c>
      <c r="C144">
        <v>0</v>
      </c>
      <c r="D144">
        <v>0</v>
      </c>
      <c r="E144">
        <v>0</v>
      </c>
    </row>
  </sheetData>
  <autoFilter ref="A1:E144">
    <sortState ref="A2:E144">
      <sortCondition descending="1" ref="E2:E144"/>
      <sortCondition descending="1" ref="B2:B14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pilot</vt:lpstr>
      <vt:lpstr>rz-v</vt:lpstr>
      <vt:lpstr>synth-t</vt:lpstr>
      <vt:lpstr>rsp</vt:lpstr>
      <vt:lpstr>train-s</vt:lpstr>
      <vt:lpstr>train-mx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2026-01-20T16:42:55Z</dcterms:created>
  <dcterms:modified xsi:type="dcterms:W3CDTF">2026-01-21T22:40:19Z</dcterms:modified>
</cp:coreProperties>
</file>