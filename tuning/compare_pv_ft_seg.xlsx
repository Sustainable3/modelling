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queryTables/queryTable14.xml" ContentType="application/vnd.openxmlformats-officedocument.spreadsheetml.query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connections.xml" ContentType="application/vnd.openxmlformats-officedocument.spreadsheetml.connections+xml"/>
  <Override PartName="/xl/queryTables/queryTable9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768" yWindow="324" windowWidth="21768" windowHeight="10596" tabRatio="850" firstSheet="2" activeTab="10"/>
  </bookViews>
  <sheets>
    <sheet name="synth_new2_test" sheetId="1" r:id="rId1"/>
    <sheet name="synth_old_test" sheetId="3" r:id="rId2"/>
    <sheet name="synth_old_train" sheetId="4" r:id="rId3"/>
    <sheet name="synth_old_val" sheetId="5" r:id="rId4"/>
    <sheet name="pilot_test" sheetId="6" r:id="rId5"/>
    <sheet name="rzeszow_test" sheetId="7" r:id="rId6"/>
    <sheet name="rzeszow_train" sheetId="8" r:id="rId7"/>
    <sheet name="rzeszow_val" sheetId="11" r:id="rId8"/>
    <sheet name="top5s" sheetId="9" r:id="rId9"/>
    <sheet name="Smsc" sheetId="10" r:id="rId10"/>
    <sheet name="resTOP" sheetId="16" r:id="rId11"/>
    <sheet name="Arkusz3" sheetId="18" r:id="rId12"/>
    <sheet name="synth_new2_val" sheetId="12" r:id="rId13"/>
    <sheet name="synth_new2_train" sheetId="13" r:id="rId14"/>
    <sheet name="ft21SGD" sheetId="14" r:id="rId15"/>
    <sheet name="Arkusz1" sheetId="15" r:id="rId16"/>
  </sheets>
  <definedNames>
    <definedName name="_xlnm._FilterDatabase" localSheetId="11" hidden="1">Arkusz3!$A$1:$O$221</definedName>
    <definedName name="_xlnm._FilterDatabase" localSheetId="14" hidden="1">ft21SGD!$A$1:$O$41</definedName>
    <definedName name="_xlnm._FilterDatabase" localSheetId="4" hidden="1">pilot_test!$A$1:$E$72</definedName>
    <definedName name="_xlnm._FilterDatabase" localSheetId="10" hidden="1">resTOP!$A$1:$O$71</definedName>
    <definedName name="_xlnm._FilterDatabase" localSheetId="5" hidden="1">rzeszow_test!$A$1:$E$71</definedName>
    <definedName name="_xlnm._FilterDatabase" localSheetId="6" hidden="1">rzeszow_train!$A$1:$E$71</definedName>
    <definedName name="_xlnm._FilterDatabase" localSheetId="7" hidden="1">rzeszow_val!$A$1:$E$71</definedName>
    <definedName name="_xlnm._FilterDatabase" localSheetId="0" hidden="1">synth_new2_test!$A$1:$E$71</definedName>
    <definedName name="_xlnm._FilterDatabase" localSheetId="13" hidden="1">synth_new2_train!$A$1:$E$71</definedName>
    <definedName name="_xlnm._FilterDatabase" localSheetId="12" hidden="1">synth_new2_val!$A$1:$E$71</definedName>
    <definedName name="_xlnm._FilterDatabase" localSheetId="1" hidden="1">synth_old_test!$A$1:$E$72</definedName>
    <definedName name="_xlnm._FilterDatabase" localSheetId="2" hidden="1">synth_old_train!$A$1:$E$72</definedName>
    <definedName name="_xlnm._FilterDatabase" localSheetId="3" hidden="1">synth_old_val!$A$1:$E$72</definedName>
    <definedName name="evaluation_results_fts" localSheetId="10">resTOP!$A$1:$O$71</definedName>
    <definedName name="evaluation_results_fts_lst" localSheetId="11">Arkusz3!$A$1:$O$221</definedName>
    <definedName name="evaluation_resultsft21SGD2.pt" localSheetId="14">ft21SGD!$A$1:$O$41</definedName>
    <definedName name="ft26_SGD_finloop.pt_feval" localSheetId="15">Arkusz1!$A$1:$N$15</definedName>
    <definedName name="merged_feval_pilot_test" localSheetId="4">pilot_test!$A$1:$E$72</definedName>
    <definedName name="merged_feval_rzeszow_test" localSheetId="5">rzeszow_test!$A$1:$E$71</definedName>
    <definedName name="merged_feval_rzeszow_train" localSheetId="6">rzeszow_train!$A$1:$E$71</definedName>
    <definedName name="merged_feval_rzeszow_val" localSheetId="7">rzeszow_val!$A$1:$E$71</definedName>
    <definedName name="merged_feval_synth_new2_test" localSheetId="0">synth_new2_test!$A$1:$E$71</definedName>
    <definedName name="merged_feval_synth_new2_train" localSheetId="13">synth_new2_train!$A$1:$E$71</definedName>
    <definedName name="merged_feval_synth_new2_val" localSheetId="12">synth_new2_val!$A$1:$E$71</definedName>
    <definedName name="merged_feval_synth_old_test" localSheetId="1">synth_old_test!$A$1:$E$72</definedName>
    <definedName name="merged_feval_synth_old_train" localSheetId="2">synth_old_train!$A$1:$E$72</definedName>
    <definedName name="merged_feval_synth_old_val" localSheetId="3">synth_old_val!$A$1:$E$72</definedName>
  </definedNames>
  <calcPr calcId="125725"/>
  <pivotCaches>
    <pivotCache cacheId="8" r:id="rId17"/>
    <pivotCache cacheId="9" r:id="rId18"/>
  </pivotCaches>
</workbook>
</file>

<file path=xl/calcChain.xml><?xml version="1.0" encoding="utf-8"?>
<calcChain xmlns="http://schemas.openxmlformats.org/spreadsheetml/2006/main">
  <c r="P72" i="18"/>
  <c r="P73"/>
  <c r="P74"/>
  <c r="P75"/>
  <c r="P76"/>
  <c r="P77"/>
  <c r="P78"/>
  <c r="P79"/>
  <c r="P80"/>
  <c r="P81"/>
  <c r="P82"/>
  <c r="P83"/>
  <c r="P84"/>
  <c r="P85"/>
  <c r="P86"/>
  <c r="P87"/>
  <c r="S5" s="1"/>
  <c r="P88"/>
  <c r="P89"/>
  <c r="P90"/>
  <c r="P91"/>
  <c r="P92"/>
  <c r="P93"/>
  <c r="P94"/>
  <c r="P95"/>
  <c r="P96"/>
  <c r="P97"/>
  <c r="P98"/>
  <c r="P99"/>
  <c r="P100"/>
  <c r="P101"/>
  <c r="P102"/>
  <c r="P103"/>
  <c r="P104"/>
  <c r="P105"/>
  <c r="P106"/>
  <c r="S6" s="1"/>
  <c r="P107"/>
  <c r="P108"/>
  <c r="P109"/>
  <c r="P110"/>
  <c r="P111"/>
  <c r="T6" s="1"/>
  <c r="P112"/>
  <c r="P113"/>
  <c r="S7" s="1"/>
  <c r="P114"/>
  <c r="P115"/>
  <c r="P116"/>
  <c r="P117"/>
  <c r="P118"/>
  <c r="P119"/>
  <c r="P120"/>
  <c r="P121"/>
  <c r="P122"/>
  <c r="P123"/>
  <c r="P124"/>
  <c r="P125"/>
  <c r="P126"/>
  <c r="P127"/>
  <c r="P128"/>
  <c r="P129"/>
  <c r="P130"/>
  <c r="P131"/>
  <c r="P132"/>
  <c r="P133"/>
  <c r="T7" s="1"/>
  <c r="P134"/>
  <c r="P135"/>
  <c r="S8" s="1"/>
  <c r="P136"/>
  <c r="P137"/>
  <c r="P138"/>
  <c r="P139"/>
  <c r="P140"/>
  <c r="P141"/>
  <c r="P142"/>
  <c r="P143"/>
  <c r="P144"/>
  <c r="P145"/>
  <c r="P146"/>
  <c r="P147"/>
  <c r="P148"/>
  <c r="T8" s="1"/>
  <c r="P149"/>
  <c r="P150"/>
  <c r="P151"/>
  <c r="P152"/>
  <c r="P153"/>
  <c r="P154"/>
  <c r="P155"/>
  <c r="P156"/>
  <c r="P157"/>
  <c r="P158"/>
  <c r="S9" s="1"/>
  <c r="P159"/>
  <c r="P160"/>
  <c r="P161"/>
  <c r="P162"/>
  <c r="P163"/>
  <c r="P164"/>
  <c r="P165"/>
  <c r="P166"/>
  <c r="P167"/>
  <c r="P168"/>
  <c r="P169"/>
  <c r="P170"/>
  <c r="P171"/>
  <c r="P172"/>
  <c r="P173"/>
  <c r="P174"/>
  <c r="P175"/>
  <c r="P176"/>
  <c r="P177"/>
  <c r="P178"/>
  <c r="P179"/>
  <c r="T10" s="1"/>
  <c r="P180"/>
  <c r="P181"/>
  <c r="P182"/>
  <c r="P183"/>
  <c r="P184"/>
  <c r="P185"/>
  <c r="P186"/>
  <c r="P187"/>
  <c r="P188"/>
  <c r="P189"/>
  <c r="P190"/>
  <c r="P191"/>
  <c r="P192"/>
  <c r="P193"/>
  <c r="P194"/>
  <c r="P195"/>
  <c r="P196"/>
  <c r="S10" s="1"/>
  <c r="P197"/>
  <c r="P198"/>
  <c r="P199"/>
  <c r="P200"/>
  <c r="P201"/>
  <c r="T11" s="1"/>
  <c r="P202"/>
  <c r="S11" s="1"/>
  <c r="P203"/>
  <c r="P204"/>
  <c r="P205"/>
  <c r="P206"/>
  <c r="P207"/>
  <c r="P208"/>
  <c r="P209"/>
  <c r="P210"/>
  <c r="P211"/>
  <c r="P212"/>
  <c r="P213"/>
  <c r="P214"/>
  <c r="P215"/>
  <c r="P216"/>
  <c r="P217"/>
  <c r="P218"/>
  <c r="P219"/>
  <c r="P220"/>
  <c r="P221"/>
  <c r="P71"/>
  <c r="P70"/>
  <c r="P69"/>
  <c r="P68"/>
  <c r="P67"/>
  <c r="P66"/>
  <c r="P65"/>
  <c r="P64"/>
  <c r="P63"/>
  <c r="P62"/>
  <c r="P61"/>
  <c r="P60"/>
  <c r="P59"/>
  <c r="P58"/>
  <c r="P57"/>
  <c r="P56"/>
  <c r="P55"/>
  <c r="P54"/>
  <c r="P53"/>
  <c r="P52"/>
  <c r="P51"/>
  <c r="P50"/>
  <c r="P49"/>
  <c r="P48"/>
  <c r="P47"/>
  <c r="P46"/>
  <c r="T4" s="1"/>
  <c r="P45"/>
  <c r="P44"/>
  <c r="P43"/>
  <c r="P42"/>
  <c r="P41"/>
  <c r="P40"/>
  <c r="P39"/>
  <c r="P38"/>
  <c r="P37"/>
  <c r="P36"/>
  <c r="P35"/>
  <c r="P34"/>
  <c r="P33"/>
  <c r="P32"/>
  <c r="P31"/>
  <c r="P30"/>
  <c r="P29"/>
  <c r="P28"/>
  <c r="P27"/>
  <c r="P26"/>
  <c r="P25"/>
  <c r="P24"/>
  <c r="T3" s="1"/>
  <c r="P23"/>
  <c r="P22"/>
  <c r="P21"/>
  <c r="P20"/>
  <c r="P19"/>
  <c r="T2" s="1"/>
  <c r="P18"/>
  <c r="P17"/>
  <c r="P16"/>
  <c r="P15"/>
  <c r="P14"/>
  <c r="P13"/>
  <c r="P12"/>
  <c r="P11"/>
  <c r="P10"/>
  <c r="P9"/>
  <c r="P8"/>
  <c r="P7"/>
  <c r="P6"/>
  <c r="P5"/>
  <c r="P4"/>
  <c r="P3"/>
  <c r="P2"/>
  <c r="S2" s="1"/>
  <c r="P1"/>
  <c r="T11" i="16"/>
  <c r="T10"/>
  <c r="T9"/>
  <c r="T8"/>
  <c r="T7"/>
  <c r="T6"/>
  <c r="T5"/>
  <c r="T4"/>
  <c r="T3"/>
  <c r="T2"/>
  <c r="S11"/>
  <c r="S10"/>
  <c r="S9"/>
  <c r="S8"/>
  <c r="S7"/>
  <c r="S6"/>
  <c r="S5"/>
  <c r="S4"/>
  <c r="S3"/>
  <c r="S2"/>
  <c r="P2"/>
  <c r="P3"/>
  <c r="P4"/>
  <c r="P5"/>
  <c r="P6"/>
  <c r="P7"/>
  <c r="P8"/>
  <c r="P9"/>
  <c r="P10"/>
  <c r="P11"/>
  <c r="P12"/>
  <c r="P13"/>
  <c r="P14"/>
  <c r="P15"/>
  <c r="P16"/>
  <c r="P17"/>
  <c r="P18"/>
  <c r="P19"/>
  <c r="P20"/>
  <c r="P21"/>
  <c r="P22"/>
  <c r="P23"/>
  <c r="P24"/>
  <c r="P25"/>
  <c r="P26"/>
  <c r="P27"/>
  <c r="P28"/>
  <c r="P29"/>
  <c r="P30"/>
  <c r="P31"/>
  <c r="P32"/>
  <c r="P33"/>
  <c r="P34"/>
  <c r="P35"/>
  <c r="P36"/>
  <c r="P37"/>
  <c r="P38"/>
  <c r="P39"/>
  <c r="P40"/>
  <c r="P41"/>
  <c r="P42"/>
  <c r="P43"/>
  <c r="P44"/>
  <c r="P45"/>
  <c r="P46"/>
  <c r="P47"/>
  <c r="P48"/>
  <c r="P49"/>
  <c r="P50"/>
  <c r="P51"/>
  <c r="P52"/>
  <c r="P53"/>
  <c r="P54"/>
  <c r="P55"/>
  <c r="P56"/>
  <c r="P57"/>
  <c r="P58"/>
  <c r="P59"/>
  <c r="P60"/>
  <c r="P61"/>
  <c r="P62"/>
  <c r="P63"/>
  <c r="P64"/>
  <c r="P65"/>
  <c r="P66"/>
  <c r="P67"/>
  <c r="P68"/>
  <c r="P69"/>
  <c r="P70"/>
  <c r="P71"/>
  <c r="P1"/>
  <c r="A38" i="9"/>
  <c r="B38"/>
  <c r="C38"/>
  <c r="D38"/>
  <c r="E38"/>
  <c r="F38"/>
  <c r="A39"/>
  <c r="B39"/>
  <c r="C39"/>
  <c r="D39"/>
  <c r="E39"/>
  <c r="F39"/>
  <c r="A40"/>
  <c r="B40"/>
  <c r="C40"/>
  <c r="D40"/>
  <c r="E40"/>
  <c r="F40"/>
  <c r="A41"/>
  <c r="B41"/>
  <c r="C41"/>
  <c r="D41"/>
  <c r="E41"/>
  <c r="F41"/>
  <c r="B37"/>
  <c r="C37"/>
  <c r="D37"/>
  <c r="E37"/>
  <c r="F37"/>
  <c r="A37"/>
  <c r="A33"/>
  <c r="B33"/>
  <c r="C33"/>
  <c r="D33"/>
  <c r="E33"/>
  <c r="F33"/>
  <c r="A34"/>
  <c r="B34"/>
  <c r="C34"/>
  <c r="D34"/>
  <c r="E34"/>
  <c r="F34"/>
  <c r="A35"/>
  <c r="B35"/>
  <c r="C35"/>
  <c r="D35"/>
  <c r="E35"/>
  <c r="F35"/>
  <c r="A36"/>
  <c r="B36"/>
  <c r="C36"/>
  <c r="D36"/>
  <c r="E36"/>
  <c r="F36"/>
  <c r="B32"/>
  <c r="C32"/>
  <c r="D32"/>
  <c r="E32"/>
  <c r="F32"/>
  <c r="A32"/>
  <c r="A31"/>
  <c r="B31"/>
  <c r="C31"/>
  <c r="D31"/>
  <c r="E31"/>
  <c r="F31"/>
  <c r="A28"/>
  <c r="B28"/>
  <c r="C28"/>
  <c r="D28"/>
  <c r="E28"/>
  <c r="F28"/>
  <c r="A29"/>
  <c r="B29"/>
  <c r="C29"/>
  <c r="D29"/>
  <c r="E29"/>
  <c r="F29"/>
  <c r="A30"/>
  <c r="B30"/>
  <c r="C30"/>
  <c r="D30"/>
  <c r="E30"/>
  <c r="F30"/>
  <c r="F27"/>
  <c r="B27"/>
  <c r="C27"/>
  <c r="D27"/>
  <c r="E27"/>
  <c r="A27"/>
  <c r="A23"/>
  <c r="B23"/>
  <c r="C23"/>
  <c r="D23"/>
  <c r="E23"/>
  <c r="F23"/>
  <c r="A24"/>
  <c r="B24"/>
  <c r="C24"/>
  <c r="D24"/>
  <c r="E24"/>
  <c r="F24"/>
  <c r="A25"/>
  <c r="B25"/>
  <c r="C25"/>
  <c r="D25"/>
  <c r="E25"/>
  <c r="F25"/>
  <c r="A26"/>
  <c r="B26"/>
  <c r="C26"/>
  <c r="D26"/>
  <c r="E26"/>
  <c r="F26"/>
  <c r="B22"/>
  <c r="C22"/>
  <c r="D22"/>
  <c r="E22"/>
  <c r="F22"/>
  <c r="A22"/>
  <c r="A18"/>
  <c r="B18"/>
  <c r="C18"/>
  <c r="D18"/>
  <c r="E18"/>
  <c r="F18"/>
  <c r="A19"/>
  <c r="B19"/>
  <c r="C19"/>
  <c r="D19"/>
  <c r="E19"/>
  <c r="F19"/>
  <c r="A20"/>
  <c r="B20"/>
  <c r="C20"/>
  <c r="D20"/>
  <c r="E20"/>
  <c r="F20"/>
  <c r="A21"/>
  <c r="B21"/>
  <c r="C21"/>
  <c r="D21"/>
  <c r="E21"/>
  <c r="F21"/>
  <c r="B17"/>
  <c r="C17"/>
  <c r="D17"/>
  <c r="E17"/>
  <c r="F17"/>
  <c r="A17"/>
  <c r="A13"/>
  <c r="B13"/>
  <c r="C13"/>
  <c r="D13"/>
  <c r="E13"/>
  <c r="F13"/>
  <c r="A14"/>
  <c r="B14"/>
  <c r="C14"/>
  <c r="D14"/>
  <c r="E14"/>
  <c r="F14"/>
  <c r="A15"/>
  <c r="B15"/>
  <c r="C15"/>
  <c r="D15"/>
  <c r="E15"/>
  <c r="F15"/>
  <c r="A16"/>
  <c r="B16"/>
  <c r="C16"/>
  <c r="D16"/>
  <c r="E16"/>
  <c r="F16"/>
  <c r="B12"/>
  <c r="C12"/>
  <c r="D12"/>
  <c r="E12"/>
  <c r="F12"/>
  <c r="A12"/>
  <c r="A8"/>
  <c r="B8"/>
  <c r="C8"/>
  <c r="D8"/>
  <c r="E8"/>
  <c r="F8"/>
  <c r="A9"/>
  <c r="B9"/>
  <c r="C9"/>
  <c r="D9"/>
  <c r="E9"/>
  <c r="F9"/>
  <c r="A10"/>
  <c r="B10"/>
  <c r="C10"/>
  <c r="D10"/>
  <c r="E10"/>
  <c r="F10"/>
  <c r="A11"/>
  <c r="B11"/>
  <c r="C11"/>
  <c r="D11"/>
  <c r="E11"/>
  <c r="F11"/>
  <c r="B7"/>
  <c r="C7"/>
  <c r="D7"/>
  <c r="E7"/>
  <c r="F7"/>
  <c r="A7"/>
  <c r="A3"/>
  <c r="B3"/>
  <c r="C3"/>
  <c r="D3"/>
  <c r="E3"/>
  <c r="F3"/>
  <c r="A4"/>
  <c r="B4"/>
  <c r="C4"/>
  <c r="D4"/>
  <c r="E4"/>
  <c r="F4"/>
  <c r="A5"/>
  <c r="B5"/>
  <c r="C5"/>
  <c r="D5"/>
  <c r="E5"/>
  <c r="F5"/>
  <c r="A6"/>
  <c r="B6"/>
  <c r="C6"/>
  <c r="D6"/>
  <c r="E6"/>
  <c r="F6"/>
  <c r="F1"/>
  <c r="F2"/>
  <c r="B2"/>
  <c r="C2"/>
  <c r="D2"/>
  <c r="E2"/>
  <c r="A2"/>
  <c r="A61" i="10"/>
  <c r="A65"/>
  <c r="A69"/>
  <c r="A202"/>
  <c r="A205"/>
  <c r="A210"/>
  <c r="A413"/>
  <c r="A416"/>
  <c r="A421"/>
  <c r="A486"/>
  <c r="A491"/>
  <c r="B491"/>
  <c r="A492"/>
  <c r="B492"/>
  <c r="A493"/>
  <c r="B493"/>
  <c r="A494"/>
  <c r="B494"/>
  <c r="A495"/>
  <c r="B495"/>
  <c r="A481"/>
  <c r="B481"/>
  <c r="A482"/>
  <c r="B482"/>
  <c r="A483"/>
  <c r="B483"/>
  <c r="A484"/>
  <c r="B484"/>
  <c r="A485"/>
  <c r="B485"/>
  <c r="B486"/>
  <c r="A487"/>
  <c r="B487"/>
  <c r="A488"/>
  <c r="B488"/>
  <c r="A489"/>
  <c r="B489"/>
  <c r="A490"/>
  <c r="B490"/>
  <c r="A424"/>
  <c r="B424"/>
  <c r="A425"/>
  <c r="B425"/>
  <c r="A419"/>
  <c r="B419"/>
  <c r="A420"/>
  <c r="B420"/>
  <c r="B421"/>
  <c r="A422"/>
  <c r="B422"/>
  <c r="A423"/>
  <c r="B423"/>
  <c r="A411"/>
  <c r="B411"/>
  <c r="A412"/>
  <c r="B412"/>
  <c r="B413"/>
  <c r="A414"/>
  <c r="B414"/>
  <c r="A415"/>
  <c r="B415"/>
  <c r="B416"/>
  <c r="A417"/>
  <c r="B417"/>
  <c r="A418"/>
  <c r="B418"/>
  <c r="A352"/>
  <c r="B352"/>
  <c r="A353"/>
  <c r="B353"/>
  <c r="A354"/>
  <c r="B354"/>
  <c r="A355"/>
  <c r="B355"/>
  <c r="A341"/>
  <c r="B341"/>
  <c r="A342"/>
  <c r="B342"/>
  <c r="A343"/>
  <c r="B343"/>
  <c r="A344"/>
  <c r="B344"/>
  <c r="A345"/>
  <c r="B345"/>
  <c r="A346"/>
  <c r="B346"/>
  <c r="A347"/>
  <c r="B347"/>
  <c r="A348"/>
  <c r="B348"/>
  <c r="A349"/>
  <c r="B349"/>
  <c r="A350"/>
  <c r="B350"/>
  <c r="A351"/>
  <c r="B351"/>
  <c r="A285"/>
  <c r="B285"/>
  <c r="A284"/>
  <c r="B284"/>
  <c r="A279"/>
  <c r="B279"/>
  <c r="A280"/>
  <c r="B280"/>
  <c r="A281"/>
  <c r="B281"/>
  <c r="A282"/>
  <c r="B282"/>
  <c r="A283"/>
  <c r="B283"/>
  <c r="A271"/>
  <c r="B271"/>
  <c r="A272"/>
  <c r="B272"/>
  <c r="A273"/>
  <c r="B273"/>
  <c r="A274"/>
  <c r="B274"/>
  <c r="A275"/>
  <c r="B275"/>
  <c r="A276"/>
  <c r="B276"/>
  <c r="A277"/>
  <c r="B277"/>
  <c r="A278"/>
  <c r="B278"/>
  <c r="A214"/>
  <c r="B214"/>
  <c r="A212"/>
  <c r="B212"/>
  <c r="A213"/>
  <c r="B213"/>
  <c r="A208"/>
  <c r="B208"/>
  <c r="A209"/>
  <c r="B209"/>
  <c r="B210"/>
  <c r="A211"/>
  <c r="B211"/>
  <c r="A200"/>
  <c r="B200"/>
  <c r="A201"/>
  <c r="B201"/>
  <c r="B202"/>
  <c r="A203"/>
  <c r="B203"/>
  <c r="A204"/>
  <c r="B204"/>
  <c r="B205"/>
  <c r="A206"/>
  <c r="B206"/>
  <c r="A207"/>
  <c r="B207"/>
  <c r="A136"/>
  <c r="B136"/>
  <c r="A137"/>
  <c r="B137"/>
  <c r="A138"/>
  <c r="B138"/>
  <c r="A139"/>
  <c r="B139"/>
  <c r="A140"/>
  <c r="B140"/>
  <c r="A141"/>
  <c r="B141"/>
  <c r="A142"/>
  <c r="B142"/>
  <c r="A143"/>
  <c r="B143"/>
  <c r="A129"/>
  <c r="B129"/>
  <c r="A130"/>
  <c r="B130"/>
  <c r="A131"/>
  <c r="B131"/>
  <c r="A132"/>
  <c r="B132"/>
  <c r="A133"/>
  <c r="B133"/>
  <c r="A134"/>
  <c r="B134"/>
  <c r="A135"/>
  <c r="B135"/>
  <c r="A71"/>
  <c r="B71"/>
  <c r="A72"/>
  <c r="B72"/>
  <c r="A58"/>
  <c r="B58"/>
  <c r="A59"/>
  <c r="B59"/>
  <c r="A60"/>
  <c r="B60"/>
  <c r="B61"/>
  <c r="A62"/>
  <c r="B62"/>
  <c r="A63"/>
  <c r="B63"/>
  <c r="A64"/>
  <c r="B64"/>
  <c r="B65"/>
  <c r="A66"/>
  <c r="B66"/>
  <c r="A67"/>
  <c r="B67"/>
  <c r="A68"/>
  <c r="B68"/>
  <c r="B69"/>
  <c r="A70"/>
  <c r="B70"/>
  <c r="A427"/>
  <c r="B427"/>
  <c r="A428"/>
  <c r="B428"/>
  <c r="A429"/>
  <c r="B429"/>
  <c r="A430"/>
  <c r="B430"/>
  <c r="A431"/>
  <c r="B431"/>
  <c r="A432"/>
  <c r="B432"/>
  <c r="A433"/>
  <c r="B433"/>
  <c r="A434"/>
  <c r="B434"/>
  <c r="A435"/>
  <c r="B435"/>
  <c r="A436"/>
  <c r="B436"/>
  <c r="A437"/>
  <c r="B437"/>
  <c r="A438"/>
  <c r="B438"/>
  <c r="A439"/>
  <c r="B439"/>
  <c r="A440"/>
  <c r="B440"/>
  <c r="A441"/>
  <c r="B441"/>
  <c r="A442"/>
  <c r="B442"/>
  <c r="A443"/>
  <c r="B443"/>
  <c r="A444"/>
  <c r="B444"/>
  <c r="A445"/>
  <c r="B445"/>
  <c r="A446"/>
  <c r="B446"/>
  <c r="A447"/>
  <c r="B447"/>
  <c r="A448"/>
  <c r="B448"/>
  <c r="A449"/>
  <c r="B449"/>
  <c r="A450"/>
  <c r="B450"/>
  <c r="A451"/>
  <c r="B451"/>
  <c r="A452"/>
  <c r="B452"/>
  <c r="A453"/>
  <c r="B453"/>
  <c r="A454"/>
  <c r="B454"/>
  <c r="A455"/>
  <c r="B455"/>
  <c r="A456"/>
  <c r="B456"/>
  <c r="A457"/>
  <c r="B457"/>
  <c r="A458"/>
  <c r="B458"/>
  <c r="A459"/>
  <c r="B459"/>
  <c r="A460"/>
  <c r="B460"/>
  <c r="A461"/>
  <c r="B461"/>
  <c r="A462"/>
  <c r="B462"/>
  <c r="A463"/>
  <c r="B463"/>
  <c r="A464"/>
  <c r="B464"/>
  <c r="A465"/>
  <c r="B465"/>
  <c r="A466"/>
  <c r="B466"/>
  <c r="A467"/>
  <c r="B467"/>
  <c r="A468"/>
  <c r="B468"/>
  <c r="A469"/>
  <c r="B469"/>
  <c r="A470"/>
  <c r="B470"/>
  <c r="A471"/>
  <c r="B471"/>
  <c r="A472"/>
  <c r="B472"/>
  <c r="A473"/>
  <c r="B473"/>
  <c r="A474"/>
  <c r="B474"/>
  <c r="A475"/>
  <c r="B475"/>
  <c r="A476"/>
  <c r="B476"/>
  <c r="A477"/>
  <c r="B477"/>
  <c r="A478"/>
  <c r="B478"/>
  <c r="A479"/>
  <c r="B479"/>
  <c r="A480"/>
  <c r="B480"/>
  <c r="B426"/>
  <c r="A426"/>
  <c r="A357"/>
  <c r="B357"/>
  <c r="A358"/>
  <c r="B358"/>
  <c r="A359"/>
  <c r="B359"/>
  <c r="A360"/>
  <c r="B360"/>
  <c r="A361"/>
  <c r="B361"/>
  <c r="A362"/>
  <c r="B362"/>
  <c r="A363"/>
  <c r="B363"/>
  <c r="A364"/>
  <c r="B364"/>
  <c r="A365"/>
  <c r="B365"/>
  <c r="A366"/>
  <c r="B366"/>
  <c r="A367"/>
  <c r="B367"/>
  <c r="A368"/>
  <c r="B368"/>
  <c r="A369"/>
  <c r="B369"/>
  <c r="A370"/>
  <c r="B370"/>
  <c r="A371"/>
  <c r="B371"/>
  <c r="A372"/>
  <c r="B372"/>
  <c r="A373"/>
  <c r="B373"/>
  <c r="A374"/>
  <c r="B374"/>
  <c r="A375"/>
  <c r="B375"/>
  <c r="A376"/>
  <c r="B376"/>
  <c r="A377"/>
  <c r="B377"/>
  <c r="A378"/>
  <c r="B378"/>
  <c r="A379"/>
  <c r="B379"/>
  <c r="A380"/>
  <c r="B380"/>
  <c r="A381"/>
  <c r="B381"/>
  <c r="A382"/>
  <c r="B382"/>
  <c r="A383"/>
  <c r="B383"/>
  <c r="A384"/>
  <c r="B384"/>
  <c r="A385"/>
  <c r="B385"/>
  <c r="A386"/>
  <c r="B386"/>
  <c r="A387"/>
  <c r="B387"/>
  <c r="A388"/>
  <c r="B388"/>
  <c r="A389"/>
  <c r="B389"/>
  <c r="A390"/>
  <c r="B390"/>
  <c r="A391"/>
  <c r="B391"/>
  <c r="A392"/>
  <c r="B392"/>
  <c r="A393"/>
  <c r="B393"/>
  <c r="A394"/>
  <c r="B394"/>
  <c r="A395"/>
  <c r="B395"/>
  <c r="A396"/>
  <c r="B396"/>
  <c r="A397"/>
  <c r="B397"/>
  <c r="A398"/>
  <c r="B398"/>
  <c r="A399"/>
  <c r="B399"/>
  <c r="A400"/>
  <c r="B400"/>
  <c r="A401"/>
  <c r="B401"/>
  <c r="A402"/>
  <c r="B402"/>
  <c r="A403"/>
  <c r="B403"/>
  <c r="A404"/>
  <c r="B404"/>
  <c r="A405"/>
  <c r="B405"/>
  <c r="A406"/>
  <c r="B406"/>
  <c r="A407"/>
  <c r="B407"/>
  <c r="A408"/>
  <c r="B408"/>
  <c r="A409"/>
  <c r="B409"/>
  <c r="A410"/>
  <c r="B410"/>
  <c r="B356"/>
  <c r="A356"/>
  <c r="A337"/>
  <c r="B337"/>
  <c r="A338"/>
  <c r="B338"/>
  <c r="A339"/>
  <c r="B339"/>
  <c r="A340"/>
  <c r="B340"/>
  <c r="A318"/>
  <c r="B318"/>
  <c r="A319"/>
  <c r="B319"/>
  <c r="A320"/>
  <c r="B320"/>
  <c r="A321"/>
  <c r="B321"/>
  <c r="A322"/>
  <c r="B322"/>
  <c r="A323"/>
  <c r="B323"/>
  <c r="A324"/>
  <c r="B324"/>
  <c r="A325"/>
  <c r="B325"/>
  <c r="A326"/>
  <c r="B326"/>
  <c r="A327"/>
  <c r="B327"/>
  <c r="A328"/>
  <c r="B328"/>
  <c r="A329"/>
  <c r="B329"/>
  <c r="A330"/>
  <c r="B330"/>
  <c r="A331"/>
  <c r="B331"/>
  <c r="A332"/>
  <c r="B332"/>
  <c r="A333"/>
  <c r="B333"/>
  <c r="A334"/>
  <c r="B334"/>
  <c r="A335"/>
  <c r="B335"/>
  <c r="A336"/>
  <c r="B336"/>
  <c r="A287"/>
  <c r="B287"/>
  <c r="A288"/>
  <c r="B288"/>
  <c r="A289"/>
  <c r="B289"/>
  <c r="A290"/>
  <c r="B290"/>
  <c r="A291"/>
  <c r="B291"/>
  <c r="A292"/>
  <c r="B292"/>
  <c r="A293"/>
  <c r="B293"/>
  <c r="A294"/>
  <c r="B294"/>
  <c r="A295"/>
  <c r="B295"/>
  <c r="A296"/>
  <c r="B296"/>
  <c r="A297"/>
  <c r="B297"/>
  <c r="A298"/>
  <c r="B298"/>
  <c r="A299"/>
  <c r="B299"/>
  <c r="A300"/>
  <c r="B300"/>
  <c r="A301"/>
  <c r="B301"/>
  <c r="A302"/>
  <c r="B302"/>
  <c r="A303"/>
  <c r="B303"/>
  <c r="A304"/>
  <c r="B304"/>
  <c r="A305"/>
  <c r="B305"/>
  <c r="A306"/>
  <c r="B306"/>
  <c r="A307"/>
  <c r="B307"/>
  <c r="A308"/>
  <c r="B308"/>
  <c r="A309"/>
  <c r="B309"/>
  <c r="A310"/>
  <c r="B310"/>
  <c r="A311"/>
  <c r="B311"/>
  <c r="A312"/>
  <c r="B312"/>
  <c r="A313"/>
  <c r="B313"/>
  <c r="A314"/>
  <c r="B314"/>
  <c r="A315"/>
  <c r="B315"/>
  <c r="A316"/>
  <c r="B316"/>
  <c r="A317"/>
  <c r="B317"/>
  <c r="B286"/>
  <c r="A286"/>
  <c r="A270"/>
  <c r="B270"/>
  <c r="A265"/>
  <c r="B265"/>
  <c r="A266"/>
  <c r="B266"/>
  <c r="A267"/>
  <c r="B267"/>
  <c r="A268"/>
  <c r="B268"/>
  <c r="A269"/>
  <c r="B269"/>
  <c r="A258"/>
  <c r="B258"/>
  <c r="A259"/>
  <c r="B259"/>
  <c r="A260"/>
  <c r="B260"/>
  <c r="A261"/>
  <c r="B261"/>
  <c r="A262"/>
  <c r="B262"/>
  <c r="A263"/>
  <c r="B263"/>
  <c r="A264"/>
  <c r="B264"/>
  <c r="A246"/>
  <c r="B246"/>
  <c r="A247"/>
  <c r="B247"/>
  <c r="A248"/>
  <c r="B248"/>
  <c r="A249"/>
  <c r="B249"/>
  <c r="A250"/>
  <c r="B250"/>
  <c r="A251"/>
  <c r="B251"/>
  <c r="A252"/>
  <c r="B252"/>
  <c r="A253"/>
  <c r="B253"/>
  <c r="A254"/>
  <c r="B254"/>
  <c r="A255"/>
  <c r="B255"/>
  <c r="A256"/>
  <c r="B256"/>
  <c r="A257"/>
  <c r="B257"/>
  <c r="A216"/>
  <c r="B216"/>
  <c r="A217"/>
  <c r="B217"/>
  <c r="A218"/>
  <c r="B218"/>
  <c r="A219"/>
  <c r="B219"/>
  <c r="A220"/>
  <c r="B220"/>
  <c r="A221"/>
  <c r="B221"/>
  <c r="A222"/>
  <c r="B222"/>
  <c r="A223"/>
  <c r="B223"/>
  <c r="A224"/>
  <c r="B224"/>
  <c r="A225"/>
  <c r="B225"/>
  <c r="A226"/>
  <c r="B226"/>
  <c r="A227"/>
  <c r="B227"/>
  <c r="A228"/>
  <c r="B228"/>
  <c r="A229"/>
  <c r="B229"/>
  <c r="A230"/>
  <c r="B230"/>
  <c r="A231"/>
  <c r="B231"/>
  <c r="A232"/>
  <c r="B232"/>
  <c r="A233"/>
  <c r="B233"/>
  <c r="A234"/>
  <c r="B234"/>
  <c r="A235"/>
  <c r="B235"/>
  <c r="A236"/>
  <c r="B236"/>
  <c r="A237"/>
  <c r="B237"/>
  <c r="A238"/>
  <c r="B238"/>
  <c r="A239"/>
  <c r="B239"/>
  <c r="A240"/>
  <c r="B240"/>
  <c r="A241"/>
  <c r="B241"/>
  <c r="A242"/>
  <c r="B242"/>
  <c r="A243"/>
  <c r="B243"/>
  <c r="A244"/>
  <c r="B244"/>
  <c r="A245"/>
  <c r="B245"/>
  <c r="B215"/>
  <c r="A215"/>
  <c r="A199"/>
  <c r="B199"/>
  <c r="A198"/>
  <c r="B198"/>
  <c r="A173"/>
  <c r="B173"/>
  <c r="A174"/>
  <c r="B174"/>
  <c r="A175"/>
  <c r="B175"/>
  <c r="A176"/>
  <c r="B176"/>
  <c r="A177"/>
  <c r="B177"/>
  <c r="A178"/>
  <c r="B178"/>
  <c r="A179"/>
  <c r="B179"/>
  <c r="A180"/>
  <c r="B180"/>
  <c r="A181"/>
  <c r="B181"/>
  <c r="A182"/>
  <c r="B182"/>
  <c r="A183"/>
  <c r="B183"/>
  <c r="A184"/>
  <c r="B184"/>
  <c r="A185"/>
  <c r="B185"/>
  <c r="A186"/>
  <c r="B186"/>
  <c r="A187"/>
  <c r="B187"/>
  <c r="A188"/>
  <c r="B188"/>
  <c r="A189"/>
  <c r="B189"/>
  <c r="A190"/>
  <c r="B190"/>
  <c r="A191"/>
  <c r="B191"/>
  <c r="A192"/>
  <c r="B192"/>
  <c r="A193"/>
  <c r="B193"/>
  <c r="A194"/>
  <c r="B194"/>
  <c r="A195"/>
  <c r="B195"/>
  <c r="A196"/>
  <c r="B196"/>
  <c r="A197"/>
  <c r="B197"/>
  <c r="A145"/>
  <c r="B145"/>
  <c r="A146"/>
  <c r="B146"/>
  <c r="A147"/>
  <c r="B147"/>
  <c r="A148"/>
  <c r="B148"/>
  <c r="A149"/>
  <c r="B149"/>
  <c r="A150"/>
  <c r="B150"/>
  <c r="A151"/>
  <c r="B151"/>
  <c r="A152"/>
  <c r="B152"/>
  <c r="A153"/>
  <c r="B153"/>
  <c r="A154"/>
  <c r="B154"/>
  <c r="A155"/>
  <c r="B155"/>
  <c r="A156"/>
  <c r="B156"/>
  <c r="A157"/>
  <c r="B157"/>
  <c r="A158"/>
  <c r="B158"/>
  <c r="A159"/>
  <c r="B159"/>
  <c r="A160"/>
  <c r="B160"/>
  <c r="A161"/>
  <c r="B161"/>
  <c r="A162"/>
  <c r="B162"/>
  <c r="A163"/>
  <c r="B163"/>
  <c r="A164"/>
  <c r="B164"/>
  <c r="A165"/>
  <c r="B165"/>
  <c r="A166"/>
  <c r="B166"/>
  <c r="A167"/>
  <c r="B167"/>
  <c r="A168"/>
  <c r="B168"/>
  <c r="A169"/>
  <c r="B169"/>
  <c r="A170"/>
  <c r="B170"/>
  <c r="A171"/>
  <c r="B171"/>
  <c r="A172"/>
  <c r="B172"/>
  <c r="B144"/>
  <c r="A144"/>
  <c r="A74"/>
  <c r="B74"/>
  <c r="A75"/>
  <c r="B75"/>
  <c r="A76"/>
  <c r="B76"/>
  <c r="A77"/>
  <c r="B77"/>
  <c r="A78"/>
  <c r="B78"/>
  <c r="A79"/>
  <c r="B79"/>
  <c r="A80"/>
  <c r="B80"/>
  <c r="A81"/>
  <c r="B81"/>
  <c r="A82"/>
  <c r="B82"/>
  <c r="A83"/>
  <c r="B83"/>
  <c r="A84"/>
  <c r="B84"/>
  <c r="A85"/>
  <c r="B85"/>
  <c r="A86"/>
  <c r="B86"/>
  <c r="A87"/>
  <c r="B87"/>
  <c r="A88"/>
  <c r="B88"/>
  <c r="A89"/>
  <c r="B89"/>
  <c r="A90"/>
  <c r="B90"/>
  <c r="A91"/>
  <c r="B91"/>
  <c r="A92"/>
  <c r="B92"/>
  <c r="A93"/>
  <c r="B93"/>
  <c r="A94"/>
  <c r="B94"/>
  <c r="A95"/>
  <c r="B95"/>
  <c r="A96"/>
  <c r="B96"/>
  <c r="A97"/>
  <c r="B97"/>
  <c r="A98"/>
  <c r="B98"/>
  <c r="A99"/>
  <c r="B99"/>
  <c r="A100"/>
  <c r="B100"/>
  <c r="A101"/>
  <c r="B101"/>
  <c r="A102"/>
  <c r="B102"/>
  <c r="A103"/>
  <c r="B103"/>
  <c r="A104"/>
  <c r="B104"/>
  <c r="A105"/>
  <c r="B105"/>
  <c r="A106"/>
  <c r="B106"/>
  <c r="A107"/>
  <c r="B107"/>
  <c r="A108"/>
  <c r="B108"/>
  <c r="A109"/>
  <c r="B109"/>
  <c r="A110"/>
  <c r="B110"/>
  <c r="A111"/>
  <c r="B111"/>
  <c r="A112"/>
  <c r="B112"/>
  <c r="A113"/>
  <c r="B113"/>
  <c r="A114"/>
  <c r="B114"/>
  <c r="A115"/>
  <c r="B115"/>
  <c r="A116"/>
  <c r="B116"/>
  <c r="A117"/>
  <c r="B117"/>
  <c r="A118"/>
  <c r="B118"/>
  <c r="A119"/>
  <c r="B119"/>
  <c r="A120"/>
  <c r="B120"/>
  <c r="A121"/>
  <c r="B121"/>
  <c r="A122"/>
  <c r="B122"/>
  <c r="A123"/>
  <c r="B123"/>
  <c r="A124"/>
  <c r="B124"/>
  <c r="A125"/>
  <c r="B125"/>
  <c r="A126"/>
  <c r="B126"/>
  <c r="A127"/>
  <c r="B127"/>
  <c r="A128"/>
  <c r="B128"/>
  <c r="B73"/>
  <c r="A73"/>
  <c r="A48"/>
  <c r="B48"/>
  <c r="A49"/>
  <c r="B49"/>
  <c r="A50"/>
  <c r="B50"/>
  <c r="A51"/>
  <c r="B51"/>
  <c r="A52"/>
  <c r="B52"/>
  <c r="A53"/>
  <c r="B53"/>
  <c r="A54"/>
  <c r="B54"/>
  <c r="A55"/>
  <c r="B55"/>
  <c r="A56"/>
  <c r="B56"/>
  <c r="A57"/>
  <c r="B57"/>
  <c r="A39"/>
  <c r="B39"/>
  <c r="A40"/>
  <c r="B40"/>
  <c r="A41"/>
  <c r="B41"/>
  <c r="A42"/>
  <c r="B42"/>
  <c r="A43"/>
  <c r="B43"/>
  <c r="A44"/>
  <c r="B44"/>
  <c r="A45"/>
  <c r="B45"/>
  <c r="A46"/>
  <c r="B46"/>
  <c r="A47"/>
  <c r="B47"/>
  <c r="A30"/>
  <c r="B30"/>
  <c r="A31"/>
  <c r="B31"/>
  <c r="A32"/>
  <c r="B32"/>
  <c r="A33"/>
  <c r="B33"/>
  <c r="A34"/>
  <c r="B34"/>
  <c r="A35"/>
  <c r="B35"/>
  <c r="A36"/>
  <c r="B36"/>
  <c r="A37"/>
  <c r="B37"/>
  <c r="A38"/>
  <c r="B38"/>
  <c r="A2"/>
  <c r="B2"/>
  <c r="A3"/>
  <c r="B3"/>
  <c r="A4"/>
  <c r="B4"/>
  <c r="A5"/>
  <c r="B5"/>
  <c r="A6"/>
  <c r="B6"/>
  <c r="A7"/>
  <c r="B7"/>
  <c r="A8"/>
  <c r="B8"/>
  <c r="A9"/>
  <c r="B9"/>
  <c r="A10"/>
  <c r="B10"/>
  <c r="A11"/>
  <c r="B11"/>
  <c r="A12"/>
  <c r="B12"/>
  <c r="A13"/>
  <c r="B13"/>
  <c r="A14"/>
  <c r="B14"/>
  <c r="A15"/>
  <c r="B15"/>
  <c r="A16"/>
  <c r="B16"/>
  <c r="A17"/>
  <c r="B17"/>
  <c r="A18"/>
  <c r="B18"/>
  <c r="A19"/>
  <c r="B19"/>
  <c r="A20"/>
  <c r="B20"/>
  <c r="A21"/>
  <c r="B21"/>
  <c r="A22"/>
  <c r="B22"/>
  <c r="A23"/>
  <c r="B23"/>
  <c r="A24"/>
  <c r="B24"/>
  <c r="A25"/>
  <c r="B25"/>
  <c r="A26"/>
  <c r="B26"/>
  <c r="A27"/>
  <c r="B27"/>
  <c r="A28"/>
  <c r="B28"/>
  <c r="A29"/>
  <c r="B29"/>
  <c r="B1"/>
  <c r="A1"/>
  <c r="T9" i="18" l="1"/>
  <c r="T5"/>
  <c r="S4"/>
  <c r="S3"/>
</calcChain>
</file>

<file path=xl/connections.xml><?xml version="1.0" encoding="utf-8"?>
<connections xmlns="http://schemas.openxmlformats.org/spreadsheetml/2006/main">
  <connection id="1" name="evaluation_results_fts" type="6" refreshedVersion="3" background="1" saveData="1">
    <textPr codePage="852" sourceFile="C:\Users\admin\Documents\GitHub\modelling\tuning\evaluation_results_fts.csv" thousands=" " comma="1">
      <textFields count="18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name="evaluation_results_fts_lst" type="6" refreshedVersion="3" background="1" saveData="1">
    <textPr codePage="852" sourceFile="C:\Users\admin\Documents\GitHub\modelling\tuning\evaluation_results_fts_lst.csv" thousands=" " comma="1">
      <textFields count="18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name="evaluation_resultsft21SGD2.pt" type="6" refreshedVersion="3" background="1" saveData="1">
    <textPr codePage="852" sourceFile="C:\Users\admin\Documents\GitHub\modelling\tuning\evaluation_resultsft21SGD2.pt.csv" thousands=" " comma="1">
      <textFields count="18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name="ft26_SGD_finloop.pt_feval" type="6" refreshedVersion="3" background="1" saveData="1">
    <textPr codePage="852" sourceFile="C:\Users\admin\Documents\GitHub\modelling\tuning\results\ft26_SGD_finloop.pt_feval.csv" thousands=" " comma="1">
      <textFields count="1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name="merged_feval_pilot_test" type="6" refreshedVersion="3" background="1" saveData="1">
    <textPr codePage="852" sourceFile="C:\Users\admin\Documents\GitHub\modelling\tuning\results\merged_feval_pilot_test.csv" thousands=" " comma="1">
      <textFields count="5">
        <textField/>
        <textField/>
        <textField/>
        <textField/>
        <textField/>
      </textFields>
    </textPr>
  </connection>
  <connection id="6" name="merged_feval_rzeszow_test" type="6" refreshedVersion="3" background="1" saveData="1">
    <textPr codePage="852" sourceFile="C:\Users\admin\Documents\GitHub\modelling\tuning\results\merged_feval_rzeszow_test.csv" thousands=" " comma="1">
      <textFields count="5">
        <textField/>
        <textField/>
        <textField/>
        <textField/>
        <textField/>
      </textFields>
    </textPr>
  </connection>
  <connection id="7" name="merged_feval_rzeszow_train" type="6" refreshedVersion="3" background="1" saveData="1">
    <textPr codePage="852" sourceFile="C:\Users\admin\Documents\GitHub\modelling\tuning\results\merged_feval_rzeszow_train.csv" thousands=" " comma="1">
      <textFields count="5">
        <textField/>
        <textField/>
        <textField/>
        <textField/>
        <textField/>
      </textFields>
    </textPr>
  </connection>
  <connection id="8" name="merged_feval_rzeszow_val" type="6" refreshedVersion="3" background="1" saveData="1">
    <textPr codePage="852" sourceFile="C:\Users\admin\Documents\GitHub\modelling\tuning\results\merged_feval_rzeszow_val.csv" thousands=" " comma="1">
      <textFields count="5">
        <textField/>
        <textField/>
        <textField/>
        <textField/>
        <textField/>
      </textFields>
    </textPr>
  </connection>
  <connection id="9" name="merged_feval_synth_new2_test" type="6" refreshedVersion="3" background="1" saveData="1">
    <textPr codePage="852" sourceFile="C:\Users\admin\Documents\GitHub\modelling\tuning\results\merged_feval_synth_new2_test.csv" thousands=" " comma="1">
      <textFields count="5">
        <textField/>
        <textField/>
        <textField/>
        <textField/>
        <textField/>
      </textFields>
    </textPr>
  </connection>
  <connection id="10" name="merged_feval_synth_new2_train" type="6" refreshedVersion="3" background="1" saveData="1">
    <textPr codePage="852" sourceFile="C:\Users\admin\Documents\GitHub\modelling\tuning\results\merged_feval_synth_new2_train.csv" thousands=" " comma="1">
      <textFields count="5">
        <textField/>
        <textField/>
        <textField/>
        <textField/>
        <textField/>
      </textFields>
    </textPr>
  </connection>
  <connection id="11" name="merged_feval_synth_new2_val" type="6" refreshedVersion="3" background="1" saveData="1">
    <textPr codePage="852" sourceFile="C:\Users\admin\Documents\GitHub\modelling\tuning\results\merged_feval_synth_new2_val.csv" thousands=" " comma="1">
      <textFields count="5">
        <textField/>
        <textField/>
        <textField/>
        <textField/>
        <textField/>
      </textFields>
    </textPr>
  </connection>
  <connection id="12" name="merged_feval_synth_old_test" type="6" refreshedVersion="3" background="1" saveData="1">
    <textPr codePage="852" sourceFile="C:\Users\admin\Documents\GitHub\modelling\tuning\results\merged_feval_synth_old_test.csv" thousands=" " comma="1">
      <textFields count="5">
        <textField/>
        <textField/>
        <textField/>
        <textField/>
        <textField/>
      </textFields>
    </textPr>
  </connection>
  <connection id="13" name="merged_feval_synth_old_train" type="6" refreshedVersion="3" background="1" saveData="1">
    <textPr codePage="852" sourceFile="C:\Users\admin\Documents\GitHub\modelling\tuning\results\merged_feval_synth_old_train.csv" thousands=" " comma="1">
      <textFields count="5">
        <textField/>
        <textField/>
        <textField/>
        <textField/>
        <textField/>
      </textFields>
    </textPr>
  </connection>
  <connection id="14" name="merged_feval_synth_old_val" type="6" refreshedVersion="3" background="1" saveData="1">
    <textPr codePage="852" sourceFile="C:\Users\admin\Documents\GitHub\modelling\tuning\results\merged_feval_synth_old_val.csv" thousands=" " comma="1">
      <textFields count="5"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<sst xmlns="http://schemas.openxmlformats.org/spreadsheetml/2006/main" count="2332" uniqueCount="134">
  <si>
    <t>setting</t>
  </si>
  <si>
    <t>Box-F1</t>
  </si>
  <si>
    <t>mAP50</t>
  </si>
  <si>
    <t>mAP50-95</t>
  </si>
  <si>
    <t>Mask-F1</t>
  </si>
  <si>
    <t>ft10_AdamW_feval.csv</t>
  </si>
  <si>
    <t>ft10_SGD_feval.csv</t>
  </si>
  <si>
    <t>ft11_AdamW_feval.csv</t>
  </si>
  <si>
    <t>ft11_SGD_feval.csv</t>
  </si>
  <si>
    <t>ft12b_AdamW_feval.csv</t>
  </si>
  <si>
    <t>ft12b_SGD_feval.csv</t>
  </si>
  <si>
    <t>ft12c_AdamW_feval.csv</t>
  </si>
  <si>
    <t>ft12c_SGD_feval.csv</t>
  </si>
  <si>
    <t>ft12_AdamW_feval.csv</t>
  </si>
  <si>
    <t>ft12_SGD_feval.csv</t>
  </si>
  <si>
    <t>ft20_AdamW_ariel.pt_feval.csv</t>
  </si>
  <si>
    <t>ft20_AdamW_feval.csv</t>
  </si>
  <si>
    <t>ft20_RMSProp_ariel.pt_feval.csv</t>
  </si>
  <si>
    <t>ft20_RMSProp_feval.csv</t>
  </si>
  <si>
    <t>ft20_SGD_ariel.pt_feval.csv</t>
  </si>
  <si>
    <t>ft20_SGD_feval.csv</t>
  </si>
  <si>
    <t>ft21_AdamW_ariel.pt_feval.csv</t>
  </si>
  <si>
    <t>ft21_AdamW_feval.csv</t>
  </si>
  <si>
    <t>ft21_RMSProp_ariel.pt_feval.csv</t>
  </si>
  <si>
    <t>ft21_RMSProp_feval.csv</t>
  </si>
  <si>
    <t>ft21_SGD_ariel.pt_feval.csv</t>
  </si>
  <si>
    <t>ft21_SGD_feval.csv</t>
  </si>
  <si>
    <t>ft22_AdamW_ariel.pt_feval.csv</t>
  </si>
  <si>
    <t>ft22_AdamW_feval.csv</t>
  </si>
  <si>
    <t>ft22_RMSProp_ariel.pt_feval.csv</t>
  </si>
  <si>
    <t>ft22_RMSProp_feval.csv</t>
  </si>
  <si>
    <t>ft22_SGD_ariel.pt_feval.csv</t>
  </si>
  <si>
    <t>ft22_SGD_feval.csv</t>
  </si>
  <si>
    <t>ft23_AdamW_ariel.pt_feval.csv</t>
  </si>
  <si>
    <t>ft23_AdamW_feval.csv</t>
  </si>
  <si>
    <t>ft23_RMSProp_ariel.pt_feval.csv</t>
  </si>
  <si>
    <t>ft23_RMSProp_feval.csv</t>
  </si>
  <si>
    <t>ft23_SGD_ariel.pt_feval.csv</t>
  </si>
  <si>
    <t>ft23_SGD_feval.csv</t>
  </si>
  <si>
    <t>ft24_AdamW_ariel.pt_feval.csv</t>
  </si>
  <si>
    <t>ft24_AdamW_feval.csv</t>
  </si>
  <si>
    <t>ft24_RMSProp_ariel.pt_feval.csv</t>
  </si>
  <si>
    <t>ft24_RMSProp_feval.csv</t>
  </si>
  <si>
    <t>ft24_SGD_ariel.pt_feval.csv</t>
  </si>
  <si>
    <t>ft24_SGD_feval.csv</t>
  </si>
  <si>
    <t>ft25_AdamW_ariel.pt_feval.csv</t>
  </si>
  <si>
    <t>ft25_AdamW_feval.csv</t>
  </si>
  <si>
    <t>ft25_RMSProp_ariel.pt_feval.csv</t>
  </si>
  <si>
    <t>ft25_RMSProp_feval.csv</t>
  </si>
  <si>
    <t>ft25_SGD_ariel.pt_feval.csv</t>
  </si>
  <si>
    <t>ft25_SGD_feval.csv</t>
  </si>
  <si>
    <t>ft7_feval_AdamW.csv</t>
  </si>
  <si>
    <t>ft7_feval_auto.csv</t>
  </si>
  <si>
    <t>ft7_feval_SGD.csv</t>
  </si>
  <si>
    <t>ft8_feval_AdamW.csv</t>
  </si>
  <si>
    <t>ft8_feval_auto.csv</t>
  </si>
  <si>
    <t>ft8_feval_SGD.csv</t>
  </si>
  <si>
    <t>ft9_feval_AdamW.csv</t>
  </si>
  <si>
    <t>ft9_feval_auto.csv</t>
  </si>
  <si>
    <t>ft9_feval_SGD.csv</t>
  </si>
  <si>
    <t>ft4_feval_SGD.csv</t>
  </si>
  <si>
    <t>Etykiety wierszy</t>
  </si>
  <si>
    <t>Suma końcowa</t>
  </si>
  <si>
    <t>Licznik z setting</t>
  </si>
  <si>
    <t>msc</t>
  </si>
  <si>
    <t>Suma z msc</t>
  </si>
  <si>
    <t>dataset</t>
  </si>
  <si>
    <t>split</t>
  </si>
  <si>
    <t>model</t>
  </si>
  <si>
    <t>Class</t>
  </si>
  <si>
    <t>Images</t>
  </si>
  <si>
    <t>Instances</t>
  </si>
  <si>
    <t>Box-P</t>
  </si>
  <si>
    <t>Box-R</t>
  </si>
  <si>
    <t>Mask-P</t>
  </si>
  <si>
    <t>Mask-R</t>
  </si>
  <si>
    <t>t</t>
  </si>
  <si>
    <t>pilot</t>
  </si>
  <si>
    <t>val</t>
  </si>
  <si>
    <t>finloop</t>
  </si>
  <si>
    <t>solar-panel</t>
  </si>
  <si>
    <t>ft21SGD</t>
  </si>
  <si>
    <t>pv</t>
  </si>
  <si>
    <t>ariel</t>
  </si>
  <si>
    <t>pools</t>
  </si>
  <si>
    <t>solarpanel</t>
  </si>
  <si>
    <t>rzeszow</t>
  </si>
  <si>
    <t>train</t>
  </si>
  <si>
    <t>test</t>
  </si>
  <si>
    <t>synth_old</t>
  </si>
  <si>
    <t>synth_new</t>
  </si>
  <si>
    <t>ft21fin_SGD_finloop.pt_feval.csv</t>
  </si>
  <si>
    <t>ft21v8_SGD_feval.csv</t>
  </si>
  <si>
    <t>ft21v8_SGD_yolov8l-seg.pt_feval.csv</t>
  </si>
  <si>
    <t>ft26_AdamW_feval.csv</t>
  </si>
  <si>
    <t>ft26_AdamW_finloop.pt_feval.csv</t>
  </si>
  <si>
    <t>ft26_SGD_feval.csv</t>
  </si>
  <si>
    <t>ft26_SGD_finloop.pt_feval.csv</t>
  </si>
  <si>
    <t>ft27_AdamW_feval.csv</t>
  </si>
  <si>
    <t>ft27_AdamW_finloop.pt_feval.csv</t>
  </si>
  <si>
    <t>ft27_SGD_feval.csv</t>
  </si>
  <si>
    <t>ft27_SGD_finloop.pt_feval.csv</t>
  </si>
  <si>
    <t>ft28_AdamW_feval.csv</t>
  </si>
  <si>
    <t>ft28_AdamW_finloop.pt_feval.csv</t>
  </si>
  <si>
    <t>ft28_SGD_feval.csv</t>
  </si>
  <si>
    <t>ft28_SGD_finloop.pt_feval.csv</t>
  </si>
  <si>
    <t>synth_new2</t>
  </si>
  <si>
    <t>synth_new1</t>
  </si>
  <si>
    <t>mix_synth_rzesz</t>
  </si>
  <si>
    <t>ft27_AdamW_finloop.pt</t>
  </si>
  <si>
    <t>ft21v8_SGD</t>
  </si>
  <si>
    <t>ft27_SGD_finloop.pt</t>
  </si>
  <si>
    <t>ft20_SGD</t>
  </si>
  <si>
    <t>ft21_SGD</t>
  </si>
  <si>
    <t>ft29_AdamW</t>
  </si>
  <si>
    <t>ft29_AdamW_finloop.pt</t>
  </si>
  <si>
    <t>ft29_SGD</t>
  </si>
  <si>
    <t>ft29_SGD_finloop.pt</t>
  </si>
  <si>
    <t>ft30_AdamW</t>
  </si>
  <si>
    <t>ft30_AdamW_finloop.pt</t>
  </si>
  <si>
    <t>ft30_SGD</t>
  </si>
  <si>
    <t>ft30_SGD_finloop.pt</t>
  </si>
  <si>
    <t>ft31_AdamW</t>
  </si>
  <si>
    <t>ft31_AdamW_finloop.pt</t>
  </si>
  <si>
    <t>ft31_SGD</t>
  </si>
  <si>
    <t>ft31_SGD_finloop.pt</t>
  </si>
  <si>
    <t>ft32_AdamW</t>
  </si>
  <si>
    <t>ft32_AdamW_finloop.pt</t>
  </si>
  <si>
    <t>ft32_SGD</t>
  </si>
  <si>
    <t>ft32_SGD_finloop.pt</t>
  </si>
  <si>
    <t>ft33_AdamW</t>
  </si>
  <si>
    <t>ft33_AdamW_finloop.pt</t>
  </si>
  <si>
    <t>ft33_SGD</t>
  </si>
  <si>
    <t>ft33_SGD_finloop.pt</t>
  </si>
</sst>
</file>

<file path=xl/styles.xml><?xml version="1.0" encoding="utf-8"?>
<styleSheet xmlns="http://schemas.openxmlformats.org/spreadsheetml/2006/main">
  <numFmts count="2">
    <numFmt numFmtId="43" formatCode="_-* #,##0.00\ _z_ł_-;\-* #,##0.00\ _z_ł_-;_-* &quot;-&quot;??\ _z_ł_-;_-@_-"/>
    <numFmt numFmtId="164" formatCode="_-* #,##0\ _z_ł_-;\-* #,##0\ _z_ł_-;_-* &quot;-&quot;??\ _z_ł_-;_-@_-"/>
  </numFmts>
  <fonts count="3">
    <font>
      <sz val="11"/>
      <color theme="1"/>
      <name val="Czcionka tekstu podstawowego"/>
      <family val="2"/>
      <charset val="238"/>
    </font>
    <font>
      <b/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43" fontId="0" fillId="0" borderId="0" xfId="1" applyFont="1"/>
    <xf numFmtId="164" fontId="0" fillId="0" borderId="0" xfId="1" applyNumberFormat="1" applyFont="1"/>
    <xf numFmtId="0" fontId="0" fillId="0" borderId="1" xfId="0" applyBorder="1"/>
    <xf numFmtId="0" fontId="0" fillId="0" borderId="2" xfId="0" applyBorder="1"/>
    <xf numFmtId="0" fontId="1" fillId="0" borderId="2" xfId="0" applyFont="1" applyBorder="1"/>
    <xf numFmtId="43" fontId="0" fillId="0" borderId="1" xfId="1" applyFont="1" applyBorder="1"/>
    <xf numFmtId="0" fontId="0" fillId="2" borderId="0" xfId="0" applyFill="1"/>
    <xf numFmtId="0" fontId="0" fillId="2" borderId="1" xfId="0" applyFill="1" applyBorder="1"/>
    <xf numFmtId="0" fontId="0" fillId="3" borderId="0" xfId="0" applyFill="1"/>
    <xf numFmtId="0" fontId="0" fillId="3" borderId="1" xfId="0" applyFill="1" applyBorder="1"/>
    <xf numFmtId="0" fontId="1" fillId="3" borderId="2" xfId="0" applyFont="1" applyFill="1" applyBorder="1"/>
  </cellXfs>
  <cellStyles count="2">
    <cellStyle name="Dziesiętny" xfId="1" builtinId="3"/>
    <cellStyle name="Normalny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arek Drwal" refreshedDate="46036.513277430553" createdVersion="3" refreshedVersion="3" minRefreshableVersion="3" recordCount="40">
  <cacheSource type="worksheet">
    <worksheetSource ref="A1:E41" sheet="top5s"/>
  </cacheSource>
  <cacheFields count="5">
    <cacheField name="setting" numFmtId="0">
      <sharedItems count="44">
        <s v="ft12_SGD_feval.csv"/>
        <s v="ft10_AdamW_feval.csv"/>
        <s v="ft11_AdamW_feval.csv"/>
        <s v="ft12b_AdamW_feval.csv"/>
        <s v="ft12c_AdamW_feval.csv"/>
        <s v="ft26_SGD_feval.csv"/>
        <s v="ft21v8_SGD_feval.csv"/>
        <s v="ft21_SGD_feval.csv"/>
        <s v="ft27_SGD_feval.csv"/>
        <s v="ft28_SGD_feval.csv"/>
        <s v="ft21v8_SGD_yolov8l-seg.pt_feval.csv"/>
        <s v="ft4_feval_SGD.csv"/>
        <s v="ft23_SGD_feval.csv"/>
        <s v="ft12_AdamW_feval.csv"/>
        <s v="ft24_AdamW_feval.csv"/>
        <s v="ft27_AdamW_finloop.pt_feval.csv"/>
        <s v="ft21fin_SGD_finloop.pt_feval.csv"/>
        <s v="ft27_SGD_finloop.pt_feval.csv"/>
        <s v="ft28_AdamW_finloop.pt_feval.csv"/>
        <s v="ft28_SGD_finloop.pt_feval.csv"/>
        <s v="ft26_SGD_finloop.pt_feval.csv"/>
        <s v="ft26_AdamW_finloop.pt_feval.csv"/>
        <s v="ft10_SGD_feval.csv"/>
        <s v="ft7_feval_SGD.csv"/>
        <s v="ft8_feval_SGD.csv" u="1"/>
        <s v="ft9_feval_SGD.csv" u="1"/>
        <s v="ft25_SGD_feval.csv" u="1"/>
        <s v="ft24_SGD_feval.csv" u="1"/>
        <s v="ft25_AdamW_feval.csv" u="1"/>
        <s v="ft22_SGD_feval.csv" u="1"/>
        <s v="ft11_SGD_feval.csv" u="1"/>
        <s v="ft25_SGD_ariel.pt_feval.csv" u="1"/>
        <s v="ft25_AdamW_ariel.pt_feval.csv" u="1"/>
        <s v="ft24_SGD_ariel.pt_feval.csv" u="1"/>
        <s v="ft24_AdamW_ariel.pt_feval.csv" u="1"/>
        <s v="ft20_SGD_feval.csv" u="1"/>
        <s v="ft22_AdamW_feval.csv" u="1"/>
        <s v="ft23_SGD_ariel.pt_feval.csv" u="1"/>
        <s v="ft12b_SGD_feval.csv" u="1"/>
        <s v="ft21_AdamW_feval.csv" u="1"/>
        <s v="ft22_SGD_ariel.pt_feval.csv" u="1"/>
        <s v="ft20_AdamW_feval.csv" u="1"/>
        <s v="ft21_SGD_ariel.pt_feval.csv" u="1"/>
        <s v="ft20_SGD_ariel.pt_feval.csv" u="1"/>
      </sharedItems>
    </cacheField>
    <cacheField name="Box-F1" numFmtId="0">
      <sharedItems containsSemiMixedTypes="0" containsString="0" containsNumber="1" minValue="0.22700000000000001" maxValue="0.995"/>
    </cacheField>
    <cacheField name="mAP50" numFmtId="0">
      <sharedItems containsSemiMixedTypes="0" containsString="0" containsNumber="1" minValue="0.13100000000000001" maxValue="0.995"/>
    </cacheField>
    <cacheField name="mAP50-95" numFmtId="0">
      <sharedItems containsSemiMixedTypes="0" containsString="0" containsNumber="1" minValue="4.5999999999999999E-2" maxValue="0.80800000000000005"/>
    </cacheField>
    <cacheField name="Mask-F1" numFmtId="0">
      <sharedItems containsSemiMixedTypes="0" containsString="0" containsNumber="1" minValue="0.22800000000000001" maxValue="0.996"/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arek Drwal" refreshedDate="46036.513277777776" createdVersion="3" refreshedVersion="3" minRefreshableVersion="3" recordCount="494">
  <cacheSource type="worksheet">
    <worksheetSource ref="A1:B495" sheet="Smsc"/>
  </cacheSource>
  <cacheFields count="2">
    <cacheField name="setting" numFmtId="0">
      <sharedItems count="71">
        <s v="ft26_SGD_feval.csv"/>
        <s v="ft21v8_SGD_feval.csv"/>
        <s v="ft21_SGD_feval.csv"/>
        <s v="ft27_SGD_feval.csv"/>
        <s v="ft28_SGD_feval.csv"/>
        <s v="ft23_SGD_feval.csv"/>
        <s v="ft22_AdamW_feval.csv"/>
        <s v="ft22_SGD_feval.csv"/>
        <s v="ft27_AdamW_feval.csv"/>
        <s v="ft9_feval_SGD.csv"/>
        <s v="ft20_SGD_feval.csv"/>
        <s v="ft10_AdamW_feval.csv"/>
        <s v="ft11_SGD_feval.csv"/>
        <s v="ft12c_SGD_feval.csv"/>
        <s v="ft24_SGD_feval.csv"/>
        <s v="ft12b_SGD_feval.csv"/>
        <s v="ft12_AdamW_feval.csv"/>
        <s v="ft7_feval_auto.csv"/>
        <s v="ft8_feval_auto.csv"/>
        <s v="ft9_feval_auto.csv"/>
        <s v="ft12_SGD_feval.csv"/>
        <s v="ft21v8_SGD_yolov8l-seg.pt_feval.csv"/>
        <s v="ft28_AdamW_feval.csv"/>
        <s v="ft12c_AdamW_feval.csv"/>
        <s v="ft25_SGD_feval.csv"/>
        <s v="ft8_feval_AdamW.csv"/>
        <s v="ft21_AdamW_feval.csv"/>
        <s v="ft23_AdamW_feval.csv"/>
        <s v="ft8_feval_SGD.csv"/>
        <s v="ft7_feval_AdamW.csv"/>
        <s v="ft4_feval_SGD.csv"/>
        <s v="ft25_AdamW_feval.csv"/>
        <s v="ft24_AdamW_feval.csv"/>
        <s v="ft10_SGD_feval.csv"/>
        <s v="ft21fin_SGD_finloop.pt_feval.csv"/>
        <s v="ft26_AdamW_feval.csv"/>
        <s v="ft26_SGD_finloop.pt_feval.csv"/>
        <s v="ft27_SGD_finloop.pt_feval.csv"/>
        <s v="ft20_AdamW_feval.csv"/>
        <s v="ft28_SGD_finloop.pt_feval.csv"/>
        <s v="ft9_feval_AdamW.csv"/>
        <s v="ft12b_AdamW_feval.csv"/>
        <s v="ft27_AdamW_finloop.pt_feval.csv"/>
        <s v="ft28_AdamW_finloop.pt_feval.csv"/>
        <s v="ft7_feval_SGD.csv"/>
        <s v="ft11_AdamW_feval.csv"/>
        <s v="ft26_AdamW_finloop.pt_feval.csv"/>
        <s v="ft25_RMSProp_feval.csv"/>
        <s v="ft21_RMSProp_feval.csv"/>
        <s v="ft20_AdamW_ariel.pt_feval.csv"/>
        <s v="ft20_RMSProp_ariel.pt_feval.csv"/>
        <s v="ft20_RMSProp_feval.csv"/>
        <s v="ft20_SGD_ariel.pt_feval.csv"/>
        <s v="ft21_AdamW_ariel.pt_feval.csv"/>
        <s v="ft21_RMSProp_ariel.pt_feval.csv"/>
        <s v="ft25_SGD_ariel.pt_feval.csv"/>
        <s v="ft22_AdamW_ariel.pt_feval.csv"/>
        <s v="ft22_RMSProp_ariel.pt_feval.csv"/>
        <s v="ft22_RMSProp_feval.csv"/>
        <s v="ft22_SGD_ariel.pt_feval.csv"/>
        <s v="ft23_AdamW_ariel.pt_feval.csv"/>
        <s v="ft23_RMSProp_ariel.pt_feval.csv"/>
        <s v="ft23_RMSProp_feval.csv"/>
        <s v="ft23_SGD_ariel.pt_feval.csv"/>
        <s v="ft24_AdamW_ariel.pt_feval.csv"/>
        <s v="ft24_RMSProp_ariel.pt_feval.csv"/>
        <s v="ft24_RMSProp_feval.csv"/>
        <s v="ft24_SGD_ariel.pt_feval.csv"/>
        <s v="ft25_AdamW_ariel.pt_feval.csv"/>
        <s v="ft25_RMSProp_ariel.pt_feval.csv"/>
        <s v="ft21_SGD_ariel.pt_feval.csv" u="1"/>
      </sharedItems>
    </cacheField>
    <cacheField name="msc" numFmtId="0">
      <sharedItems containsSemiMixedTypes="0" containsString="0" containsNumber="1" containsInteger="1" minValue="1" maxValue="71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">
  <r>
    <x v="0"/>
    <n v="0.98699999999999999"/>
    <n v="0.98"/>
    <n v="0.60799999999999998"/>
    <n v="0.996"/>
  </r>
  <r>
    <x v="1"/>
    <n v="0.995"/>
    <n v="0.995"/>
    <n v="0.79900000000000004"/>
    <n v="0.995"/>
  </r>
  <r>
    <x v="2"/>
    <n v="0.995"/>
    <n v="0.995"/>
    <n v="0.76200000000000001"/>
    <n v="0.995"/>
  </r>
  <r>
    <x v="3"/>
    <n v="0.995"/>
    <n v="0.995"/>
    <n v="0.77400000000000002"/>
    <n v="0.995"/>
  </r>
  <r>
    <x v="4"/>
    <n v="0.995"/>
    <n v="0.995"/>
    <n v="0.78"/>
    <n v="0.995"/>
  </r>
  <r>
    <x v="5"/>
    <n v="0.45500000000000002"/>
    <n v="0.34"/>
    <n v="0.17"/>
    <n v="0.377"/>
  </r>
  <r>
    <x v="6"/>
    <n v="0.45400000000000001"/>
    <n v="0.379"/>
    <n v="0.19"/>
    <n v="0.33200000000000002"/>
  </r>
  <r>
    <x v="7"/>
    <n v="0.45400000000000001"/>
    <n v="0.379"/>
    <n v="0.19"/>
    <n v="0.33200000000000002"/>
  </r>
  <r>
    <x v="8"/>
    <n v="0.42199999999999999"/>
    <n v="0.318"/>
    <n v="0.182"/>
    <n v="0.3"/>
  </r>
  <r>
    <x v="9"/>
    <n v="0.46700000000000003"/>
    <n v="0.36699999999999999"/>
    <n v="0.186"/>
    <n v="0.29399999999999998"/>
  </r>
  <r>
    <x v="10"/>
    <n v="0.40699999999999997"/>
    <n v="0.29099999999999998"/>
    <n v="0.14099999999999999"/>
    <n v="0.33900000000000002"/>
  </r>
  <r>
    <x v="11"/>
    <n v="0.374"/>
    <n v="0.27500000000000002"/>
    <n v="0.127"/>
    <n v="0.313"/>
  </r>
  <r>
    <x v="8"/>
    <n v="0.35499999999999998"/>
    <n v="0.26100000000000001"/>
    <n v="0.124"/>
    <n v="0.29799999999999999"/>
  </r>
  <r>
    <x v="6"/>
    <n v="0.34200000000000003"/>
    <n v="0.27600000000000002"/>
    <n v="0.13400000000000001"/>
    <n v="0.29699999999999999"/>
  </r>
  <r>
    <x v="7"/>
    <n v="0.34200000000000003"/>
    <n v="0.27600000000000002"/>
    <n v="0.13400000000000001"/>
    <n v="0.29699999999999999"/>
  </r>
  <r>
    <x v="12"/>
    <n v="0.74399999999999999"/>
    <n v="0.74299999999999999"/>
    <n v="0.33900000000000002"/>
    <n v="0.68100000000000005"/>
  </r>
  <r>
    <x v="13"/>
    <n v="0.748"/>
    <n v="0.65600000000000003"/>
    <n v="0.29399999999999998"/>
    <n v="0.65"/>
  </r>
  <r>
    <x v="14"/>
    <n v="0.65"/>
    <n v="0.59299999999999997"/>
    <n v="0.28499999999999998"/>
    <n v="0.65"/>
  </r>
  <r>
    <x v="9"/>
    <n v="0.69699999999999995"/>
    <n v="0.69099999999999995"/>
    <n v="0.32300000000000001"/>
    <n v="0.629"/>
  </r>
  <r>
    <x v="6"/>
    <n v="0.68700000000000006"/>
    <n v="0.67400000000000004"/>
    <n v="0.35499999999999998"/>
    <n v="0.622"/>
  </r>
  <r>
    <x v="15"/>
    <n v="0.246"/>
    <n v="0.152"/>
    <n v="6.0999999999999999E-2"/>
    <n v="0.25800000000000001"/>
  </r>
  <r>
    <x v="10"/>
    <n v="0.29599999999999999"/>
    <n v="0.20100000000000001"/>
    <n v="9.5000000000000001E-2"/>
    <n v="0.23799999999999999"/>
  </r>
  <r>
    <x v="16"/>
    <n v="0.249"/>
    <n v="0.156"/>
    <n v="6.2E-2"/>
    <n v="0.23"/>
  </r>
  <r>
    <x v="17"/>
    <n v="0.25"/>
    <n v="0.16"/>
    <n v="6.4000000000000001E-2"/>
    <n v="0.22900000000000001"/>
  </r>
  <r>
    <x v="18"/>
    <n v="0.22700000000000001"/>
    <n v="0.13100000000000001"/>
    <n v="4.5999999999999999E-2"/>
    <n v="0.22800000000000001"/>
  </r>
  <r>
    <x v="17"/>
    <n v="0.92100000000000004"/>
    <n v="0.94699999999999995"/>
    <n v="0.621"/>
    <n v="0.89300000000000002"/>
  </r>
  <r>
    <x v="16"/>
    <n v="0.91800000000000004"/>
    <n v="0.94599999999999995"/>
    <n v="0.61799999999999999"/>
    <n v="0.89"/>
  </r>
  <r>
    <x v="19"/>
    <n v="0.91900000000000004"/>
    <n v="0.94599999999999995"/>
    <n v="0.624"/>
    <n v="0.89"/>
  </r>
  <r>
    <x v="20"/>
    <n v="0.91800000000000004"/>
    <n v="0.94499999999999995"/>
    <n v="0.625"/>
    <n v="0.88800000000000001"/>
  </r>
  <r>
    <x v="15"/>
    <n v="0.85499999999999998"/>
    <n v="0.89200000000000002"/>
    <n v="0.59499999999999997"/>
    <n v="0.82399999999999995"/>
  </r>
  <r>
    <x v="21"/>
    <n v="0.94199999999999995"/>
    <n v="0.97199999999999998"/>
    <n v="0.79400000000000004"/>
    <n v="0.90800000000000003"/>
  </r>
  <r>
    <x v="15"/>
    <n v="0.94699999999999995"/>
    <n v="0.97299999999999998"/>
    <n v="0.80500000000000005"/>
    <n v="0.90700000000000003"/>
  </r>
  <r>
    <x v="18"/>
    <n v="0.94499999999999995"/>
    <n v="0.97399999999999998"/>
    <n v="0.80800000000000005"/>
    <n v="0.90500000000000003"/>
  </r>
  <r>
    <x v="20"/>
    <n v="0.93600000000000005"/>
    <n v="0.95599999999999996"/>
    <n v="0.74299999999999999"/>
    <n v="0.89200000000000002"/>
  </r>
  <r>
    <x v="19"/>
    <n v="0.92500000000000004"/>
    <n v="0.94899999999999995"/>
    <n v="0.72699999999999998"/>
    <n v="0.88300000000000001"/>
  </r>
  <r>
    <x v="4"/>
    <n v="0.85"/>
    <n v="0.85499999999999998"/>
    <n v="0.67"/>
    <n v="0.84199999999999997"/>
  </r>
  <r>
    <x v="13"/>
    <n v="0.84599999999999997"/>
    <n v="0.84799999999999998"/>
    <n v="0.65700000000000003"/>
    <n v="0.83299999999999996"/>
  </r>
  <r>
    <x v="3"/>
    <n v="0.83699999999999997"/>
    <n v="0.84199999999999997"/>
    <n v="0.65100000000000002"/>
    <n v="0.82099999999999995"/>
  </r>
  <r>
    <x v="22"/>
    <n v="0.82299999999999995"/>
    <n v="0.82299999999999995"/>
    <n v="0.624"/>
    <n v="0.81"/>
  </r>
  <r>
    <x v="23"/>
    <n v="0.81799999999999995"/>
    <n v="0.82599999999999996"/>
    <n v="0.624"/>
    <n v="0.8050000000000000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94">
  <r>
    <x v="0"/>
    <n v="1"/>
  </r>
  <r>
    <x v="1"/>
    <n v="2"/>
  </r>
  <r>
    <x v="2"/>
    <n v="3"/>
  </r>
  <r>
    <x v="3"/>
    <n v="4"/>
  </r>
  <r>
    <x v="4"/>
    <n v="5"/>
  </r>
  <r>
    <x v="5"/>
    <n v="6"/>
  </r>
  <r>
    <x v="6"/>
    <n v="7"/>
  </r>
  <r>
    <x v="7"/>
    <n v="8"/>
  </r>
  <r>
    <x v="8"/>
    <n v="9"/>
  </r>
  <r>
    <x v="9"/>
    <n v="10"/>
  </r>
  <r>
    <x v="10"/>
    <n v="11"/>
  </r>
  <r>
    <x v="11"/>
    <n v="12"/>
  </r>
  <r>
    <x v="12"/>
    <n v="13"/>
  </r>
  <r>
    <x v="13"/>
    <n v="14"/>
  </r>
  <r>
    <x v="14"/>
    <n v="15"/>
  </r>
  <r>
    <x v="15"/>
    <n v="16"/>
  </r>
  <r>
    <x v="16"/>
    <n v="17"/>
  </r>
  <r>
    <x v="17"/>
    <n v="18"/>
  </r>
  <r>
    <x v="18"/>
    <n v="19"/>
  </r>
  <r>
    <x v="19"/>
    <n v="20"/>
  </r>
  <r>
    <x v="20"/>
    <n v="21"/>
  </r>
  <r>
    <x v="21"/>
    <n v="22"/>
  </r>
  <r>
    <x v="22"/>
    <n v="23"/>
  </r>
  <r>
    <x v="23"/>
    <n v="24"/>
  </r>
  <r>
    <x v="24"/>
    <n v="25"/>
  </r>
  <r>
    <x v="25"/>
    <n v="26"/>
  </r>
  <r>
    <x v="26"/>
    <n v="27"/>
  </r>
  <r>
    <x v="27"/>
    <n v="28"/>
  </r>
  <r>
    <x v="28"/>
    <n v="29"/>
  </r>
  <r>
    <x v="29"/>
    <n v="30"/>
  </r>
  <r>
    <x v="30"/>
    <n v="31"/>
  </r>
  <r>
    <x v="31"/>
    <n v="32"/>
  </r>
  <r>
    <x v="32"/>
    <n v="33"/>
  </r>
  <r>
    <x v="33"/>
    <n v="34"/>
  </r>
  <r>
    <x v="34"/>
    <n v="35"/>
  </r>
  <r>
    <x v="35"/>
    <n v="36"/>
  </r>
  <r>
    <x v="36"/>
    <n v="37"/>
  </r>
  <r>
    <x v="37"/>
    <n v="38"/>
  </r>
  <r>
    <x v="38"/>
    <n v="39"/>
  </r>
  <r>
    <x v="39"/>
    <n v="40"/>
  </r>
  <r>
    <x v="40"/>
    <n v="41"/>
  </r>
  <r>
    <x v="41"/>
    <n v="42"/>
  </r>
  <r>
    <x v="42"/>
    <n v="43"/>
  </r>
  <r>
    <x v="43"/>
    <n v="44"/>
  </r>
  <r>
    <x v="44"/>
    <n v="45"/>
  </r>
  <r>
    <x v="45"/>
    <n v="46"/>
  </r>
  <r>
    <x v="46"/>
    <n v="47"/>
  </r>
  <r>
    <x v="47"/>
    <n v="48"/>
  </r>
  <r>
    <x v="48"/>
    <n v="49"/>
  </r>
  <r>
    <x v="49"/>
    <n v="50"/>
  </r>
  <r>
    <x v="50"/>
    <n v="51"/>
  </r>
  <r>
    <x v="51"/>
    <n v="52"/>
  </r>
  <r>
    <x v="52"/>
    <n v="53"/>
  </r>
  <r>
    <x v="53"/>
    <n v="54"/>
  </r>
  <r>
    <x v="54"/>
    <n v="55"/>
  </r>
  <r>
    <x v="55"/>
    <n v="56"/>
  </r>
  <r>
    <x v="56"/>
    <n v="57"/>
  </r>
  <r>
    <x v="57"/>
    <n v="58"/>
  </r>
  <r>
    <x v="58"/>
    <n v="59"/>
  </r>
  <r>
    <x v="59"/>
    <n v="60"/>
  </r>
  <r>
    <x v="60"/>
    <n v="61"/>
  </r>
  <r>
    <x v="61"/>
    <n v="62"/>
  </r>
  <r>
    <x v="62"/>
    <n v="63"/>
  </r>
  <r>
    <x v="63"/>
    <n v="64"/>
  </r>
  <r>
    <x v="64"/>
    <n v="65"/>
  </r>
  <r>
    <x v="65"/>
    <n v="66"/>
  </r>
  <r>
    <x v="66"/>
    <n v="67"/>
  </r>
  <r>
    <x v="67"/>
    <n v="68"/>
  </r>
  <r>
    <x v="68"/>
    <n v="69"/>
  </r>
  <r>
    <x v="69"/>
    <n v="70"/>
  </r>
  <r>
    <x v="55"/>
    <n v="71"/>
  </r>
  <r>
    <x v="21"/>
    <n v="1"/>
  </r>
  <r>
    <x v="30"/>
    <n v="2"/>
  </r>
  <r>
    <x v="3"/>
    <n v="3"/>
  </r>
  <r>
    <x v="1"/>
    <n v="4"/>
  </r>
  <r>
    <x v="2"/>
    <n v="5"/>
  </r>
  <r>
    <x v="14"/>
    <n v="6"/>
  </r>
  <r>
    <x v="0"/>
    <n v="7"/>
  </r>
  <r>
    <x v="15"/>
    <n v="8"/>
  </r>
  <r>
    <x v="24"/>
    <n v="9"/>
  </r>
  <r>
    <x v="10"/>
    <n v="10"/>
  </r>
  <r>
    <x v="5"/>
    <n v="11"/>
  </r>
  <r>
    <x v="13"/>
    <n v="12"/>
  </r>
  <r>
    <x v="4"/>
    <n v="13"/>
  </r>
  <r>
    <x v="28"/>
    <n v="14"/>
  </r>
  <r>
    <x v="20"/>
    <n v="15"/>
  </r>
  <r>
    <x v="44"/>
    <n v="16"/>
  </r>
  <r>
    <x v="16"/>
    <n v="17"/>
  </r>
  <r>
    <x v="33"/>
    <n v="18"/>
  </r>
  <r>
    <x v="9"/>
    <n v="19"/>
  </r>
  <r>
    <x v="12"/>
    <n v="20"/>
  </r>
  <r>
    <x v="7"/>
    <n v="21"/>
  </r>
  <r>
    <x v="27"/>
    <n v="22"/>
  </r>
  <r>
    <x v="46"/>
    <n v="23"/>
  </r>
  <r>
    <x v="41"/>
    <n v="24"/>
  </r>
  <r>
    <x v="35"/>
    <n v="25"/>
  </r>
  <r>
    <x v="40"/>
    <n v="26"/>
  </r>
  <r>
    <x v="39"/>
    <n v="27"/>
  </r>
  <r>
    <x v="31"/>
    <n v="28"/>
  </r>
  <r>
    <x v="36"/>
    <n v="29"/>
  </r>
  <r>
    <x v="43"/>
    <n v="30"/>
  </r>
  <r>
    <x v="23"/>
    <n v="31"/>
  </r>
  <r>
    <x v="37"/>
    <n v="32"/>
  </r>
  <r>
    <x v="6"/>
    <n v="33"/>
  </r>
  <r>
    <x v="42"/>
    <n v="34"/>
  </r>
  <r>
    <x v="34"/>
    <n v="35"/>
  </r>
  <r>
    <x v="45"/>
    <n v="36"/>
  </r>
  <r>
    <x v="8"/>
    <n v="37"/>
  </r>
  <r>
    <x v="22"/>
    <n v="38"/>
  </r>
  <r>
    <x v="26"/>
    <n v="39"/>
  </r>
  <r>
    <x v="11"/>
    <n v="40"/>
  </r>
  <r>
    <x v="17"/>
    <n v="41"/>
  </r>
  <r>
    <x v="18"/>
    <n v="42"/>
  </r>
  <r>
    <x v="19"/>
    <n v="43"/>
  </r>
  <r>
    <x v="25"/>
    <n v="44"/>
  </r>
  <r>
    <x v="38"/>
    <n v="45"/>
  </r>
  <r>
    <x v="32"/>
    <n v="46"/>
  </r>
  <r>
    <x v="29"/>
    <n v="47"/>
  </r>
  <r>
    <x v="47"/>
    <n v="48"/>
  </r>
  <r>
    <x v="48"/>
    <n v="49"/>
  </r>
  <r>
    <x v="49"/>
    <n v="50"/>
  </r>
  <r>
    <x v="50"/>
    <n v="51"/>
  </r>
  <r>
    <x v="51"/>
    <n v="52"/>
  </r>
  <r>
    <x v="52"/>
    <n v="53"/>
  </r>
  <r>
    <x v="53"/>
    <n v="54"/>
  </r>
  <r>
    <x v="54"/>
    <n v="55"/>
  </r>
  <r>
    <x v="55"/>
    <n v="56"/>
  </r>
  <r>
    <x v="56"/>
    <n v="57"/>
  </r>
  <r>
    <x v="57"/>
    <n v="58"/>
  </r>
  <r>
    <x v="58"/>
    <n v="59"/>
  </r>
  <r>
    <x v="59"/>
    <n v="60"/>
  </r>
  <r>
    <x v="60"/>
    <n v="61"/>
  </r>
  <r>
    <x v="61"/>
    <n v="62"/>
  </r>
  <r>
    <x v="62"/>
    <n v="63"/>
  </r>
  <r>
    <x v="63"/>
    <n v="64"/>
  </r>
  <r>
    <x v="64"/>
    <n v="65"/>
  </r>
  <r>
    <x v="65"/>
    <n v="66"/>
  </r>
  <r>
    <x v="66"/>
    <n v="67"/>
  </r>
  <r>
    <x v="67"/>
    <n v="68"/>
  </r>
  <r>
    <x v="68"/>
    <n v="69"/>
  </r>
  <r>
    <x v="69"/>
    <n v="70"/>
  </r>
  <r>
    <x v="55"/>
    <n v="71"/>
  </r>
  <r>
    <x v="5"/>
    <n v="1"/>
  </r>
  <r>
    <x v="16"/>
    <n v="2"/>
  </r>
  <r>
    <x v="32"/>
    <n v="3"/>
  </r>
  <r>
    <x v="4"/>
    <n v="4"/>
  </r>
  <r>
    <x v="1"/>
    <n v="5"/>
  </r>
  <r>
    <x v="2"/>
    <n v="6"/>
  </r>
  <r>
    <x v="30"/>
    <n v="7"/>
  </r>
  <r>
    <x v="10"/>
    <n v="8"/>
  </r>
  <r>
    <x v="3"/>
    <n v="9"/>
  </r>
  <r>
    <x v="28"/>
    <n v="10"/>
  </r>
  <r>
    <x v="41"/>
    <n v="11"/>
  </r>
  <r>
    <x v="7"/>
    <n v="12"/>
  </r>
  <r>
    <x v="12"/>
    <n v="13"/>
  </r>
  <r>
    <x v="40"/>
    <n v="14"/>
  </r>
  <r>
    <x v="33"/>
    <n v="15"/>
  </r>
  <r>
    <x v="21"/>
    <n v="16"/>
  </r>
  <r>
    <x v="20"/>
    <n v="17"/>
  </r>
  <r>
    <x v="11"/>
    <n v="18"/>
  </r>
  <r>
    <x v="27"/>
    <n v="19"/>
  </r>
  <r>
    <x v="13"/>
    <n v="20"/>
  </r>
  <r>
    <x v="15"/>
    <n v="21"/>
  </r>
  <r>
    <x v="25"/>
    <n v="22"/>
  </r>
  <r>
    <x v="23"/>
    <n v="23"/>
  </r>
  <r>
    <x v="35"/>
    <n v="24"/>
  </r>
  <r>
    <x v="26"/>
    <n v="25"/>
  </r>
  <r>
    <x v="9"/>
    <n v="26"/>
  </r>
  <r>
    <x v="44"/>
    <n v="27"/>
  </r>
  <r>
    <x v="45"/>
    <n v="28"/>
  </r>
  <r>
    <x v="24"/>
    <n v="29"/>
  </r>
  <r>
    <x v="37"/>
    <n v="30"/>
  </r>
  <r>
    <x v="8"/>
    <n v="31"/>
  </r>
  <r>
    <x v="22"/>
    <n v="32"/>
  </r>
  <r>
    <x v="0"/>
    <n v="33"/>
  </r>
  <r>
    <x v="39"/>
    <n v="34"/>
  </r>
  <r>
    <x v="31"/>
    <n v="35"/>
  </r>
  <r>
    <x v="36"/>
    <n v="36"/>
  </r>
  <r>
    <x v="29"/>
    <n v="37"/>
  </r>
  <r>
    <x v="34"/>
    <n v="38"/>
  </r>
  <r>
    <x v="14"/>
    <n v="39"/>
  </r>
  <r>
    <x v="42"/>
    <n v="40"/>
  </r>
  <r>
    <x v="38"/>
    <n v="41"/>
  </r>
  <r>
    <x v="17"/>
    <n v="42"/>
  </r>
  <r>
    <x v="18"/>
    <n v="43"/>
  </r>
  <r>
    <x v="19"/>
    <n v="44"/>
  </r>
  <r>
    <x v="6"/>
    <n v="45"/>
  </r>
  <r>
    <x v="43"/>
    <n v="46"/>
  </r>
  <r>
    <x v="46"/>
    <n v="47"/>
  </r>
  <r>
    <x v="47"/>
    <n v="48"/>
  </r>
  <r>
    <x v="48"/>
    <n v="49"/>
  </r>
  <r>
    <x v="49"/>
    <n v="50"/>
  </r>
  <r>
    <x v="50"/>
    <n v="51"/>
  </r>
  <r>
    <x v="51"/>
    <n v="52"/>
  </r>
  <r>
    <x v="52"/>
    <n v="53"/>
  </r>
  <r>
    <x v="53"/>
    <n v="54"/>
  </r>
  <r>
    <x v="54"/>
    <n v="55"/>
  </r>
  <r>
    <x v="55"/>
    <n v="56"/>
  </r>
  <r>
    <x v="56"/>
    <n v="57"/>
  </r>
  <r>
    <x v="57"/>
    <n v="58"/>
  </r>
  <r>
    <x v="58"/>
    <n v="59"/>
  </r>
  <r>
    <x v="59"/>
    <n v="60"/>
  </r>
  <r>
    <x v="60"/>
    <n v="61"/>
  </r>
  <r>
    <x v="61"/>
    <n v="62"/>
  </r>
  <r>
    <x v="62"/>
    <n v="63"/>
  </r>
  <r>
    <x v="63"/>
    <n v="64"/>
  </r>
  <r>
    <x v="64"/>
    <n v="65"/>
  </r>
  <r>
    <x v="65"/>
    <n v="66"/>
  </r>
  <r>
    <x v="66"/>
    <n v="67"/>
  </r>
  <r>
    <x v="67"/>
    <n v="68"/>
  </r>
  <r>
    <x v="68"/>
    <n v="69"/>
  </r>
  <r>
    <x v="69"/>
    <n v="70"/>
  </r>
  <r>
    <x v="55"/>
    <n v="71"/>
  </r>
  <r>
    <x v="42"/>
    <n v="1"/>
  </r>
  <r>
    <x v="21"/>
    <n v="2"/>
  </r>
  <r>
    <x v="34"/>
    <n v="3"/>
  </r>
  <r>
    <x v="37"/>
    <n v="4"/>
  </r>
  <r>
    <x v="43"/>
    <n v="5"/>
  </r>
  <r>
    <x v="46"/>
    <n v="6"/>
  </r>
  <r>
    <x v="36"/>
    <n v="7"/>
  </r>
  <r>
    <x v="39"/>
    <n v="8"/>
  </r>
  <r>
    <x v="8"/>
    <n v="9"/>
  </r>
  <r>
    <x v="6"/>
    <n v="10"/>
  </r>
  <r>
    <x v="32"/>
    <n v="11"/>
  </r>
  <r>
    <x v="35"/>
    <n v="12"/>
  </r>
  <r>
    <x v="14"/>
    <n v="13"/>
  </r>
  <r>
    <x v="13"/>
    <n v="14"/>
  </r>
  <r>
    <x v="27"/>
    <n v="15"/>
  </r>
  <r>
    <x v="24"/>
    <n v="16"/>
  </r>
  <r>
    <x v="15"/>
    <n v="17"/>
  </r>
  <r>
    <x v="20"/>
    <n v="18"/>
  </r>
  <r>
    <x v="9"/>
    <n v="19"/>
  </r>
  <r>
    <x v="26"/>
    <n v="20"/>
  </r>
  <r>
    <x v="38"/>
    <n v="21"/>
  </r>
  <r>
    <x v="22"/>
    <n v="22"/>
  </r>
  <r>
    <x v="17"/>
    <n v="23"/>
  </r>
  <r>
    <x v="18"/>
    <n v="24"/>
  </r>
  <r>
    <x v="19"/>
    <n v="25"/>
  </r>
  <r>
    <x v="12"/>
    <n v="26"/>
  </r>
  <r>
    <x v="16"/>
    <n v="27"/>
  </r>
  <r>
    <x v="29"/>
    <n v="28"/>
  </r>
  <r>
    <x v="10"/>
    <n v="29"/>
  </r>
  <r>
    <x v="1"/>
    <n v="30"/>
  </r>
  <r>
    <x v="2"/>
    <n v="31"/>
  </r>
  <r>
    <x v="40"/>
    <n v="32"/>
  </r>
  <r>
    <x v="23"/>
    <n v="33"/>
  </r>
  <r>
    <x v="4"/>
    <n v="34"/>
  </r>
  <r>
    <x v="41"/>
    <n v="35"/>
  </r>
  <r>
    <x v="45"/>
    <n v="36"/>
  </r>
  <r>
    <x v="7"/>
    <n v="37"/>
  </r>
  <r>
    <x v="28"/>
    <n v="38"/>
  </r>
  <r>
    <x v="5"/>
    <n v="39"/>
  </r>
  <r>
    <x v="30"/>
    <n v="40"/>
  </r>
  <r>
    <x v="31"/>
    <n v="41"/>
  </r>
  <r>
    <x v="0"/>
    <n v="42"/>
  </r>
  <r>
    <x v="11"/>
    <n v="43"/>
  </r>
  <r>
    <x v="33"/>
    <n v="44"/>
  </r>
  <r>
    <x v="25"/>
    <n v="45"/>
  </r>
  <r>
    <x v="44"/>
    <n v="46"/>
  </r>
  <r>
    <x v="3"/>
    <n v="47"/>
  </r>
  <r>
    <x v="47"/>
    <n v="48"/>
  </r>
  <r>
    <x v="49"/>
    <n v="49"/>
  </r>
  <r>
    <x v="50"/>
    <n v="50"/>
  </r>
  <r>
    <x v="51"/>
    <n v="51"/>
  </r>
  <r>
    <x v="52"/>
    <n v="52"/>
  </r>
  <r>
    <x v="53"/>
    <n v="53"/>
  </r>
  <r>
    <x v="54"/>
    <n v="54"/>
  </r>
  <r>
    <x v="48"/>
    <n v="55"/>
  </r>
  <r>
    <x v="55"/>
    <n v="56"/>
  </r>
  <r>
    <x v="56"/>
    <n v="57"/>
  </r>
  <r>
    <x v="57"/>
    <n v="58"/>
  </r>
  <r>
    <x v="58"/>
    <n v="59"/>
  </r>
  <r>
    <x v="59"/>
    <n v="60"/>
  </r>
  <r>
    <x v="60"/>
    <n v="61"/>
  </r>
  <r>
    <x v="61"/>
    <n v="62"/>
  </r>
  <r>
    <x v="62"/>
    <n v="63"/>
  </r>
  <r>
    <x v="63"/>
    <n v="64"/>
  </r>
  <r>
    <x v="64"/>
    <n v="65"/>
  </r>
  <r>
    <x v="65"/>
    <n v="66"/>
  </r>
  <r>
    <x v="66"/>
    <n v="67"/>
  </r>
  <r>
    <x v="67"/>
    <n v="68"/>
  </r>
  <r>
    <x v="68"/>
    <n v="69"/>
  </r>
  <r>
    <x v="69"/>
    <n v="70"/>
  </r>
  <r>
    <x v="55"/>
    <n v="71"/>
  </r>
  <r>
    <x v="37"/>
    <n v="1"/>
  </r>
  <r>
    <x v="34"/>
    <n v="2"/>
  </r>
  <r>
    <x v="39"/>
    <n v="3"/>
  </r>
  <r>
    <x v="36"/>
    <n v="4"/>
  </r>
  <r>
    <x v="42"/>
    <n v="5"/>
  </r>
  <r>
    <x v="43"/>
    <n v="6"/>
  </r>
  <r>
    <x v="46"/>
    <n v="7"/>
  </r>
  <r>
    <x v="44"/>
    <n v="8"/>
  </r>
  <r>
    <x v="16"/>
    <n v="9"/>
  </r>
  <r>
    <x v="41"/>
    <n v="10"/>
  </r>
  <r>
    <x v="40"/>
    <n v="11"/>
  </r>
  <r>
    <x v="45"/>
    <n v="12"/>
  </r>
  <r>
    <x v="23"/>
    <n v="13"/>
  </r>
  <r>
    <x v="28"/>
    <n v="14"/>
  </r>
  <r>
    <x v="33"/>
    <n v="15"/>
  </r>
  <r>
    <x v="20"/>
    <n v="16"/>
  </r>
  <r>
    <x v="11"/>
    <n v="17"/>
  </r>
  <r>
    <x v="12"/>
    <n v="18"/>
  </r>
  <r>
    <x v="15"/>
    <n v="19"/>
  </r>
  <r>
    <x v="13"/>
    <n v="20"/>
  </r>
  <r>
    <x v="25"/>
    <n v="21"/>
  </r>
  <r>
    <x v="9"/>
    <n v="22"/>
  </r>
  <r>
    <x v="17"/>
    <n v="23"/>
  </r>
  <r>
    <x v="18"/>
    <n v="24"/>
  </r>
  <r>
    <x v="19"/>
    <n v="25"/>
  </r>
  <r>
    <x v="29"/>
    <n v="26"/>
  </r>
  <r>
    <x v="10"/>
    <n v="27"/>
  </r>
  <r>
    <x v="21"/>
    <n v="28"/>
  </r>
  <r>
    <x v="32"/>
    <n v="29"/>
  </r>
  <r>
    <x v="7"/>
    <n v="30"/>
  </r>
  <r>
    <x v="1"/>
    <n v="31"/>
  </r>
  <r>
    <x v="2"/>
    <n v="32"/>
  </r>
  <r>
    <x v="31"/>
    <n v="33"/>
  </r>
  <r>
    <x v="5"/>
    <n v="34"/>
  </r>
  <r>
    <x v="0"/>
    <n v="35"/>
  </r>
  <r>
    <x v="27"/>
    <n v="36"/>
  </r>
  <r>
    <x v="22"/>
    <n v="37"/>
  </r>
  <r>
    <x v="4"/>
    <n v="38"/>
  </r>
  <r>
    <x v="3"/>
    <n v="39"/>
  </r>
  <r>
    <x v="6"/>
    <n v="40"/>
  </r>
  <r>
    <x v="8"/>
    <n v="41"/>
  </r>
  <r>
    <x v="14"/>
    <n v="42"/>
  </r>
  <r>
    <x v="24"/>
    <n v="43"/>
  </r>
  <r>
    <x v="26"/>
    <n v="44"/>
  </r>
  <r>
    <x v="35"/>
    <n v="45"/>
  </r>
  <r>
    <x v="38"/>
    <n v="46"/>
  </r>
  <r>
    <x v="47"/>
    <n v="47"/>
  </r>
  <r>
    <x v="48"/>
    <n v="48"/>
  </r>
  <r>
    <x v="49"/>
    <n v="49"/>
  </r>
  <r>
    <x v="50"/>
    <n v="50"/>
  </r>
  <r>
    <x v="51"/>
    <n v="51"/>
  </r>
  <r>
    <x v="52"/>
    <n v="52"/>
  </r>
  <r>
    <x v="53"/>
    <n v="53"/>
  </r>
  <r>
    <x v="54"/>
    <n v="54"/>
  </r>
  <r>
    <x v="55"/>
    <n v="55"/>
  </r>
  <r>
    <x v="56"/>
    <n v="56"/>
  </r>
  <r>
    <x v="57"/>
    <n v="57"/>
  </r>
  <r>
    <x v="58"/>
    <n v="58"/>
  </r>
  <r>
    <x v="59"/>
    <n v="59"/>
  </r>
  <r>
    <x v="60"/>
    <n v="60"/>
  </r>
  <r>
    <x v="61"/>
    <n v="61"/>
  </r>
  <r>
    <x v="62"/>
    <n v="62"/>
  </r>
  <r>
    <x v="63"/>
    <n v="63"/>
  </r>
  <r>
    <x v="64"/>
    <n v="64"/>
  </r>
  <r>
    <x v="65"/>
    <n v="65"/>
  </r>
  <r>
    <x v="66"/>
    <n v="66"/>
  </r>
  <r>
    <x v="67"/>
    <n v="67"/>
  </r>
  <r>
    <x v="68"/>
    <n v="68"/>
  </r>
  <r>
    <x v="69"/>
    <n v="69"/>
  </r>
  <r>
    <x v="55"/>
    <n v="70"/>
  </r>
  <r>
    <x v="46"/>
    <n v="1"/>
  </r>
  <r>
    <x v="42"/>
    <n v="2"/>
  </r>
  <r>
    <x v="43"/>
    <n v="3"/>
  </r>
  <r>
    <x v="36"/>
    <n v="4"/>
  </r>
  <r>
    <x v="39"/>
    <n v="5"/>
  </r>
  <r>
    <x v="37"/>
    <n v="6"/>
  </r>
  <r>
    <x v="34"/>
    <n v="7"/>
  </r>
  <r>
    <x v="0"/>
    <n v="8"/>
  </r>
  <r>
    <x v="4"/>
    <n v="9"/>
  </r>
  <r>
    <x v="10"/>
    <n v="10"/>
  </r>
  <r>
    <x v="31"/>
    <n v="11"/>
  </r>
  <r>
    <x v="7"/>
    <n v="12"/>
  </r>
  <r>
    <x v="8"/>
    <n v="13"/>
  </r>
  <r>
    <x v="22"/>
    <n v="14"/>
  </r>
  <r>
    <x v="3"/>
    <n v="15"/>
  </r>
  <r>
    <x v="1"/>
    <n v="16"/>
  </r>
  <r>
    <x v="2"/>
    <n v="17"/>
  </r>
  <r>
    <x v="5"/>
    <n v="18"/>
  </r>
  <r>
    <x v="32"/>
    <n v="19"/>
  </r>
  <r>
    <x v="21"/>
    <n v="20"/>
  </r>
  <r>
    <x v="35"/>
    <n v="21"/>
  </r>
  <r>
    <x v="27"/>
    <n v="22"/>
  </r>
  <r>
    <x v="6"/>
    <n v="23"/>
  </r>
  <r>
    <x v="26"/>
    <n v="24"/>
  </r>
  <r>
    <x v="38"/>
    <n v="25"/>
  </r>
  <r>
    <x v="24"/>
    <n v="26"/>
  </r>
  <r>
    <x v="14"/>
    <n v="27"/>
  </r>
  <r>
    <x v="44"/>
    <n v="28"/>
  </r>
  <r>
    <x v="28"/>
    <n v="29"/>
  </r>
  <r>
    <x v="23"/>
    <n v="30"/>
  </r>
  <r>
    <x v="33"/>
    <n v="31"/>
  </r>
  <r>
    <x v="40"/>
    <n v="32"/>
  </r>
  <r>
    <x v="45"/>
    <n v="33"/>
  </r>
  <r>
    <x v="41"/>
    <n v="34"/>
  </r>
  <r>
    <x v="16"/>
    <n v="35"/>
  </r>
  <r>
    <x v="12"/>
    <n v="36"/>
  </r>
  <r>
    <x v="15"/>
    <n v="37"/>
  </r>
  <r>
    <x v="20"/>
    <n v="38"/>
  </r>
  <r>
    <x v="9"/>
    <n v="39"/>
  </r>
  <r>
    <x v="13"/>
    <n v="40"/>
  </r>
  <r>
    <x v="17"/>
    <n v="41"/>
  </r>
  <r>
    <x v="18"/>
    <n v="42"/>
  </r>
  <r>
    <x v="19"/>
    <n v="43"/>
  </r>
  <r>
    <x v="11"/>
    <n v="44"/>
  </r>
  <r>
    <x v="29"/>
    <n v="45"/>
  </r>
  <r>
    <x v="25"/>
    <n v="46"/>
  </r>
  <r>
    <x v="47"/>
    <n v="47"/>
  </r>
  <r>
    <x v="48"/>
    <n v="48"/>
  </r>
  <r>
    <x v="49"/>
    <n v="49"/>
  </r>
  <r>
    <x v="50"/>
    <n v="50"/>
  </r>
  <r>
    <x v="51"/>
    <n v="51"/>
  </r>
  <r>
    <x v="52"/>
    <n v="52"/>
  </r>
  <r>
    <x v="53"/>
    <n v="53"/>
  </r>
  <r>
    <x v="54"/>
    <n v="54"/>
  </r>
  <r>
    <x v="55"/>
    <n v="55"/>
  </r>
  <r>
    <x v="56"/>
    <n v="56"/>
  </r>
  <r>
    <x v="57"/>
    <n v="57"/>
  </r>
  <r>
    <x v="58"/>
    <n v="58"/>
  </r>
  <r>
    <x v="59"/>
    <n v="59"/>
  </r>
  <r>
    <x v="60"/>
    <n v="60"/>
  </r>
  <r>
    <x v="61"/>
    <n v="61"/>
  </r>
  <r>
    <x v="62"/>
    <n v="62"/>
  </r>
  <r>
    <x v="63"/>
    <n v="63"/>
  </r>
  <r>
    <x v="64"/>
    <n v="64"/>
  </r>
  <r>
    <x v="65"/>
    <n v="65"/>
  </r>
  <r>
    <x v="66"/>
    <n v="66"/>
  </r>
  <r>
    <x v="67"/>
    <n v="67"/>
  </r>
  <r>
    <x v="68"/>
    <n v="68"/>
  </r>
  <r>
    <x v="69"/>
    <n v="69"/>
  </r>
  <r>
    <x v="55"/>
    <n v="70"/>
  </r>
  <r>
    <x v="23"/>
    <n v="1"/>
  </r>
  <r>
    <x v="16"/>
    <n v="2"/>
  </r>
  <r>
    <x v="41"/>
    <n v="3"/>
  </r>
  <r>
    <x v="33"/>
    <n v="4"/>
  </r>
  <r>
    <x v="44"/>
    <n v="5"/>
  </r>
  <r>
    <x v="45"/>
    <n v="6"/>
  </r>
  <r>
    <x v="34"/>
    <n v="7"/>
  </r>
  <r>
    <x v="39"/>
    <n v="8"/>
  </r>
  <r>
    <x v="36"/>
    <n v="9"/>
  </r>
  <r>
    <x v="37"/>
    <n v="10"/>
  </r>
  <r>
    <x v="28"/>
    <n v="11"/>
  </r>
  <r>
    <x v="40"/>
    <n v="12"/>
  </r>
  <r>
    <x v="11"/>
    <n v="13"/>
  </r>
  <r>
    <x v="20"/>
    <n v="14"/>
  </r>
  <r>
    <x v="42"/>
    <n v="15"/>
  </r>
  <r>
    <x v="43"/>
    <n v="16"/>
  </r>
  <r>
    <x v="25"/>
    <n v="17"/>
  </r>
  <r>
    <x v="46"/>
    <n v="18"/>
  </r>
  <r>
    <x v="12"/>
    <n v="19"/>
  </r>
  <r>
    <x v="13"/>
    <n v="20"/>
  </r>
  <r>
    <x v="15"/>
    <n v="21"/>
  </r>
  <r>
    <x v="29"/>
    <n v="22"/>
  </r>
  <r>
    <x v="17"/>
    <n v="23"/>
  </r>
  <r>
    <x v="18"/>
    <n v="24"/>
  </r>
  <r>
    <x v="19"/>
    <n v="25"/>
  </r>
  <r>
    <x v="9"/>
    <n v="26"/>
  </r>
  <r>
    <x v="7"/>
    <n v="27"/>
  </r>
  <r>
    <x v="10"/>
    <n v="28"/>
  </r>
  <r>
    <x v="0"/>
    <n v="29"/>
  </r>
  <r>
    <x v="1"/>
    <n v="30"/>
  </r>
  <r>
    <x v="2"/>
    <n v="31"/>
  </r>
  <r>
    <x v="5"/>
    <n v="32"/>
  </r>
  <r>
    <x v="31"/>
    <n v="33"/>
  </r>
  <r>
    <x v="4"/>
    <n v="34"/>
  </r>
  <r>
    <x v="3"/>
    <n v="35"/>
  </r>
  <r>
    <x v="21"/>
    <n v="36"/>
  </r>
  <r>
    <x v="32"/>
    <n v="37"/>
  </r>
  <r>
    <x v="8"/>
    <n v="38"/>
  </r>
  <r>
    <x v="22"/>
    <n v="39"/>
  </r>
  <r>
    <x v="27"/>
    <n v="40"/>
  </r>
  <r>
    <x v="24"/>
    <n v="41"/>
  </r>
  <r>
    <x v="6"/>
    <n v="42"/>
  </r>
  <r>
    <x v="14"/>
    <n v="43"/>
  </r>
  <r>
    <x v="35"/>
    <n v="44"/>
  </r>
  <r>
    <x v="26"/>
    <n v="45"/>
  </r>
  <r>
    <x v="38"/>
    <n v="46"/>
  </r>
  <r>
    <x v="47"/>
    <n v="47"/>
  </r>
  <r>
    <x v="48"/>
    <n v="48"/>
  </r>
  <r>
    <x v="49"/>
    <n v="49"/>
  </r>
  <r>
    <x v="50"/>
    <n v="50"/>
  </r>
  <r>
    <x v="51"/>
    <n v="51"/>
  </r>
  <r>
    <x v="52"/>
    <n v="52"/>
  </r>
  <r>
    <x v="53"/>
    <n v="53"/>
  </r>
  <r>
    <x v="54"/>
    <n v="54"/>
  </r>
  <r>
    <x v="55"/>
    <n v="55"/>
  </r>
  <r>
    <x v="56"/>
    <n v="56"/>
  </r>
  <r>
    <x v="57"/>
    <n v="57"/>
  </r>
  <r>
    <x v="58"/>
    <n v="58"/>
  </r>
  <r>
    <x v="59"/>
    <n v="59"/>
  </r>
  <r>
    <x v="60"/>
    <n v="60"/>
  </r>
  <r>
    <x v="61"/>
    <n v="61"/>
  </r>
  <r>
    <x v="62"/>
    <n v="62"/>
  </r>
  <r>
    <x v="63"/>
    <n v="63"/>
  </r>
  <r>
    <x v="64"/>
    <n v="64"/>
  </r>
  <r>
    <x v="65"/>
    <n v="65"/>
  </r>
  <r>
    <x v="66"/>
    <n v="66"/>
  </r>
  <r>
    <x v="67"/>
    <n v="67"/>
  </r>
  <r>
    <x v="68"/>
    <n v="68"/>
  </r>
  <r>
    <x v="69"/>
    <n v="69"/>
  </r>
  <r>
    <x v="55"/>
    <n v="7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1" cacheId="8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H1:I26" firstHeaderRow="1" firstDataRow="1" firstDataCol="1"/>
  <pivotFields count="5">
    <pivotField axis="axisRow" dataField="1" showAll="0" sortType="descending">
      <items count="45">
        <item x="1"/>
        <item x="22"/>
        <item m="1" x="30"/>
        <item m="1" x="38"/>
        <item m="1" x="41"/>
        <item m="1" x="43"/>
        <item m="1" x="35"/>
        <item m="1" x="39"/>
        <item m="1" x="42"/>
        <item x="7"/>
        <item m="1" x="36"/>
        <item m="1" x="40"/>
        <item m="1" x="29"/>
        <item m="1" x="37"/>
        <item x="12"/>
        <item m="1" x="34"/>
        <item x="14"/>
        <item m="1" x="33"/>
        <item m="1" x="27"/>
        <item m="1" x="32"/>
        <item m="1" x="28"/>
        <item m="1" x="31"/>
        <item m="1" x="26"/>
        <item m="1" x="24"/>
        <item m="1" x="25"/>
        <item x="4"/>
        <item x="13"/>
        <item x="3"/>
        <item x="23"/>
        <item x="0"/>
        <item x="2"/>
        <item x="5"/>
        <item x="6"/>
        <item x="8"/>
        <item x="9"/>
        <item x="10"/>
        <item x="11"/>
        <item x="15"/>
        <item x="16"/>
        <item x="17"/>
        <item x="18"/>
        <item x="19"/>
        <item x="20"/>
        <item x="2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0"/>
  </rowFields>
  <rowItems count="25">
    <i>
      <x v="37"/>
    </i>
    <i>
      <x v="32"/>
    </i>
    <i>
      <x v="35"/>
    </i>
    <i>
      <x v="25"/>
    </i>
    <i>
      <x v="38"/>
    </i>
    <i>
      <x v="26"/>
    </i>
    <i>
      <x v="34"/>
    </i>
    <i>
      <x v="27"/>
    </i>
    <i>
      <x v="9"/>
    </i>
    <i>
      <x v="41"/>
    </i>
    <i>
      <x v="39"/>
    </i>
    <i>
      <x v="40"/>
    </i>
    <i>
      <x v="33"/>
    </i>
    <i>
      <x v="42"/>
    </i>
    <i>
      <x v="28"/>
    </i>
    <i>
      <x v="14"/>
    </i>
    <i>
      <x v="43"/>
    </i>
    <i>
      <x v="29"/>
    </i>
    <i>
      <x v="16"/>
    </i>
    <i>
      <x v="36"/>
    </i>
    <i>
      <x v="1"/>
    </i>
    <i>
      <x v="30"/>
    </i>
    <i>
      <x/>
    </i>
    <i>
      <x v="31"/>
    </i>
    <i t="grand">
      <x/>
    </i>
  </rowItems>
  <colItems count="1">
    <i/>
  </colItems>
  <dataFields count="1">
    <dataField name="Licznik z setting" fld="0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9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E1:F72" firstHeaderRow="1" firstDataRow="1" firstDataCol="1"/>
  <pivotFields count="2">
    <pivotField axis="axisRow" showAll="0" sortType="ascending">
      <items count="72">
        <item x="11"/>
        <item x="33"/>
        <item x="45"/>
        <item x="12"/>
        <item x="16"/>
        <item x="20"/>
        <item x="41"/>
        <item x="15"/>
        <item x="23"/>
        <item x="13"/>
        <item x="49"/>
        <item x="38"/>
        <item x="50"/>
        <item x="51"/>
        <item x="52"/>
        <item x="10"/>
        <item x="53"/>
        <item x="26"/>
        <item x="54"/>
        <item x="48"/>
        <item m="1" x="70"/>
        <item x="2"/>
        <item x="56"/>
        <item x="6"/>
        <item x="57"/>
        <item x="58"/>
        <item x="59"/>
        <item x="7"/>
        <item x="60"/>
        <item x="27"/>
        <item x="61"/>
        <item x="62"/>
        <item x="63"/>
        <item x="5"/>
        <item x="64"/>
        <item x="32"/>
        <item x="65"/>
        <item x="66"/>
        <item x="67"/>
        <item x="14"/>
        <item x="68"/>
        <item x="31"/>
        <item x="69"/>
        <item x="47"/>
        <item x="55"/>
        <item x="24"/>
        <item x="30"/>
        <item x="29"/>
        <item x="17"/>
        <item x="44"/>
        <item x="25"/>
        <item x="18"/>
        <item x="28"/>
        <item x="40"/>
        <item x="19"/>
        <item x="9"/>
        <item x="34"/>
        <item x="1"/>
        <item x="21"/>
        <item x="35"/>
        <item x="46"/>
        <item x="0"/>
        <item x="36"/>
        <item x="8"/>
        <item x="42"/>
        <item x="37"/>
        <item x="22"/>
        <item x="43"/>
        <item x="4"/>
        <item x="39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71">
    <i>
      <x v="46"/>
    </i>
    <i>
      <x v="4"/>
    </i>
    <i>
      <x v="57"/>
    </i>
    <i>
      <x v="65"/>
    </i>
    <i>
      <x v="15"/>
    </i>
    <i>
      <x v="21"/>
    </i>
    <i>
      <x v="69"/>
    </i>
    <i>
      <x v="58"/>
    </i>
    <i>
      <x v="62"/>
    </i>
    <i>
      <x v="56"/>
    </i>
    <i>
      <x v="68"/>
    </i>
    <i>
      <x v="5"/>
    </i>
    <i>
      <x v="7"/>
    </i>
    <i>
      <x v="9"/>
    </i>
    <i>
      <x v="64"/>
    </i>
    <i>
      <x v="33"/>
    </i>
    <i>
      <x v="52"/>
    </i>
    <i>
      <x v="3"/>
    </i>
    <i>
      <x v="27"/>
    </i>
    <i>
      <x v="60"/>
    </i>
    <i>
      <x v="67"/>
    </i>
    <i>
      <x v="70"/>
    </i>
    <i>
      <x v="8"/>
    </i>
    <i>
      <x v="61"/>
    </i>
    <i>
      <x v="6"/>
    </i>
    <i>
      <x v="1"/>
    </i>
    <i>
      <x v="55"/>
    </i>
    <i>
      <x v="53"/>
    </i>
    <i>
      <x v="49"/>
    </i>
    <i>
      <x v="35"/>
    </i>
    <i>
      <x v="63"/>
    </i>
    <i>
      <x v="29"/>
    </i>
    <i>
      <x v="39"/>
    </i>
    <i>
      <x/>
    </i>
    <i>
      <x v="45"/>
    </i>
    <i>
      <x v="2"/>
    </i>
    <i>
      <x v="23"/>
    </i>
    <i>
      <x v="66"/>
    </i>
    <i>
      <x v="59"/>
    </i>
    <i>
      <x v="48"/>
    </i>
    <i>
      <x v="41"/>
    </i>
    <i>
      <x v="51"/>
    </i>
    <i>
      <x v="50"/>
    </i>
    <i>
      <x v="17"/>
    </i>
    <i>
      <x v="54"/>
    </i>
    <i>
      <x v="47"/>
    </i>
    <i>
      <x v="11"/>
    </i>
    <i>
      <x v="43"/>
    </i>
    <i>
      <x v="19"/>
    </i>
    <i>
      <x v="10"/>
    </i>
    <i>
      <x v="12"/>
    </i>
    <i>
      <x v="13"/>
    </i>
    <i>
      <x v="14"/>
    </i>
    <i>
      <x v="16"/>
    </i>
    <i>
      <x v="18"/>
    </i>
    <i>
      <x v="22"/>
    </i>
    <i>
      <x v="24"/>
    </i>
    <i>
      <x v="25"/>
    </i>
    <i>
      <x v="26"/>
    </i>
    <i>
      <x v="28"/>
    </i>
    <i>
      <x v="30"/>
    </i>
    <i>
      <x v="31"/>
    </i>
    <i>
      <x v="32"/>
    </i>
    <i>
      <x v="34"/>
    </i>
    <i>
      <x v="36"/>
    </i>
    <i>
      <x v="37"/>
    </i>
    <i>
      <x v="38"/>
    </i>
    <i>
      <x v="40"/>
    </i>
    <i>
      <x v="42"/>
    </i>
    <i>
      <x v="44"/>
    </i>
    <i t="grand">
      <x/>
    </i>
  </rowItems>
  <colItems count="1">
    <i/>
  </colItems>
  <dataFields count="1">
    <dataField name="Suma z msc" fld="1" baseField="0" baseItem="0"/>
  </dataFields>
  <pivotTableStyleInfo name="PivotStyleLight16" showRowHeaders="1" showColHeaders="1" showRowStripes="0" showColStripes="0" showLastColumn="1"/>
</pivotTableDefinition>
</file>

<file path=xl/queryTables/queryTable1.xml><?xml version="1.0" encoding="utf-8"?>
<queryTable xmlns="http://schemas.openxmlformats.org/spreadsheetml/2006/main" name="merged_feval_synth_new2_test" connectionId="9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merged_feval_synth_old_test" connectionId="12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name="merged_feval_synth_old_train" connectionId="13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name="merged_feval_synth_old_val" connectionId="14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name="merged_feval_pilot_test" connectionId="5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name="merged_feval_rzeszow_test" connectionId="6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name="merged_feval_rzeszow_train" connectionId="7" autoFormatId="16" applyNumberFormats="0" applyBorderFormats="0" applyFontFormats="1" applyPatternFormats="1" applyAlignmentFormats="0" applyWidthHeightFormats="0"/>
</file>

<file path=xl/queryTables/queryTable8.xml><?xml version="1.0" encoding="utf-8"?>
<queryTable xmlns="http://schemas.openxmlformats.org/spreadsheetml/2006/main" name="merged_feval_rzeszow_val" connectionId="8" autoFormatId="16" applyNumberFormats="0" applyBorderFormats="0" applyFontFormats="1" applyPatternFormats="1" applyAlignmentFormats="0" applyWidthHeightFormats="0"/>
</file>

<file path=xl/queryTables/queryTable9.xml><?xml version="1.0" encoding="utf-8"?>
<queryTable xmlns="http://schemas.openxmlformats.org/spreadsheetml/2006/main" name="evaluation_results_fts" connectionId="1" autoFormatId="16" applyNumberFormats="0" applyBorderFormats="0" applyFontFormats="1" applyPatternFormats="1" applyAlignmentFormats="0" applyWidthHeightFormats="0"/>
</file>

<file path=xl/queryTables/queryTable10.xml><?xml version="1.0" encoding="utf-8"?>
<queryTable xmlns="http://schemas.openxmlformats.org/spreadsheetml/2006/main" name="evaluation_results_fts_lst" connectionId="2" autoFormatId="16" applyNumberFormats="0" applyBorderFormats="0" applyFontFormats="1" applyPatternFormats="1" applyAlignmentFormats="0" applyWidthHeightFormats="0"/>
</file>

<file path=xl/queryTables/queryTable11.xml><?xml version="1.0" encoding="utf-8"?>
<queryTable xmlns="http://schemas.openxmlformats.org/spreadsheetml/2006/main" name="merged_feval_synth_new2_val" connectionId="11" autoFormatId="16" applyNumberFormats="0" applyBorderFormats="0" applyFontFormats="1" applyPatternFormats="1" applyAlignmentFormats="0" applyWidthHeightFormats="0"/>
</file>

<file path=xl/queryTables/queryTable12.xml><?xml version="1.0" encoding="utf-8"?>
<queryTable xmlns="http://schemas.openxmlformats.org/spreadsheetml/2006/main" name="merged_feval_synth_new2_train" connectionId="10" autoFormatId="16" applyNumberFormats="0" applyBorderFormats="0" applyFontFormats="1" applyPatternFormats="1" applyAlignmentFormats="0" applyWidthHeightFormats="0"/>
</file>

<file path=xl/queryTables/queryTable13.xml><?xml version="1.0" encoding="utf-8"?>
<queryTable xmlns="http://schemas.openxmlformats.org/spreadsheetml/2006/main" name="evaluation_resultsft21SGD2.pt" connectionId="3" autoFormatId="16" applyNumberFormats="0" applyBorderFormats="0" applyFontFormats="1" applyPatternFormats="1" applyAlignmentFormats="0" applyWidthHeightFormats="0"/>
</file>

<file path=xl/queryTables/queryTable14.xml><?xml version="1.0" encoding="utf-8"?>
<queryTable xmlns="http://schemas.openxmlformats.org/spreadsheetml/2006/main" name="ft26_SGD_finloop.pt_feval" connectionId="4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9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14</v>
      </c>
      <c r="B2">
        <v>0.98699999999999999</v>
      </c>
      <c r="C2">
        <v>0.98</v>
      </c>
      <c r="D2">
        <v>0.60799999999999998</v>
      </c>
      <c r="E2">
        <v>0.996</v>
      </c>
      <c r="F2">
        <v>1</v>
      </c>
    </row>
    <row r="3" spans="1:6">
      <c r="A3" t="s">
        <v>5</v>
      </c>
      <c r="B3">
        <v>0.995</v>
      </c>
      <c r="C3">
        <v>0.995</v>
      </c>
      <c r="D3">
        <v>0.79900000000000004</v>
      </c>
      <c r="E3">
        <v>0.995</v>
      </c>
      <c r="F3">
        <v>2</v>
      </c>
    </row>
    <row r="4" spans="1:6">
      <c r="A4" t="s">
        <v>7</v>
      </c>
      <c r="B4">
        <v>0.995</v>
      </c>
      <c r="C4">
        <v>0.995</v>
      </c>
      <c r="D4">
        <v>0.76200000000000001</v>
      </c>
      <c r="E4">
        <v>0.995</v>
      </c>
      <c r="F4">
        <v>3</v>
      </c>
    </row>
    <row r="5" spans="1:6">
      <c r="A5" t="s">
        <v>9</v>
      </c>
      <c r="B5">
        <v>0.995</v>
      </c>
      <c r="C5">
        <v>0.995</v>
      </c>
      <c r="D5">
        <v>0.77400000000000002</v>
      </c>
      <c r="E5">
        <v>0.995</v>
      </c>
      <c r="F5">
        <v>4</v>
      </c>
    </row>
    <row r="6" spans="1:6">
      <c r="A6" t="s">
        <v>11</v>
      </c>
      <c r="B6">
        <v>0.995</v>
      </c>
      <c r="C6">
        <v>0.995</v>
      </c>
      <c r="D6">
        <v>0.78</v>
      </c>
      <c r="E6">
        <v>0.995</v>
      </c>
      <c r="F6">
        <v>5</v>
      </c>
    </row>
    <row r="7" spans="1:6">
      <c r="A7" t="s">
        <v>16</v>
      </c>
      <c r="B7">
        <v>0.995</v>
      </c>
      <c r="C7">
        <v>0.995</v>
      </c>
      <c r="D7">
        <v>0.79100000000000004</v>
      </c>
      <c r="E7">
        <v>0.995</v>
      </c>
      <c r="F7">
        <v>6</v>
      </c>
    </row>
    <row r="8" spans="1:6">
      <c r="A8" t="s">
        <v>20</v>
      </c>
      <c r="B8">
        <v>0.995</v>
      </c>
      <c r="C8">
        <v>0.995</v>
      </c>
      <c r="D8">
        <v>0.75</v>
      </c>
      <c r="E8">
        <v>0.995</v>
      </c>
      <c r="F8">
        <v>7</v>
      </c>
    </row>
    <row r="9" spans="1:6">
      <c r="A9" t="s">
        <v>92</v>
      </c>
      <c r="B9">
        <v>0.995</v>
      </c>
      <c r="C9">
        <v>0.995</v>
      </c>
      <c r="D9">
        <v>0.72799999999999998</v>
      </c>
      <c r="E9">
        <v>0.995</v>
      </c>
      <c r="F9">
        <v>8</v>
      </c>
    </row>
    <row r="10" spans="1:6">
      <c r="A10" t="s">
        <v>93</v>
      </c>
      <c r="B10">
        <v>0.995</v>
      </c>
      <c r="C10">
        <v>0.995</v>
      </c>
      <c r="D10">
        <v>0.73899999999999999</v>
      </c>
      <c r="E10">
        <v>0.995</v>
      </c>
      <c r="F10">
        <v>9</v>
      </c>
    </row>
    <row r="11" spans="1:6">
      <c r="A11" t="s">
        <v>22</v>
      </c>
      <c r="B11">
        <v>0.995</v>
      </c>
      <c r="C11">
        <v>0.995</v>
      </c>
      <c r="D11">
        <v>0.83399999999999996</v>
      </c>
      <c r="E11">
        <v>0.995</v>
      </c>
      <c r="F11">
        <v>10</v>
      </c>
    </row>
    <row r="12" spans="1:6">
      <c r="A12" t="s">
        <v>26</v>
      </c>
      <c r="B12">
        <v>0.995</v>
      </c>
      <c r="C12">
        <v>0.995</v>
      </c>
      <c r="D12">
        <v>0.72799999999999998</v>
      </c>
      <c r="E12">
        <v>0.995</v>
      </c>
      <c r="F12">
        <v>11</v>
      </c>
    </row>
    <row r="13" spans="1:6">
      <c r="A13" t="s">
        <v>28</v>
      </c>
      <c r="B13">
        <v>0.995</v>
      </c>
      <c r="C13">
        <v>0.995</v>
      </c>
      <c r="D13">
        <v>0.80900000000000005</v>
      </c>
      <c r="E13">
        <v>0.995</v>
      </c>
      <c r="F13">
        <v>12</v>
      </c>
    </row>
    <row r="14" spans="1:6">
      <c r="A14" t="s">
        <v>32</v>
      </c>
      <c r="B14">
        <v>0.995</v>
      </c>
      <c r="C14">
        <v>0.995</v>
      </c>
      <c r="D14">
        <v>0.72199999999999998</v>
      </c>
      <c r="E14">
        <v>0.995</v>
      </c>
      <c r="F14">
        <v>13</v>
      </c>
    </row>
    <row r="15" spans="1:6">
      <c r="A15" t="s">
        <v>38</v>
      </c>
      <c r="B15">
        <v>0.995</v>
      </c>
      <c r="C15">
        <v>0.995</v>
      </c>
      <c r="D15">
        <v>0.70599999999999996</v>
      </c>
      <c r="E15">
        <v>0.995</v>
      </c>
      <c r="F15">
        <v>14</v>
      </c>
    </row>
    <row r="16" spans="1:6">
      <c r="A16" t="s">
        <v>40</v>
      </c>
      <c r="B16">
        <v>0.995</v>
      </c>
      <c r="C16">
        <v>0.995</v>
      </c>
      <c r="D16">
        <v>0.79300000000000004</v>
      </c>
      <c r="E16">
        <v>0.995</v>
      </c>
      <c r="F16">
        <v>15</v>
      </c>
    </row>
    <row r="17" spans="1:6">
      <c r="A17" t="s">
        <v>44</v>
      </c>
      <c r="B17">
        <v>0.995</v>
      </c>
      <c r="C17">
        <v>0.995</v>
      </c>
      <c r="D17">
        <v>0.59399999999999997</v>
      </c>
      <c r="E17">
        <v>0.995</v>
      </c>
      <c r="F17">
        <v>16</v>
      </c>
    </row>
    <row r="18" spans="1:6">
      <c r="A18" t="s">
        <v>46</v>
      </c>
      <c r="B18">
        <v>0.995</v>
      </c>
      <c r="C18">
        <v>0.995</v>
      </c>
      <c r="D18">
        <v>0.74399999999999999</v>
      </c>
      <c r="E18">
        <v>0.995</v>
      </c>
      <c r="F18">
        <v>17</v>
      </c>
    </row>
    <row r="19" spans="1:6">
      <c r="A19" t="s">
        <v>50</v>
      </c>
      <c r="B19">
        <v>0.995</v>
      </c>
      <c r="C19">
        <v>0.995</v>
      </c>
      <c r="D19">
        <v>0.61299999999999999</v>
      </c>
      <c r="E19">
        <v>0.995</v>
      </c>
      <c r="F19">
        <v>18</v>
      </c>
    </row>
    <row r="20" spans="1:6">
      <c r="A20" t="s">
        <v>94</v>
      </c>
      <c r="B20">
        <v>0.995</v>
      </c>
      <c r="C20">
        <v>0.995</v>
      </c>
      <c r="D20">
        <v>0.82199999999999995</v>
      </c>
      <c r="E20">
        <v>0.995</v>
      </c>
      <c r="F20">
        <v>19</v>
      </c>
    </row>
    <row r="21" spans="1:6">
      <c r="A21" t="s">
        <v>96</v>
      </c>
      <c r="B21">
        <v>0.995</v>
      </c>
      <c r="C21">
        <v>0.995</v>
      </c>
      <c r="D21">
        <v>0.74299999999999999</v>
      </c>
      <c r="E21">
        <v>0.995</v>
      </c>
      <c r="F21">
        <v>20</v>
      </c>
    </row>
    <row r="22" spans="1:6">
      <c r="A22" t="s">
        <v>100</v>
      </c>
      <c r="B22">
        <v>0.995</v>
      </c>
      <c r="C22">
        <v>0.995</v>
      </c>
      <c r="D22">
        <v>0.71299999999999997</v>
      </c>
      <c r="E22">
        <v>0.995</v>
      </c>
      <c r="F22">
        <v>21</v>
      </c>
    </row>
    <row r="23" spans="1:6">
      <c r="A23" t="s">
        <v>102</v>
      </c>
      <c r="B23">
        <v>0.995</v>
      </c>
      <c r="C23">
        <v>0.995</v>
      </c>
      <c r="D23">
        <v>0.81200000000000006</v>
      </c>
      <c r="E23">
        <v>0.995</v>
      </c>
      <c r="F23">
        <v>22</v>
      </c>
    </row>
    <row r="24" spans="1:6">
      <c r="A24" t="s">
        <v>104</v>
      </c>
      <c r="B24">
        <v>0.995</v>
      </c>
      <c r="C24">
        <v>0.995</v>
      </c>
      <c r="D24">
        <v>0.72899999999999998</v>
      </c>
      <c r="E24">
        <v>0.995</v>
      </c>
      <c r="F24">
        <v>23</v>
      </c>
    </row>
    <row r="25" spans="1:6">
      <c r="A25" t="s">
        <v>51</v>
      </c>
      <c r="B25">
        <v>0.995</v>
      </c>
      <c r="C25">
        <v>0.995</v>
      </c>
      <c r="D25">
        <v>0.78800000000000003</v>
      </c>
      <c r="E25">
        <v>0.995</v>
      </c>
      <c r="F25">
        <v>24</v>
      </c>
    </row>
    <row r="26" spans="1:6">
      <c r="A26" t="s">
        <v>53</v>
      </c>
      <c r="B26">
        <v>0.995</v>
      </c>
      <c r="C26">
        <v>0.995</v>
      </c>
      <c r="D26">
        <v>0.71599999999999997</v>
      </c>
      <c r="E26">
        <v>0.995</v>
      </c>
      <c r="F26">
        <v>25</v>
      </c>
    </row>
    <row r="27" spans="1:6">
      <c r="A27" t="s">
        <v>54</v>
      </c>
      <c r="B27">
        <v>0.995</v>
      </c>
      <c r="C27">
        <v>0.995</v>
      </c>
      <c r="D27">
        <v>0.77</v>
      </c>
      <c r="E27">
        <v>0.995</v>
      </c>
      <c r="F27">
        <v>26</v>
      </c>
    </row>
    <row r="28" spans="1:6">
      <c r="A28" t="s">
        <v>57</v>
      </c>
      <c r="B28">
        <v>0.995</v>
      </c>
      <c r="C28">
        <v>0.995</v>
      </c>
      <c r="D28">
        <v>0.749</v>
      </c>
      <c r="E28">
        <v>0.995</v>
      </c>
      <c r="F28">
        <v>27</v>
      </c>
    </row>
    <row r="29" spans="1:6">
      <c r="A29" t="s">
        <v>8</v>
      </c>
      <c r="B29">
        <v>0.97699999999999998</v>
      </c>
      <c r="C29">
        <v>0.95899999999999996</v>
      </c>
      <c r="D29">
        <v>0.56699999999999995</v>
      </c>
      <c r="E29">
        <v>0.99399999999999999</v>
      </c>
      <c r="F29">
        <v>28</v>
      </c>
    </row>
    <row r="30" spans="1:6">
      <c r="A30" t="s">
        <v>59</v>
      </c>
      <c r="B30">
        <v>0.98499999999999999</v>
      </c>
      <c r="C30">
        <v>0.97699999999999998</v>
      </c>
      <c r="D30">
        <v>0.54800000000000004</v>
      </c>
      <c r="E30">
        <v>0.99399999999999999</v>
      </c>
      <c r="F30">
        <v>29</v>
      </c>
    </row>
    <row r="31" spans="1:6">
      <c r="A31" t="s">
        <v>13</v>
      </c>
      <c r="B31">
        <v>0.99199999999999999</v>
      </c>
      <c r="C31">
        <v>0.995</v>
      </c>
      <c r="D31">
        <v>0.76100000000000001</v>
      </c>
      <c r="E31">
        <v>0.99199999999999999</v>
      </c>
      <c r="F31">
        <v>30</v>
      </c>
    </row>
    <row r="32" spans="1:6">
      <c r="A32" t="s">
        <v>6</v>
      </c>
      <c r="B32">
        <v>0.99099999999999999</v>
      </c>
      <c r="C32">
        <v>0.995</v>
      </c>
      <c r="D32">
        <v>0.65600000000000003</v>
      </c>
      <c r="E32">
        <v>0.99099999999999999</v>
      </c>
      <c r="F32">
        <v>31</v>
      </c>
    </row>
    <row r="33" spans="1:6">
      <c r="A33" t="s">
        <v>12</v>
      </c>
      <c r="B33">
        <v>0.99099999999999999</v>
      </c>
      <c r="C33">
        <v>0.99399999999999999</v>
      </c>
      <c r="D33">
        <v>0.56899999999999995</v>
      </c>
      <c r="E33">
        <v>0.99099999999999999</v>
      </c>
      <c r="F33">
        <v>32</v>
      </c>
    </row>
    <row r="34" spans="1:6">
      <c r="A34" t="s">
        <v>34</v>
      </c>
      <c r="B34">
        <v>0.99099999999999999</v>
      </c>
      <c r="C34">
        <v>0.995</v>
      </c>
      <c r="D34">
        <v>0.77300000000000002</v>
      </c>
      <c r="E34">
        <v>0.99099999999999999</v>
      </c>
      <c r="F34">
        <v>33</v>
      </c>
    </row>
    <row r="35" spans="1:6">
      <c r="A35" t="s">
        <v>98</v>
      </c>
      <c r="B35">
        <v>0.99099999999999999</v>
      </c>
      <c r="C35">
        <v>0.995</v>
      </c>
      <c r="D35">
        <v>0.84699999999999998</v>
      </c>
      <c r="E35">
        <v>0.99099999999999999</v>
      </c>
      <c r="F35">
        <v>34</v>
      </c>
    </row>
    <row r="36" spans="1:6">
      <c r="A36" t="s">
        <v>56</v>
      </c>
      <c r="B36">
        <v>0.99099999999999999</v>
      </c>
      <c r="C36">
        <v>0.995</v>
      </c>
      <c r="D36">
        <v>0.67700000000000005</v>
      </c>
      <c r="E36">
        <v>0.99099999999999999</v>
      </c>
      <c r="F36">
        <v>35</v>
      </c>
    </row>
    <row r="37" spans="1:6">
      <c r="A37" t="s">
        <v>95</v>
      </c>
      <c r="B37">
        <v>0.98599999999999999</v>
      </c>
      <c r="C37">
        <v>0.99299999999999999</v>
      </c>
      <c r="D37">
        <v>0.68899999999999995</v>
      </c>
      <c r="E37">
        <v>0.98599999999999999</v>
      </c>
      <c r="F37">
        <v>36</v>
      </c>
    </row>
    <row r="38" spans="1:6">
      <c r="A38" t="s">
        <v>99</v>
      </c>
      <c r="B38">
        <v>0.98599999999999999</v>
      </c>
      <c r="C38">
        <v>0.99299999999999999</v>
      </c>
      <c r="D38">
        <v>0.64400000000000002</v>
      </c>
      <c r="E38">
        <v>0.98599999999999999</v>
      </c>
      <c r="F38">
        <v>37</v>
      </c>
    </row>
    <row r="39" spans="1:6">
      <c r="A39" t="s">
        <v>52</v>
      </c>
      <c r="B39">
        <v>0.98599999999999999</v>
      </c>
      <c r="C39">
        <v>0.995</v>
      </c>
      <c r="D39">
        <v>0.76300000000000001</v>
      </c>
      <c r="E39">
        <v>0.98599999999999999</v>
      </c>
      <c r="F39">
        <v>38</v>
      </c>
    </row>
    <row r="40" spans="1:6">
      <c r="A40" t="s">
        <v>55</v>
      </c>
      <c r="B40">
        <v>0.98599999999999999</v>
      </c>
      <c r="C40">
        <v>0.995</v>
      </c>
      <c r="D40">
        <v>0.76300000000000001</v>
      </c>
      <c r="E40">
        <v>0.98599999999999999</v>
      </c>
      <c r="F40">
        <v>39</v>
      </c>
    </row>
    <row r="41" spans="1:6">
      <c r="A41" t="s">
        <v>58</v>
      </c>
      <c r="B41">
        <v>0.98599999999999999</v>
      </c>
      <c r="C41">
        <v>0.995</v>
      </c>
      <c r="D41">
        <v>0.76300000000000001</v>
      </c>
      <c r="E41">
        <v>0.98599999999999999</v>
      </c>
      <c r="F41">
        <v>40</v>
      </c>
    </row>
    <row r="42" spans="1:6">
      <c r="A42" t="s">
        <v>10</v>
      </c>
      <c r="B42">
        <v>0.98099999999999998</v>
      </c>
      <c r="C42">
        <v>0.99099999999999999</v>
      </c>
      <c r="D42">
        <v>0.58399999999999996</v>
      </c>
      <c r="E42">
        <v>0.98099999999999998</v>
      </c>
      <c r="F42">
        <v>41</v>
      </c>
    </row>
    <row r="43" spans="1:6">
      <c r="A43" t="s">
        <v>103</v>
      </c>
      <c r="B43">
        <v>0.99</v>
      </c>
      <c r="C43">
        <v>0.98599999999999999</v>
      </c>
      <c r="D43">
        <v>0.63200000000000001</v>
      </c>
      <c r="E43">
        <v>0.98099999999999998</v>
      </c>
      <c r="F43">
        <v>42</v>
      </c>
    </row>
    <row r="44" spans="1:6">
      <c r="A44" t="s">
        <v>97</v>
      </c>
      <c r="B44">
        <v>0.95699999999999996</v>
      </c>
      <c r="C44">
        <v>0.98199999999999998</v>
      </c>
      <c r="D44">
        <v>0.69099999999999995</v>
      </c>
      <c r="E44">
        <v>0.95</v>
      </c>
      <c r="F44">
        <v>43</v>
      </c>
    </row>
    <row r="45" spans="1:6">
      <c r="A45" t="s">
        <v>105</v>
      </c>
      <c r="B45">
        <v>0.95299999999999996</v>
      </c>
      <c r="C45">
        <v>0.98299999999999998</v>
      </c>
      <c r="D45">
        <v>0.66200000000000003</v>
      </c>
      <c r="E45">
        <v>0.94599999999999995</v>
      </c>
      <c r="F45">
        <v>44</v>
      </c>
    </row>
    <row r="46" spans="1:6">
      <c r="A46" t="s">
        <v>91</v>
      </c>
      <c r="B46">
        <v>0.95199999999999996</v>
      </c>
      <c r="C46">
        <v>0.98199999999999998</v>
      </c>
      <c r="D46">
        <v>0.65700000000000003</v>
      </c>
      <c r="E46">
        <v>0.94299999999999995</v>
      </c>
      <c r="F46">
        <v>45</v>
      </c>
    </row>
    <row r="47" spans="1:6">
      <c r="A47" t="s">
        <v>101</v>
      </c>
      <c r="B47">
        <v>0.95399999999999996</v>
      </c>
      <c r="C47">
        <v>0.97799999999999998</v>
      </c>
      <c r="D47">
        <v>0.629</v>
      </c>
      <c r="E47">
        <v>0.93600000000000005</v>
      </c>
      <c r="F47">
        <v>46</v>
      </c>
    </row>
    <row r="48" spans="1:6">
      <c r="A48" t="s">
        <v>48</v>
      </c>
      <c r="B48">
        <v>6.0000000000000001E-3</v>
      </c>
      <c r="C48">
        <v>0.94099999999999995</v>
      </c>
      <c r="D48">
        <v>0.51800000000000002</v>
      </c>
      <c r="E48">
        <v>7.0000000000000001E-3</v>
      </c>
      <c r="F48">
        <v>47</v>
      </c>
    </row>
    <row r="49" spans="1:6">
      <c r="A49" t="s">
        <v>24</v>
      </c>
      <c r="B49">
        <v>2E-3</v>
      </c>
      <c r="C49">
        <v>0.03</v>
      </c>
      <c r="D49">
        <v>8.9999999999999993E-3</v>
      </c>
      <c r="E49">
        <v>1E-3</v>
      </c>
      <c r="F49">
        <v>48</v>
      </c>
    </row>
    <row r="50" spans="1:6">
      <c r="A50" t="s">
        <v>15</v>
      </c>
      <c r="B50">
        <v>0.96799999999999997</v>
      </c>
      <c r="C50">
        <v>0.97199999999999998</v>
      </c>
      <c r="D50">
        <v>0.70799999999999996</v>
      </c>
      <c r="E50">
        <v>0</v>
      </c>
      <c r="F50">
        <v>49</v>
      </c>
    </row>
    <row r="51" spans="1:6">
      <c r="A51" t="s">
        <v>17</v>
      </c>
      <c r="B51">
        <v>0.86299999999999999</v>
      </c>
      <c r="C51">
        <v>0.89800000000000002</v>
      </c>
      <c r="D51">
        <v>0.48</v>
      </c>
      <c r="E51">
        <v>0</v>
      </c>
      <c r="F51">
        <v>50</v>
      </c>
    </row>
    <row r="52" spans="1:6">
      <c r="A52" t="s">
        <v>18</v>
      </c>
      <c r="B52">
        <v>0</v>
      </c>
      <c r="C52">
        <v>0</v>
      </c>
      <c r="D52">
        <v>0</v>
      </c>
      <c r="E52">
        <v>0</v>
      </c>
      <c r="F52">
        <v>51</v>
      </c>
    </row>
    <row r="53" spans="1:6">
      <c r="A53" t="s">
        <v>19</v>
      </c>
      <c r="B53">
        <v>0.95499999999999996</v>
      </c>
      <c r="C53">
        <v>0.95899999999999996</v>
      </c>
      <c r="D53">
        <v>0.60199999999999998</v>
      </c>
      <c r="E53">
        <v>0</v>
      </c>
      <c r="F53">
        <v>52</v>
      </c>
    </row>
    <row r="54" spans="1:6">
      <c r="A54" t="s">
        <v>21</v>
      </c>
      <c r="B54">
        <v>0.98399999999999999</v>
      </c>
      <c r="C54">
        <v>0.99199999999999999</v>
      </c>
      <c r="D54">
        <v>0.68100000000000005</v>
      </c>
      <c r="E54">
        <v>0</v>
      </c>
      <c r="F54">
        <v>53</v>
      </c>
    </row>
    <row r="55" spans="1:6">
      <c r="A55" t="s">
        <v>23</v>
      </c>
      <c r="B55">
        <v>0.90800000000000003</v>
      </c>
      <c r="C55">
        <v>0.92400000000000004</v>
      </c>
      <c r="D55">
        <v>0.50700000000000001</v>
      </c>
      <c r="E55">
        <v>0</v>
      </c>
      <c r="F55">
        <v>54</v>
      </c>
    </row>
    <row r="56" spans="1:6">
      <c r="A56" t="s">
        <v>25</v>
      </c>
      <c r="B56">
        <v>0.95699999999999996</v>
      </c>
      <c r="C56">
        <v>0.96399999999999997</v>
      </c>
      <c r="D56">
        <v>0.58599999999999997</v>
      </c>
      <c r="E56">
        <v>0</v>
      </c>
      <c r="F56">
        <v>55</v>
      </c>
    </row>
    <row r="57" spans="1:6">
      <c r="A57" t="s">
        <v>27</v>
      </c>
      <c r="B57">
        <v>0.96899999999999997</v>
      </c>
      <c r="C57">
        <v>0.97099999999999997</v>
      </c>
      <c r="D57">
        <v>0.65300000000000002</v>
      </c>
      <c r="E57">
        <v>0</v>
      </c>
      <c r="F57">
        <v>56</v>
      </c>
    </row>
    <row r="58" spans="1:6">
      <c r="A58" t="s">
        <v>29</v>
      </c>
      <c r="B58">
        <v>0.88700000000000001</v>
      </c>
      <c r="C58">
        <v>0.94</v>
      </c>
      <c r="D58">
        <v>0.47599999999999998</v>
      </c>
      <c r="E58">
        <v>0</v>
      </c>
      <c r="F58">
        <v>57</v>
      </c>
    </row>
    <row r="59" spans="1:6">
      <c r="A59" t="s">
        <v>30</v>
      </c>
      <c r="B59">
        <v>0</v>
      </c>
      <c r="C59">
        <v>0</v>
      </c>
      <c r="D59">
        <v>0</v>
      </c>
      <c r="E59">
        <v>0</v>
      </c>
      <c r="F59">
        <v>58</v>
      </c>
    </row>
    <row r="60" spans="1:6">
      <c r="A60" t="s">
        <v>31</v>
      </c>
      <c r="B60">
        <v>0.95</v>
      </c>
      <c r="C60">
        <v>0.95499999999999996</v>
      </c>
      <c r="D60">
        <v>0.59299999999999997</v>
      </c>
      <c r="E60">
        <v>0</v>
      </c>
      <c r="F60">
        <v>59</v>
      </c>
    </row>
    <row r="61" spans="1:6">
      <c r="A61" t="s">
        <v>33</v>
      </c>
      <c r="B61">
        <v>0.97699999999999998</v>
      </c>
      <c r="C61">
        <v>0.97899999999999998</v>
      </c>
      <c r="D61">
        <v>0.63500000000000001</v>
      </c>
      <c r="E61">
        <v>0</v>
      </c>
      <c r="F61">
        <v>60</v>
      </c>
    </row>
    <row r="62" spans="1:6">
      <c r="A62" t="s">
        <v>35</v>
      </c>
      <c r="B62">
        <v>0.873</v>
      </c>
      <c r="C62">
        <v>0.90600000000000003</v>
      </c>
      <c r="D62">
        <v>0.45</v>
      </c>
      <c r="E62">
        <v>0</v>
      </c>
      <c r="F62">
        <v>61</v>
      </c>
    </row>
    <row r="63" spans="1:6">
      <c r="A63" t="s">
        <v>36</v>
      </c>
      <c r="B63">
        <v>0</v>
      </c>
      <c r="C63">
        <v>0</v>
      </c>
      <c r="D63">
        <v>0</v>
      </c>
      <c r="E63">
        <v>0</v>
      </c>
      <c r="F63">
        <v>62</v>
      </c>
    </row>
    <row r="64" spans="1:6">
      <c r="A64" t="s">
        <v>37</v>
      </c>
      <c r="B64">
        <v>0.96899999999999997</v>
      </c>
      <c r="C64">
        <v>0.97099999999999997</v>
      </c>
      <c r="D64">
        <v>0.55000000000000004</v>
      </c>
      <c r="E64">
        <v>0</v>
      </c>
      <c r="F64">
        <v>63</v>
      </c>
    </row>
    <row r="65" spans="1:6">
      <c r="A65" t="s">
        <v>39</v>
      </c>
      <c r="B65">
        <v>0.45300000000000001</v>
      </c>
      <c r="C65">
        <v>0.41099999999999998</v>
      </c>
      <c r="D65">
        <v>0.16700000000000001</v>
      </c>
      <c r="E65">
        <v>0</v>
      </c>
      <c r="F65">
        <v>64</v>
      </c>
    </row>
    <row r="66" spans="1:6">
      <c r="A66" t="s">
        <v>41</v>
      </c>
      <c r="B66">
        <v>0.81599999999999995</v>
      </c>
      <c r="C66">
        <v>0.88700000000000001</v>
      </c>
      <c r="D66">
        <v>0.45300000000000001</v>
      </c>
      <c r="E66">
        <v>0</v>
      </c>
      <c r="F66">
        <v>65</v>
      </c>
    </row>
    <row r="67" spans="1:6">
      <c r="A67" s="4" t="s">
        <v>42</v>
      </c>
      <c r="B67">
        <v>0</v>
      </c>
      <c r="C67">
        <v>0</v>
      </c>
      <c r="D67">
        <v>0</v>
      </c>
      <c r="E67">
        <v>0</v>
      </c>
      <c r="F67">
        <v>66</v>
      </c>
    </row>
    <row r="68" spans="1:6">
      <c r="A68" t="s">
        <v>43</v>
      </c>
      <c r="B68">
        <v>0.72</v>
      </c>
      <c r="C68">
        <v>0.71</v>
      </c>
      <c r="D68">
        <v>0.307</v>
      </c>
      <c r="E68">
        <v>0</v>
      </c>
      <c r="F68">
        <v>67</v>
      </c>
    </row>
    <row r="69" spans="1:6">
      <c r="A69" t="s">
        <v>45</v>
      </c>
      <c r="B69">
        <v>0.51100000000000001</v>
      </c>
      <c r="C69">
        <v>0.46899999999999997</v>
      </c>
      <c r="D69">
        <v>0.19800000000000001</v>
      </c>
      <c r="E69">
        <v>0</v>
      </c>
      <c r="F69">
        <v>68</v>
      </c>
    </row>
    <row r="70" spans="1:6">
      <c r="A70" t="s">
        <v>47</v>
      </c>
      <c r="B70">
        <v>0.74299999999999999</v>
      </c>
      <c r="C70">
        <v>0.79100000000000004</v>
      </c>
      <c r="D70">
        <v>0.35699999999999998</v>
      </c>
      <c r="E70">
        <v>0</v>
      </c>
      <c r="F70">
        <v>69</v>
      </c>
    </row>
    <row r="71" spans="1:6">
      <c r="A71" t="s">
        <v>49</v>
      </c>
      <c r="B71">
        <v>0.68500000000000005</v>
      </c>
      <c r="C71">
        <v>0.64900000000000002</v>
      </c>
      <c r="D71">
        <v>0.26900000000000002</v>
      </c>
      <c r="E71">
        <v>0</v>
      </c>
      <c r="F71">
        <v>70</v>
      </c>
    </row>
  </sheetData>
  <autoFilter ref="A1:E71">
    <sortState ref="A2:E56">
      <sortCondition descending="1" ref="D2"/>
    </sortState>
  </autoFilter>
  <sortState ref="A2:F71">
    <sortCondition descending="1" ref="E4"/>
  </sortState>
  <conditionalFormatting sqref="E1:E1048576 F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96</v>
      </c>
      <c r="B2">
        <v>0.45500000000000002</v>
      </c>
      <c r="C2">
        <v>0.34</v>
      </c>
      <c r="D2">
        <v>0.17</v>
      </c>
      <c r="E2">
        <v>0.377</v>
      </c>
      <c r="F2">
        <v>1</v>
      </c>
    </row>
    <row r="3" spans="1:6">
      <c r="A3" t="s">
        <v>92</v>
      </c>
      <c r="B3">
        <v>0.45400000000000001</v>
      </c>
      <c r="C3">
        <v>0.379</v>
      </c>
      <c r="D3">
        <v>0.19</v>
      </c>
      <c r="E3">
        <v>0.33200000000000002</v>
      </c>
      <c r="F3">
        <v>2</v>
      </c>
    </row>
    <row r="4" spans="1:6">
      <c r="A4" t="s">
        <v>26</v>
      </c>
      <c r="B4">
        <v>0.45400000000000001</v>
      </c>
      <c r="C4">
        <v>0.379</v>
      </c>
      <c r="D4">
        <v>0.19</v>
      </c>
      <c r="E4">
        <v>0.33200000000000002</v>
      </c>
      <c r="F4">
        <v>3</v>
      </c>
    </row>
    <row r="5" spans="1:6">
      <c r="A5" t="s">
        <v>100</v>
      </c>
      <c r="B5">
        <v>0.42199999999999999</v>
      </c>
      <c r="C5">
        <v>0.318</v>
      </c>
      <c r="D5">
        <v>0.182</v>
      </c>
      <c r="E5">
        <v>0.3</v>
      </c>
      <c r="F5">
        <v>4</v>
      </c>
    </row>
    <row r="6" spans="1:6">
      <c r="A6" t="s">
        <v>104</v>
      </c>
      <c r="B6">
        <v>0.46700000000000003</v>
      </c>
      <c r="C6">
        <v>0.36699999999999999</v>
      </c>
      <c r="D6">
        <v>0.186</v>
      </c>
      <c r="E6">
        <v>0.29399999999999998</v>
      </c>
      <c r="F6">
        <v>5</v>
      </c>
    </row>
    <row r="7" spans="1:6">
      <c r="A7" t="s">
        <v>38</v>
      </c>
      <c r="B7">
        <v>0.39300000000000002</v>
      </c>
      <c r="C7">
        <v>0.311</v>
      </c>
      <c r="D7">
        <v>0.16</v>
      </c>
      <c r="E7">
        <v>0.28699999999999998</v>
      </c>
      <c r="F7">
        <v>6</v>
      </c>
    </row>
    <row r="8" spans="1:6">
      <c r="A8" t="s">
        <v>28</v>
      </c>
      <c r="B8">
        <v>0.33800000000000002</v>
      </c>
      <c r="C8">
        <v>0.26</v>
      </c>
      <c r="D8">
        <v>0.13500000000000001</v>
      </c>
      <c r="E8">
        <v>0.253</v>
      </c>
      <c r="F8">
        <v>7</v>
      </c>
    </row>
    <row r="9" spans="1:6">
      <c r="A9" t="s">
        <v>32</v>
      </c>
      <c r="B9">
        <v>0.32500000000000001</v>
      </c>
      <c r="C9">
        <v>0.22600000000000001</v>
      </c>
      <c r="D9">
        <v>0.105</v>
      </c>
      <c r="E9">
        <v>0.252</v>
      </c>
      <c r="F9">
        <v>8</v>
      </c>
    </row>
    <row r="10" spans="1:6">
      <c r="A10" t="s">
        <v>98</v>
      </c>
      <c r="B10">
        <v>0.32200000000000001</v>
      </c>
      <c r="C10">
        <v>0.23599999999999999</v>
      </c>
      <c r="D10">
        <v>0.129</v>
      </c>
      <c r="E10">
        <v>0.249</v>
      </c>
      <c r="F10">
        <v>9</v>
      </c>
    </row>
    <row r="11" spans="1:6">
      <c r="A11" t="s">
        <v>59</v>
      </c>
      <c r="B11">
        <v>0.36499999999999999</v>
      </c>
      <c r="C11">
        <v>0.34599999999999997</v>
      </c>
      <c r="D11">
        <v>0.17199999999999999</v>
      </c>
      <c r="E11">
        <v>0.24399999999999999</v>
      </c>
      <c r="F11">
        <v>10</v>
      </c>
    </row>
    <row r="12" spans="1:6">
      <c r="A12" t="s">
        <v>20</v>
      </c>
      <c r="B12">
        <v>0.317</v>
      </c>
      <c r="C12">
        <v>0.21199999999999999</v>
      </c>
      <c r="D12">
        <v>0.105</v>
      </c>
      <c r="E12">
        <v>0.24099999999999999</v>
      </c>
      <c r="F12">
        <v>11</v>
      </c>
    </row>
    <row r="13" spans="1:6">
      <c r="A13" t="s">
        <v>5</v>
      </c>
      <c r="B13">
        <v>0.439</v>
      </c>
      <c r="C13">
        <v>0.24</v>
      </c>
      <c r="D13">
        <v>0.11700000000000001</v>
      </c>
      <c r="E13">
        <v>0.23899999999999999</v>
      </c>
      <c r="F13">
        <v>12</v>
      </c>
    </row>
    <row r="14" spans="1:6">
      <c r="A14" t="s">
        <v>8</v>
      </c>
      <c r="B14">
        <v>0.39700000000000002</v>
      </c>
      <c r="C14">
        <v>0.33700000000000002</v>
      </c>
      <c r="D14">
        <v>0.16400000000000001</v>
      </c>
      <c r="E14">
        <v>0.23300000000000001</v>
      </c>
      <c r="F14">
        <v>13</v>
      </c>
    </row>
    <row r="15" spans="1:6">
      <c r="A15" t="s">
        <v>12</v>
      </c>
      <c r="B15">
        <v>0.35199999999999998</v>
      </c>
      <c r="C15">
        <v>0.31</v>
      </c>
      <c r="D15">
        <v>0.157</v>
      </c>
      <c r="E15">
        <v>0.23300000000000001</v>
      </c>
      <c r="F15">
        <v>14</v>
      </c>
    </row>
    <row r="16" spans="1:6">
      <c r="A16" t="s">
        <v>44</v>
      </c>
      <c r="B16">
        <v>0.36899999999999999</v>
      </c>
      <c r="C16">
        <v>0.32</v>
      </c>
      <c r="D16">
        <v>0.17699999999999999</v>
      </c>
      <c r="E16">
        <v>0.23200000000000001</v>
      </c>
      <c r="F16">
        <v>15</v>
      </c>
    </row>
    <row r="17" spans="1:6">
      <c r="A17" t="s">
        <v>10</v>
      </c>
      <c r="B17">
        <v>0.38600000000000001</v>
      </c>
      <c r="C17">
        <v>0.35899999999999999</v>
      </c>
      <c r="D17">
        <v>0.184</v>
      </c>
      <c r="E17">
        <v>0.224</v>
      </c>
      <c r="F17">
        <v>16</v>
      </c>
    </row>
    <row r="18" spans="1:6">
      <c r="A18" t="s">
        <v>13</v>
      </c>
      <c r="B18">
        <v>0.32700000000000001</v>
      </c>
      <c r="C18">
        <v>0.20100000000000001</v>
      </c>
      <c r="D18">
        <v>0.10299999999999999</v>
      </c>
      <c r="E18">
        <v>0.221</v>
      </c>
      <c r="F18">
        <v>17</v>
      </c>
    </row>
    <row r="19" spans="1:6">
      <c r="A19" t="s">
        <v>52</v>
      </c>
      <c r="B19">
        <v>0.312</v>
      </c>
      <c r="C19">
        <v>0.19600000000000001</v>
      </c>
      <c r="D19">
        <v>0.10199999999999999</v>
      </c>
      <c r="E19">
        <v>0.221</v>
      </c>
      <c r="F19">
        <v>18</v>
      </c>
    </row>
    <row r="20" spans="1:6">
      <c r="A20" t="s">
        <v>55</v>
      </c>
      <c r="B20">
        <v>0.312</v>
      </c>
      <c r="C20">
        <v>0.19600000000000001</v>
      </c>
      <c r="D20">
        <v>0.10199999999999999</v>
      </c>
      <c r="E20">
        <v>0.221</v>
      </c>
      <c r="F20">
        <v>19</v>
      </c>
    </row>
    <row r="21" spans="1:6">
      <c r="A21" t="s">
        <v>58</v>
      </c>
      <c r="B21">
        <v>0.312</v>
      </c>
      <c r="C21">
        <v>0.19600000000000001</v>
      </c>
      <c r="D21">
        <v>0.10199999999999999</v>
      </c>
      <c r="E21">
        <v>0.221</v>
      </c>
      <c r="F21">
        <v>20</v>
      </c>
    </row>
    <row r="22" spans="1:6">
      <c r="A22" t="s">
        <v>14</v>
      </c>
      <c r="B22">
        <v>0.377</v>
      </c>
      <c r="C22">
        <v>0.312</v>
      </c>
      <c r="D22">
        <v>0.153</v>
      </c>
      <c r="E22">
        <v>0.219</v>
      </c>
      <c r="F22">
        <v>21</v>
      </c>
    </row>
    <row r="23" spans="1:6">
      <c r="A23" t="s">
        <v>93</v>
      </c>
      <c r="B23">
        <v>0.318</v>
      </c>
      <c r="C23">
        <v>0.23499999999999999</v>
      </c>
      <c r="D23">
        <v>0.128</v>
      </c>
      <c r="E23">
        <v>0.218</v>
      </c>
      <c r="F23">
        <v>22</v>
      </c>
    </row>
    <row r="24" spans="1:6">
      <c r="A24" t="s">
        <v>102</v>
      </c>
      <c r="B24">
        <v>0.34399999999999997</v>
      </c>
      <c r="C24">
        <v>0.255</v>
      </c>
      <c r="D24">
        <v>0.13500000000000001</v>
      </c>
      <c r="E24">
        <v>0.20899999999999999</v>
      </c>
      <c r="F24">
        <v>23</v>
      </c>
    </row>
    <row r="25" spans="1:6">
      <c r="A25" t="s">
        <v>11</v>
      </c>
      <c r="B25">
        <v>0.29099999999999998</v>
      </c>
      <c r="C25">
        <v>0.22</v>
      </c>
      <c r="D25">
        <v>0.11</v>
      </c>
      <c r="E25">
        <v>0.20499999999999999</v>
      </c>
      <c r="F25">
        <v>24</v>
      </c>
    </row>
    <row r="26" spans="1:6">
      <c r="A26" t="s">
        <v>50</v>
      </c>
      <c r="B26">
        <v>0.34</v>
      </c>
      <c r="C26">
        <v>0.32200000000000001</v>
      </c>
      <c r="D26">
        <v>0.18099999999999999</v>
      </c>
      <c r="E26">
        <v>0.20200000000000001</v>
      </c>
      <c r="F26">
        <v>25</v>
      </c>
    </row>
    <row r="27" spans="1:6">
      <c r="A27" t="s">
        <v>54</v>
      </c>
      <c r="B27">
        <v>0.26600000000000001</v>
      </c>
      <c r="C27">
        <v>0.21</v>
      </c>
      <c r="D27">
        <v>0.104</v>
      </c>
      <c r="E27">
        <v>0.20100000000000001</v>
      </c>
      <c r="F27">
        <v>26</v>
      </c>
    </row>
    <row r="28" spans="1:6">
      <c r="A28" t="s">
        <v>22</v>
      </c>
      <c r="B28">
        <v>0.23699999999999999</v>
      </c>
      <c r="C28">
        <v>0.161</v>
      </c>
      <c r="D28">
        <v>8.3000000000000004E-2</v>
      </c>
      <c r="E28">
        <v>0.19800000000000001</v>
      </c>
      <c r="F28">
        <v>27</v>
      </c>
    </row>
    <row r="29" spans="1:6">
      <c r="A29" s="4" t="s">
        <v>34</v>
      </c>
      <c r="B29">
        <v>0.312</v>
      </c>
      <c r="C29">
        <v>0.23699999999999999</v>
      </c>
      <c r="D29">
        <v>0.11600000000000001</v>
      </c>
      <c r="E29">
        <v>0.19500000000000001</v>
      </c>
      <c r="F29">
        <v>28</v>
      </c>
    </row>
    <row r="30" spans="1:6">
      <c r="A30" t="s">
        <v>56</v>
      </c>
      <c r="B30">
        <v>0.33</v>
      </c>
      <c r="C30">
        <v>0.30099999999999999</v>
      </c>
      <c r="D30">
        <v>0.15</v>
      </c>
      <c r="E30">
        <v>0.19400000000000001</v>
      </c>
      <c r="F30">
        <v>29</v>
      </c>
    </row>
    <row r="31" spans="1:6">
      <c r="A31" t="s">
        <v>51</v>
      </c>
      <c r="B31">
        <v>0.252</v>
      </c>
      <c r="C31">
        <v>0.13300000000000001</v>
      </c>
      <c r="D31">
        <v>6.0999999999999999E-2</v>
      </c>
      <c r="E31">
        <v>0.192</v>
      </c>
      <c r="F31">
        <v>30</v>
      </c>
    </row>
    <row r="32" spans="1:6">
      <c r="A32" t="s">
        <v>60</v>
      </c>
      <c r="B32">
        <v>0.42199999999999999</v>
      </c>
      <c r="C32">
        <v>0.33800000000000002</v>
      </c>
      <c r="D32">
        <v>0.14099999999999999</v>
      </c>
      <c r="E32">
        <v>0.188</v>
      </c>
      <c r="F32">
        <v>31</v>
      </c>
    </row>
    <row r="33" spans="1:6">
      <c r="A33" t="s">
        <v>46</v>
      </c>
      <c r="B33">
        <v>0.26500000000000001</v>
      </c>
      <c r="C33">
        <v>0.14399999999999999</v>
      </c>
      <c r="D33">
        <v>8.5000000000000006E-2</v>
      </c>
      <c r="E33">
        <v>0.18099999999999999</v>
      </c>
      <c r="F33">
        <v>32</v>
      </c>
    </row>
    <row r="34" spans="1:6">
      <c r="A34" t="s">
        <v>40</v>
      </c>
      <c r="B34">
        <v>0.33800000000000002</v>
      </c>
      <c r="C34">
        <v>0.20499999999999999</v>
      </c>
      <c r="D34">
        <v>0.1</v>
      </c>
      <c r="E34">
        <v>0.17100000000000001</v>
      </c>
      <c r="F34">
        <v>33</v>
      </c>
    </row>
    <row r="35" spans="1:6">
      <c r="A35" t="s">
        <v>6</v>
      </c>
      <c r="B35">
        <v>0.29699999999999999</v>
      </c>
      <c r="C35">
        <v>0.23200000000000001</v>
      </c>
      <c r="D35">
        <v>0.11899999999999999</v>
      </c>
      <c r="E35">
        <v>0.16500000000000001</v>
      </c>
      <c r="F35">
        <v>34</v>
      </c>
    </row>
    <row r="36" spans="1:6">
      <c r="A36" t="s">
        <v>91</v>
      </c>
      <c r="B36">
        <v>0.247</v>
      </c>
      <c r="C36">
        <v>0.16600000000000001</v>
      </c>
      <c r="D36">
        <v>0.10199999999999999</v>
      </c>
      <c r="E36">
        <v>0.16500000000000001</v>
      </c>
      <c r="F36">
        <v>35</v>
      </c>
    </row>
    <row r="37" spans="1:6">
      <c r="A37" t="s">
        <v>94</v>
      </c>
      <c r="B37">
        <v>0.247</v>
      </c>
      <c r="C37">
        <v>0.13600000000000001</v>
      </c>
      <c r="D37">
        <v>6.7000000000000004E-2</v>
      </c>
      <c r="E37">
        <v>0.16500000000000001</v>
      </c>
      <c r="F37">
        <v>36</v>
      </c>
    </row>
    <row r="38" spans="1:6">
      <c r="A38" t="s">
        <v>97</v>
      </c>
      <c r="B38">
        <v>0.28199999999999997</v>
      </c>
      <c r="C38">
        <v>0.14699999999999999</v>
      </c>
      <c r="D38">
        <v>8.2000000000000003E-2</v>
      </c>
      <c r="E38">
        <v>0.16500000000000001</v>
      </c>
      <c r="F38">
        <v>37</v>
      </c>
    </row>
    <row r="39" spans="1:6">
      <c r="A39" t="s">
        <v>101</v>
      </c>
      <c r="B39">
        <v>0.217</v>
      </c>
      <c r="C39">
        <v>0.159</v>
      </c>
      <c r="D39">
        <v>9.6000000000000002E-2</v>
      </c>
      <c r="E39">
        <v>0.16500000000000001</v>
      </c>
      <c r="F39">
        <v>38</v>
      </c>
    </row>
    <row r="40" spans="1:6">
      <c r="A40" s="4" t="s">
        <v>16</v>
      </c>
      <c r="B40">
        <v>0.221</v>
      </c>
      <c r="C40">
        <v>0.14699999999999999</v>
      </c>
      <c r="D40">
        <v>7.4999999999999997E-2</v>
      </c>
      <c r="E40">
        <v>0.158</v>
      </c>
      <c r="F40">
        <v>39</v>
      </c>
    </row>
    <row r="41" spans="1:6">
      <c r="A41" t="s">
        <v>105</v>
      </c>
      <c r="B41">
        <v>0.24299999999999999</v>
      </c>
      <c r="C41">
        <v>0.14000000000000001</v>
      </c>
      <c r="D41">
        <v>8.5000000000000006E-2</v>
      </c>
      <c r="E41">
        <v>0.155</v>
      </c>
      <c r="F41">
        <v>40</v>
      </c>
    </row>
    <row r="42" spans="1:6">
      <c r="A42" t="s">
        <v>57</v>
      </c>
      <c r="B42">
        <v>0.27</v>
      </c>
      <c r="C42">
        <v>0.16700000000000001</v>
      </c>
      <c r="D42">
        <v>8.6999999999999994E-2</v>
      </c>
      <c r="E42">
        <v>0.154</v>
      </c>
      <c r="F42">
        <v>41</v>
      </c>
    </row>
    <row r="43" spans="1:6">
      <c r="A43" t="s">
        <v>9</v>
      </c>
      <c r="B43">
        <v>0.23100000000000001</v>
      </c>
      <c r="C43">
        <v>0.11</v>
      </c>
      <c r="D43">
        <v>5.8999999999999997E-2</v>
      </c>
      <c r="E43">
        <v>0.153</v>
      </c>
      <c r="F43">
        <v>42</v>
      </c>
    </row>
    <row r="44" spans="1:6">
      <c r="A44" t="s">
        <v>99</v>
      </c>
      <c r="B44">
        <v>0.29399999999999998</v>
      </c>
      <c r="C44">
        <v>0.189</v>
      </c>
      <c r="D44">
        <v>7.2999999999999995E-2</v>
      </c>
      <c r="E44">
        <v>0.14699999999999999</v>
      </c>
      <c r="F44">
        <v>43</v>
      </c>
    </row>
    <row r="45" spans="1:6">
      <c r="A45" t="s">
        <v>103</v>
      </c>
      <c r="B45">
        <v>0.22700000000000001</v>
      </c>
      <c r="C45">
        <v>0.13600000000000001</v>
      </c>
      <c r="D45">
        <v>6.4000000000000001E-2</v>
      </c>
      <c r="E45">
        <v>0.13700000000000001</v>
      </c>
      <c r="F45">
        <v>44</v>
      </c>
    </row>
    <row r="46" spans="1:6">
      <c r="A46" t="s">
        <v>53</v>
      </c>
      <c r="B46">
        <v>0.374</v>
      </c>
      <c r="C46">
        <v>0.24399999999999999</v>
      </c>
      <c r="D46">
        <v>9.7000000000000003E-2</v>
      </c>
      <c r="E46">
        <v>0.125</v>
      </c>
      <c r="F46">
        <v>45</v>
      </c>
    </row>
    <row r="47" spans="1:6">
      <c r="A47" t="s">
        <v>7</v>
      </c>
      <c r="B47">
        <v>0.161</v>
      </c>
      <c r="C47">
        <v>0.1</v>
      </c>
      <c r="D47">
        <v>5.8000000000000003E-2</v>
      </c>
      <c r="E47">
        <v>0.121</v>
      </c>
      <c r="F47">
        <v>46</v>
      </c>
    </row>
    <row r="48" spans="1:6">
      <c r="A48" t="s">
        <v>95</v>
      </c>
      <c r="B48">
        <v>0.19900000000000001</v>
      </c>
      <c r="C48">
        <v>0.16200000000000001</v>
      </c>
      <c r="D48">
        <v>6.4000000000000001E-2</v>
      </c>
      <c r="E48">
        <v>0.1</v>
      </c>
      <c r="F48">
        <v>47</v>
      </c>
    </row>
    <row r="49" spans="1:6">
      <c r="A49" t="s">
        <v>48</v>
      </c>
      <c r="B49">
        <v>8.0000000000000002E-3</v>
      </c>
      <c r="C49">
        <v>0.13500000000000001</v>
      </c>
      <c r="D49">
        <v>5.5E-2</v>
      </c>
      <c r="E49">
        <v>8.0000000000000002E-3</v>
      </c>
      <c r="F49">
        <v>48</v>
      </c>
    </row>
    <row r="50" spans="1:6">
      <c r="A50" t="s">
        <v>24</v>
      </c>
      <c r="B50">
        <v>5.0000000000000001E-3</v>
      </c>
      <c r="C50">
        <v>4.3999999999999997E-2</v>
      </c>
      <c r="D50">
        <v>2.3E-2</v>
      </c>
      <c r="E50">
        <v>4.0000000000000001E-3</v>
      </c>
      <c r="F50">
        <v>49</v>
      </c>
    </row>
    <row r="51" spans="1:6">
      <c r="A51" t="s">
        <v>15</v>
      </c>
      <c r="B51">
        <v>0.189</v>
      </c>
      <c r="C51">
        <v>0.13400000000000001</v>
      </c>
      <c r="D51">
        <v>6.9000000000000006E-2</v>
      </c>
      <c r="E51">
        <v>0</v>
      </c>
      <c r="F51">
        <v>50</v>
      </c>
    </row>
    <row r="52" spans="1:6">
      <c r="A52" t="s">
        <v>17</v>
      </c>
      <c r="B52">
        <v>0.13800000000000001</v>
      </c>
      <c r="C52">
        <v>5.6000000000000001E-2</v>
      </c>
      <c r="D52">
        <v>2.8000000000000001E-2</v>
      </c>
      <c r="E52">
        <v>0</v>
      </c>
      <c r="F52">
        <v>51</v>
      </c>
    </row>
    <row r="53" spans="1:6">
      <c r="A53" t="s">
        <v>18</v>
      </c>
      <c r="B53">
        <v>0</v>
      </c>
      <c r="C53">
        <v>0</v>
      </c>
      <c r="D53">
        <v>0</v>
      </c>
      <c r="E53">
        <v>0</v>
      </c>
      <c r="F53">
        <v>52</v>
      </c>
    </row>
    <row r="54" spans="1:6">
      <c r="A54" t="s">
        <v>19</v>
      </c>
      <c r="B54">
        <v>0.252</v>
      </c>
      <c r="C54">
        <v>0.20399999999999999</v>
      </c>
      <c r="D54">
        <v>9.4E-2</v>
      </c>
      <c r="E54">
        <v>0</v>
      </c>
      <c r="F54">
        <v>53</v>
      </c>
    </row>
    <row r="55" spans="1:6">
      <c r="A55" t="s">
        <v>21</v>
      </c>
      <c r="B55">
        <v>0.21199999999999999</v>
      </c>
      <c r="C55">
        <v>0.14199999999999999</v>
      </c>
      <c r="D55">
        <v>8.2000000000000003E-2</v>
      </c>
      <c r="E55">
        <v>0</v>
      </c>
      <c r="F55">
        <v>54</v>
      </c>
    </row>
    <row r="56" spans="1:6">
      <c r="A56" t="s">
        <v>23</v>
      </c>
      <c r="B56">
        <v>0.21199999999999999</v>
      </c>
      <c r="C56">
        <v>0.12</v>
      </c>
      <c r="D56">
        <v>5.0999999999999997E-2</v>
      </c>
      <c r="E56">
        <v>0</v>
      </c>
      <c r="F56">
        <v>55</v>
      </c>
    </row>
    <row r="57" spans="1:6">
      <c r="A57" t="s">
        <v>25</v>
      </c>
      <c r="B57">
        <v>0.27500000000000002</v>
      </c>
      <c r="C57">
        <v>0.19500000000000001</v>
      </c>
      <c r="D57">
        <v>9.2999999999999999E-2</v>
      </c>
      <c r="E57">
        <v>0</v>
      </c>
      <c r="F57">
        <v>56</v>
      </c>
    </row>
    <row r="58" spans="1:6">
      <c r="A58" t="s">
        <v>27</v>
      </c>
      <c r="B58">
        <v>0.22500000000000001</v>
      </c>
      <c r="C58">
        <v>0.16</v>
      </c>
      <c r="D58">
        <v>8.1000000000000003E-2</v>
      </c>
      <c r="E58">
        <v>0</v>
      </c>
      <c r="F58">
        <v>57</v>
      </c>
    </row>
    <row r="59" spans="1:6">
      <c r="A59" t="s">
        <v>29</v>
      </c>
      <c r="B59">
        <v>0.16800000000000001</v>
      </c>
      <c r="C59">
        <v>8.2000000000000003E-2</v>
      </c>
      <c r="D59">
        <v>3.5000000000000003E-2</v>
      </c>
      <c r="E59">
        <v>0</v>
      </c>
      <c r="F59">
        <v>58</v>
      </c>
    </row>
    <row r="60" spans="1:6">
      <c r="A60" t="s">
        <v>30</v>
      </c>
      <c r="B60">
        <v>0</v>
      </c>
      <c r="C60">
        <v>0</v>
      </c>
      <c r="D60">
        <v>0</v>
      </c>
      <c r="E60">
        <v>0</v>
      </c>
      <c r="F60">
        <v>59</v>
      </c>
    </row>
    <row r="61" spans="1:6">
      <c r="A61" t="s">
        <v>31</v>
      </c>
      <c r="B61">
        <v>0.253</v>
      </c>
      <c r="C61">
        <v>0.159</v>
      </c>
      <c r="D61">
        <v>7.2999999999999995E-2</v>
      </c>
      <c r="E61">
        <v>0</v>
      </c>
      <c r="F61">
        <v>60</v>
      </c>
    </row>
    <row r="62" spans="1:6">
      <c r="A62" t="s">
        <v>33</v>
      </c>
      <c r="B62">
        <v>0.26</v>
      </c>
      <c r="C62">
        <v>0.14499999999999999</v>
      </c>
      <c r="D62">
        <v>8.1000000000000003E-2</v>
      </c>
      <c r="E62">
        <v>0</v>
      </c>
      <c r="F62">
        <v>61</v>
      </c>
    </row>
    <row r="63" spans="1:6">
      <c r="A63" t="s">
        <v>35</v>
      </c>
      <c r="B63">
        <v>0.23799999999999999</v>
      </c>
      <c r="C63">
        <v>0.124</v>
      </c>
      <c r="D63">
        <v>4.5999999999999999E-2</v>
      </c>
      <c r="E63">
        <v>0</v>
      </c>
      <c r="F63">
        <v>62</v>
      </c>
    </row>
    <row r="64" spans="1:6">
      <c r="A64" t="s">
        <v>36</v>
      </c>
      <c r="B64">
        <v>0</v>
      </c>
      <c r="C64">
        <v>0</v>
      </c>
      <c r="D64">
        <v>0</v>
      </c>
      <c r="E64">
        <v>0</v>
      </c>
      <c r="F64">
        <v>63</v>
      </c>
    </row>
    <row r="65" spans="1:6">
      <c r="A65" t="s">
        <v>37</v>
      </c>
      <c r="B65">
        <v>0.27400000000000002</v>
      </c>
      <c r="C65">
        <v>0.19</v>
      </c>
      <c r="D65">
        <v>9.4E-2</v>
      </c>
      <c r="E65">
        <v>0</v>
      </c>
      <c r="F65">
        <v>64</v>
      </c>
    </row>
    <row r="66" spans="1:6">
      <c r="A66" t="s">
        <v>39</v>
      </c>
      <c r="B66">
        <v>0.3</v>
      </c>
      <c r="C66">
        <v>0.14699999999999999</v>
      </c>
      <c r="D66">
        <v>7.0000000000000007E-2</v>
      </c>
      <c r="E66">
        <v>0</v>
      </c>
      <c r="F66">
        <v>65</v>
      </c>
    </row>
    <row r="67" spans="1:6">
      <c r="A67" t="s">
        <v>41</v>
      </c>
      <c r="B67">
        <v>0.253</v>
      </c>
      <c r="C67">
        <v>0.187</v>
      </c>
      <c r="D67">
        <v>9.1999999999999998E-2</v>
      </c>
      <c r="E67">
        <v>0</v>
      </c>
      <c r="F67">
        <v>66</v>
      </c>
    </row>
    <row r="68" spans="1:6">
      <c r="A68" t="s">
        <v>42</v>
      </c>
      <c r="B68">
        <v>0</v>
      </c>
      <c r="C68">
        <v>0</v>
      </c>
      <c r="D68">
        <v>0</v>
      </c>
      <c r="E68">
        <v>0</v>
      </c>
      <c r="F68">
        <v>67</v>
      </c>
    </row>
    <row r="69" spans="1:6">
      <c r="A69" t="s">
        <v>43</v>
      </c>
      <c r="B69">
        <v>0.371</v>
      </c>
      <c r="C69">
        <v>0.255</v>
      </c>
      <c r="D69">
        <v>0.13400000000000001</v>
      </c>
      <c r="E69">
        <v>0</v>
      </c>
      <c r="F69">
        <v>68</v>
      </c>
    </row>
    <row r="70" spans="1:6">
      <c r="A70" t="s">
        <v>45</v>
      </c>
      <c r="B70">
        <v>0.307</v>
      </c>
      <c r="C70">
        <v>0.17100000000000001</v>
      </c>
      <c r="D70">
        <v>8.5000000000000006E-2</v>
      </c>
      <c r="E70">
        <v>0</v>
      </c>
      <c r="F70">
        <v>69</v>
      </c>
    </row>
    <row r="71" spans="1:6">
      <c r="A71" t="s">
        <v>47</v>
      </c>
      <c r="B71">
        <v>0.20100000000000001</v>
      </c>
      <c r="C71">
        <v>8.2000000000000003E-2</v>
      </c>
      <c r="D71">
        <v>2.7E-2</v>
      </c>
      <c r="E71">
        <v>0</v>
      </c>
      <c r="F71">
        <v>70</v>
      </c>
    </row>
    <row r="72" spans="1:6">
      <c r="A72" t="s">
        <v>49</v>
      </c>
      <c r="B72">
        <v>0.38300000000000001</v>
      </c>
      <c r="C72">
        <v>0.3</v>
      </c>
      <c r="D72">
        <v>0.159</v>
      </c>
      <c r="E72">
        <v>0</v>
      </c>
      <c r="F72">
        <v>71</v>
      </c>
    </row>
  </sheetData>
  <autoFilter ref="A1:E72">
    <sortState ref="A2:E57">
      <sortCondition descending="1" ref="D7"/>
    </sortState>
  </autoFilter>
  <sortState ref="A2:F72">
    <sortCondition descending="1" ref="E6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93</v>
      </c>
      <c r="B2">
        <v>0.40699999999999997</v>
      </c>
      <c r="C2">
        <v>0.29099999999999998</v>
      </c>
      <c r="D2">
        <v>0.14099999999999999</v>
      </c>
      <c r="E2">
        <v>0.33900000000000002</v>
      </c>
      <c r="F2">
        <v>1</v>
      </c>
    </row>
    <row r="3" spans="1:6">
      <c r="A3" t="s">
        <v>60</v>
      </c>
      <c r="B3">
        <v>0.374</v>
      </c>
      <c r="C3">
        <v>0.27500000000000002</v>
      </c>
      <c r="D3">
        <v>0.127</v>
      </c>
      <c r="E3">
        <v>0.313</v>
      </c>
      <c r="F3">
        <v>2</v>
      </c>
    </row>
    <row r="4" spans="1:6">
      <c r="A4" t="s">
        <v>100</v>
      </c>
      <c r="B4">
        <v>0.35499999999999998</v>
      </c>
      <c r="C4">
        <v>0.26100000000000001</v>
      </c>
      <c r="D4">
        <v>0.124</v>
      </c>
      <c r="E4">
        <v>0.29799999999999999</v>
      </c>
      <c r="F4">
        <v>3</v>
      </c>
    </row>
    <row r="5" spans="1:6">
      <c r="A5" t="s">
        <v>92</v>
      </c>
      <c r="B5">
        <v>0.34200000000000003</v>
      </c>
      <c r="C5">
        <v>0.27600000000000002</v>
      </c>
      <c r="D5">
        <v>0.13400000000000001</v>
      </c>
      <c r="E5">
        <v>0.29699999999999999</v>
      </c>
      <c r="F5">
        <v>4</v>
      </c>
    </row>
    <row r="6" spans="1:6">
      <c r="A6" t="s">
        <v>26</v>
      </c>
      <c r="B6">
        <v>0.34200000000000003</v>
      </c>
      <c r="C6">
        <v>0.27600000000000002</v>
      </c>
      <c r="D6">
        <v>0.13400000000000001</v>
      </c>
      <c r="E6">
        <v>0.29699999999999999</v>
      </c>
      <c r="F6">
        <v>5</v>
      </c>
    </row>
    <row r="7" spans="1:6">
      <c r="A7" t="s">
        <v>44</v>
      </c>
      <c r="B7">
        <v>0.35399999999999998</v>
      </c>
      <c r="C7">
        <v>0.28100000000000003</v>
      </c>
      <c r="D7">
        <v>0.13400000000000001</v>
      </c>
      <c r="E7">
        <v>0.29399999999999998</v>
      </c>
      <c r="F7">
        <v>6</v>
      </c>
    </row>
    <row r="8" spans="1:6">
      <c r="A8" s="4" t="s">
        <v>96</v>
      </c>
      <c r="B8">
        <v>0.34</v>
      </c>
      <c r="C8">
        <v>0.25600000000000001</v>
      </c>
      <c r="D8">
        <v>0.11899999999999999</v>
      </c>
      <c r="E8">
        <v>0.29399999999999998</v>
      </c>
      <c r="F8">
        <v>7</v>
      </c>
    </row>
    <row r="9" spans="1:6">
      <c r="A9" t="s">
        <v>10</v>
      </c>
      <c r="B9">
        <v>0.33900000000000002</v>
      </c>
      <c r="C9">
        <v>0.26400000000000001</v>
      </c>
      <c r="D9">
        <v>0.129</v>
      </c>
      <c r="E9">
        <v>0.29299999999999998</v>
      </c>
      <c r="F9">
        <v>8</v>
      </c>
    </row>
    <row r="10" spans="1:6">
      <c r="A10" t="s">
        <v>50</v>
      </c>
      <c r="B10">
        <v>0.35499999999999998</v>
      </c>
      <c r="C10">
        <v>0.27800000000000002</v>
      </c>
      <c r="D10">
        <v>0.13700000000000001</v>
      </c>
      <c r="E10">
        <v>0.29299999999999998</v>
      </c>
      <c r="F10">
        <v>9</v>
      </c>
    </row>
    <row r="11" spans="1:6">
      <c r="A11" t="s">
        <v>20</v>
      </c>
      <c r="B11">
        <v>0.308</v>
      </c>
      <c r="C11">
        <v>0.254</v>
      </c>
      <c r="D11">
        <v>0.115</v>
      </c>
      <c r="E11">
        <v>0.28899999999999998</v>
      </c>
      <c r="F11">
        <v>10</v>
      </c>
    </row>
    <row r="12" spans="1:6">
      <c r="A12" t="s">
        <v>38</v>
      </c>
      <c r="B12">
        <v>0.31900000000000001</v>
      </c>
      <c r="C12">
        <v>0.25700000000000001</v>
      </c>
      <c r="D12">
        <v>0.124</v>
      </c>
      <c r="E12">
        <v>0.28899999999999998</v>
      </c>
      <c r="F12">
        <v>11</v>
      </c>
    </row>
    <row r="13" spans="1:6">
      <c r="A13" t="s">
        <v>12</v>
      </c>
      <c r="B13">
        <v>0.33600000000000002</v>
      </c>
      <c r="C13">
        <v>0.25</v>
      </c>
      <c r="D13">
        <v>0.122</v>
      </c>
      <c r="E13">
        <v>0.28399999999999997</v>
      </c>
      <c r="F13">
        <v>12</v>
      </c>
    </row>
    <row r="14" spans="1:6">
      <c r="A14" t="s">
        <v>104</v>
      </c>
      <c r="B14">
        <v>0.32200000000000001</v>
      </c>
      <c r="C14">
        <v>0.24099999999999999</v>
      </c>
      <c r="D14">
        <v>0.111</v>
      </c>
      <c r="E14">
        <v>0.27800000000000002</v>
      </c>
      <c r="F14">
        <v>13</v>
      </c>
    </row>
    <row r="15" spans="1:6">
      <c r="A15" t="s">
        <v>56</v>
      </c>
      <c r="B15">
        <v>0.30399999999999999</v>
      </c>
      <c r="C15">
        <v>0.22500000000000001</v>
      </c>
      <c r="D15">
        <v>0.113</v>
      </c>
      <c r="E15">
        <v>0.27800000000000002</v>
      </c>
      <c r="F15">
        <v>14</v>
      </c>
    </row>
    <row r="16" spans="1:6">
      <c r="A16" t="s">
        <v>14</v>
      </c>
      <c r="B16">
        <v>0.32800000000000001</v>
      </c>
      <c r="C16">
        <v>0.215</v>
      </c>
      <c r="D16">
        <v>0.10299999999999999</v>
      </c>
      <c r="E16">
        <v>0.27600000000000002</v>
      </c>
      <c r="F16">
        <v>15</v>
      </c>
    </row>
    <row r="17" spans="1:6">
      <c r="A17" t="s">
        <v>53</v>
      </c>
      <c r="B17">
        <v>0.32400000000000001</v>
      </c>
      <c r="C17">
        <v>0.223</v>
      </c>
      <c r="D17">
        <v>0.107</v>
      </c>
      <c r="E17">
        <v>0.27400000000000002</v>
      </c>
      <c r="F17">
        <v>16</v>
      </c>
    </row>
    <row r="18" spans="1:6">
      <c r="A18" t="s">
        <v>13</v>
      </c>
      <c r="B18">
        <v>0.29599999999999999</v>
      </c>
      <c r="C18">
        <v>0.19600000000000001</v>
      </c>
      <c r="D18">
        <v>8.7999999999999995E-2</v>
      </c>
      <c r="E18">
        <v>0.26800000000000002</v>
      </c>
      <c r="F18">
        <v>17</v>
      </c>
    </row>
    <row r="19" spans="1:6">
      <c r="A19" t="s">
        <v>6</v>
      </c>
      <c r="B19">
        <v>0.307</v>
      </c>
      <c r="C19">
        <v>0.23300000000000001</v>
      </c>
      <c r="D19">
        <v>0.12</v>
      </c>
      <c r="E19">
        <v>0.26600000000000001</v>
      </c>
      <c r="F19">
        <v>18</v>
      </c>
    </row>
    <row r="20" spans="1:6">
      <c r="A20" t="s">
        <v>59</v>
      </c>
      <c r="B20">
        <v>0.316</v>
      </c>
      <c r="C20">
        <v>0.23400000000000001</v>
      </c>
      <c r="D20">
        <v>0.11600000000000001</v>
      </c>
      <c r="E20">
        <v>0.26200000000000001</v>
      </c>
      <c r="F20">
        <v>19</v>
      </c>
    </row>
    <row r="21" spans="1:6">
      <c r="A21" t="s">
        <v>8</v>
      </c>
      <c r="B21">
        <v>0.309</v>
      </c>
      <c r="C21">
        <v>0.22700000000000001</v>
      </c>
      <c r="D21">
        <v>0.114</v>
      </c>
      <c r="E21">
        <v>0.26</v>
      </c>
      <c r="F21">
        <v>20</v>
      </c>
    </row>
    <row r="22" spans="1:6">
      <c r="A22" t="s">
        <v>32</v>
      </c>
      <c r="B22">
        <v>0.27700000000000002</v>
      </c>
      <c r="C22">
        <v>0.20699999999999999</v>
      </c>
      <c r="D22">
        <v>0.10199999999999999</v>
      </c>
      <c r="E22">
        <v>0.255</v>
      </c>
      <c r="F22">
        <v>21</v>
      </c>
    </row>
    <row r="23" spans="1:6">
      <c r="A23" t="s">
        <v>34</v>
      </c>
      <c r="B23">
        <v>0.30199999999999999</v>
      </c>
      <c r="C23">
        <v>0.221</v>
      </c>
      <c r="D23">
        <v>9.0999999999999998E-2</v>
      </c>
      <c r="E23">
        <v>0.24399999999999999</v>
      </c>
      <c r="F23">
        <v>22</v>
      </c>
    </row>
    <row r="24" spans="1:6">
      <c r="A24" t="s">
        <v>95</v>
      </c>
      <c r="B24">
        <v>0.28999999999999998</v>
      </c>
      <c r="C24">
        <v>0.20399999999999999</v>
      </c>
      <c r="D24">
        <v>8.7999999999999995E-2</v>
      </c>
      <c r="E24">
        <v>0.24399999999999999</v>
      </c>
      <c r="F24">
        <v>23</v>
      </c>
    </row>
    <row r="25" spans="1:6">
      <c r="A25" t="s">
        <v>9</v>
      </c>
      <c r="B25">
        <v>0.29099999999999998</v>
      </c>
      <c r="C25">
        <v>0.22900000000000001</v>
      </c>
      <c r="D25">
        <v>0.1</v>
      </c>
      <c r="E25">
        <v>0.23599999999999999</v>
      </c>
      <c r="F25">
        <v>24</v>
      </c>
    </row>
    <row r="26" spans="1:6">
      <c r="A26" t="s">
        <v>94</v>
      </c>
      <c r="B26">
        <v>0.28799999999999998</v>
      </c>
      <c r="C26">
        <v>0.19400000000000001</v>
      </c>
      <c r="D26">
        <v>8.5999999999999993E-2</v>
      </c>
      <c r="E26">
        <v>0.23400000000000001</v>
      </c>
      <c r="F26">
        <v>25</v>
      </c>
    </row>
    <row r="27" spans="1:6">
      <c r="A27" t="s">
        <v>57</v>
      </c>
      <c r="B27">
        <v>0.27600000000000002</v>
      </c>
      <c r="C27">
        <v>0.186</v>
      </c>
      <c r="D27">
        <v>8.4000000000000005E-2</v>
      </c>
      <c r="E27">
        <v>0.23100000000000001</v>
      </c>
      <c r="F27">
        <v>26</v>
      </c>
    </row>
    <row r="28" spans="1:6">
      <c r="A28" t="s">
        <v>105</v>
      </c>
      <c r="B28">
        <v>0.22800000000000001</v>
      </c>
      <c r="C28">
        <v>0.17599999999999999</v>
      </c>
      <c r="D28">
        <v>7.6999999999999999E-2</v>
      </c>
      <c r="E28">
        <v>0.22500000000000001</v>
      </c>
      <c r="F28">
        <v>27</v>
      </c>
    </row>
    <row r="29" spans="1:6">
      <c r="A29" t="s">
        <v>46</v>
      </c>
      <c r="B29">
        <v>0.28000000000000003</v>
      </c>
      <c r="C29">
        <v>0.2</v>
      </c>
      <c r="D29">
        <v>8.7999999999999995E-2</v>
      </c>
      <c r="E29">
        <v>0.223</v>
      </c>
      <c r="F29">
        <v>28</v>
      </c>
    </row>
    <row r="30" spans="1:6">
      <c r="A30" t="s">
        <v>97</v>
      </c>
      <c r="B30">
        <v>0.247</v>
      </c>
      <c r="C30">
        <v>0.17599999999999999</v>
      </c>
      <c r="D30">
        <v>7.8E-2</v>
      </c>
      <c r="E30">
        <v>0.222</v>
      </c>
      <c r="F30">
        <v>29</v>
      </c>
    </row>
    <row r="31" spans="1:6">
      <c r="A31" t="s">
        <v>103</v>
      </c>
      <c r="B31">
        <v>0.26900000000000002</v>
      </c>
      <c r="C31">
        <v>0.17899999999999999</v>
      </c>
      <c r="D31">
        <v>7.5999999999999998E-2</v>
      </c>
      <c r="E31">
        <v>0.22</v>
      </c>
      <c r="F31">
        <v>30</v>
      </c>
    </row>
    <row r="32" spans="1:6">
      <c r="A32" t="s">
        <v>11</v>
      </c>
      <c r="B32">
        <v>0.27</v>
      </c>
      <c r="C32">
        <v>0.2</v>
      </c>
      <c r="D32">
        <v>9.4E-2</v>
      </c>
      <c r="E32">
        <v>0.219</v>
      </c>
      <c r="F32">
        <v>31</v>
      </c>
    </row>
    <row r="33" spans="1:6">
      <c r="A33" t="s">
        <v>101</v>
      </c>
      <c r="B33">
        <v>0.24</v>
      </c>
      <c r="C33">
        <v>0.17299999999999999</v>
      </c>
      <c r="D33">
        <v>7.3999999999999996E-2</v>
      </c>
      <c r="E33">
        <v>0.216</v>
      </c>
      <c r="F33">
        <v>32</v>
      </c>
    </row>
    <row r="34" spans="1:6">
      <c r="A34" t="s">
        <v>28</v>
      </c>
      <c r="B34">
        <v>0.311</v>
      </c>
      <c r="C34">
        <v>0.24</v>
      </c>
      <c r="D34">
        <v>0.107</v>
      </c>
      <c r="E34">
        <v>0.214</v>
      </c>
      <c r="F34">
        <v>33</v>
      </c>
    </row>
    <row r="35" spans="1:6">
      <c r="A35" t="s">
        <v>99</v>
      </c>
      <c r="B35">
        <v>0.25800000000000001</v>
      </c>
      <c r="C35">
        <v>0.16600000000000001</v>
      </c>
      <c r="D35">
        <v>6.6000000000000003E-2</v>
      </c>
      <c r="E35">
        <v>0.21199999999999999</v>
      </c>
      <c r="F35">
        <v>34</v>
      </c>
    </row>
    <row r="36" spans="1:6">
      <c r="A36" t="s">
        <v>91</v>
      </c>
      <c r="B36">
        <v>0.23200000000000001</v>
      </c>
      <c r="C36">
        <v>0.16800000000000001</v>
      </c>
      <c r="D36">
        <v>7.3999999999999996E-2</v>
      </c>
      <c r="E36">
        <v>0.21099999999999999</v>
      </c>
      <c r="F36">
        <v>35</v>
      </c>
    </row>
    <row r="37" spans="1:6">
      <c r="A37" t="s">
        <v>7</v>
      </c>
      <c r="B37">
        <v>0.23400000000000001</v>
      </c>
      <c r="C37">
        <v>0.14299999999999999</v>
      </c>
      <c r="D37">
        <v>6.6000000000000003E-2</v>
      </c>
      <c r="E37">
        <v>0.20499999999999999</v>
      </c>
      <c r="F37">
        <v>36</v>
      </c>
    </row>
    <row r="38" spans="1:6">
      <c r="A38" t="s">
        <v>98</v>
      </c>
      <c r="B38">
        <v>0.23699999999999999</v>
      </c>
      <c r="C38">
        <v>0.16400000000000001</v>
      </c>
      <c r="D38">
        <v>7.3999999999999996E-2</v>
      </c>
      <c r="E38">
        <v>0.19700000000000001</v>
      </c>
      <c r="F38">
        <v>37</v>
      </c>
    </row>
    <row r="39" spans="1:6">
      <c r="A39" t="s">
        <v>102</v>
      </c>
      <c r="B39">
        <v>0.22</v>
      </c>
      <c r="C39">
        <v>0.14699999999999999</v>
      </c>
      <c r="D39">
        <v>6.8000000000000005E-2</v>
      </c>
      <c r="E39">
        <v>0.19700000000000001</v>
      </c>
      <c r="F39">
        <v>38</v>
      </c>
    </row>
    <row r="40" spans="1:6">
      <c r="A40" t="s">
        <v>22</v>
      </c>
      <c r="B40">
        <v>0.245</v>
      </c>
      <c r="C40">
        <v>0.16</v>
      </c>
      <c r="D40">
        <v>7.5999999999999998E-2</v>
      </c>
      <c r="E40">
        <v>0.192</v>
      </c>
      <c r="F40">
        <v>39</v>
      </c>
    </row>
    <row r="41" spans="1:6">
      <c r="A41" t="s">
        <v>5</v>
      </c>
      <c r="B41">
        <v>0.20899999999999999</v>
      </c>
      <c r="C41">
        <v>0.13200000000000001</v>
      </c>
      <c r="D41">
        <v>5.6000000000000001E-2</v>
      </c>
      <c r="E41">
        <v>0.184</v>
      </c>
      <c r="F41">
        <v>40</v>
      </c>
    </row>
    <row r="42" spans="1:6">
      <c r="A42" t="s">
        <v>52</v>
      </c>
      <c r="B42">
        <v>0.19800000000000001</v>
      </c>
      <c r="C42">
        <v>0.122</v>
      </c>
      <c r="D42">
        <v>5.2999999999999999E-2</v>
      </c>
      <c r="E42">
        <v>0.17899999999999999</v>
      </c>
      <c r="F42">
        <v>41</v>
      </c>
    </row>
    <row r="43" spans="1:6">
      <c r="A43" t="s">
        <v>55</v>
      </c>
      <c r="B43">
        <v>0.19800000000000001</v>
      </c>
      <c r="C43">
        <v>0.122</v>
      </c>
      <c r="D43">
        <v>5.2999999999999999E-2</v>
      </c>
      <c r="E43">
        <v>0.17899999999999999</v>
      </c>
      <c r="F43">
        <v>42</v>
      </c>
    </row>
    <row r="44" spans="1:6">
      <c r="A44" t="s">
        <v>58</v>
      </c>
      <c r="B44">
        <v>0.19800000000000001</v>
      </c>
      <c r="C44">
        <v>0.122</v>
      </c>
      <c r="D44">
        <v>5.2999999999999999E-2</v>
      </c>
      <c r="E44">
        <v>0.17899999999999999</v>
      </c>
      <c r="F44">
        <v>43</v>
      </c>
    </row>
    <row r="45" spans="1:6">
      <c r="A45" s="4" t="s">
        <v>54</v>
      </c>
      <c r="B45">
        <v>0.21</v>
      </c>
      <c r="C45">
        <v>0.14000000000000001</v>
      </c>
      <c r="D45">
        <v>5.7000000000000002E-2</v>
      </c>
      <c r="E45">
        <v>0.17699999999999999</v>
      </c>
      <c r="F45">
        <v>44</v>
      </c>
    </row>
    <row r="46" spans="1:6">
      <c r="A46" t="s">
        <v>16</v>
      </c>
      <c r="B46">
        <v>0.24299999999999999</v>
      </c>
      <c r="C46">
        <v>0.155</v>
      </c>
      <c r="D46">
        <v>6.8000000000000005E-2</v>
      </c>
      <c r="E46">
        <v>0.17399999999999999</v>
      </c>
      <c r="F46">
        <v>45</v>
      </c>
    </row>
    <row r="47" spans="1:6">
      <c r="A47" t="s">
        <v>40</v>
      </c>
      <c r="B47">
        <v>0.19</v>
      </c>
      <c r="C47">
        <v>0.13500000000000001</v>
      </c>
      <c r="D47">
        <v>0.06</v>
      </c>
      <c r="E47">
        <v>0.16200000000000001</v>
      </c>
      <c r="F47">
        <v>46</v>
      </c>
    </row>
    <row r="48" spans="1:6">
      <c r="A48" t="s">
        <v>51</v>
      </c>
      <c r="B48">
        <v>0.112</v>
      </c>
      <c r="C48">
        <v>5.8999999999999997E-2</v>
      </c>
      <c r="D48">
        <v>3.1E-2</v>
      </c>
      <c r="E48">
        <v>8.7999999999999995E-2</v>
      </c>
      <c r="F48">
        <v>47</v>
      </c>
    </row>
    <row r="49" spans="1:6">
      <c r="A49" t="s">
        <v>48</v>
      </c>
      <c r="B49">
        <v>1.0999999999999999E-2</v>
      </c>
      <c r="C49">
        <v>0.10199999999999999</v>
      </c>
      <c r="D49">
        <v>3.5000000000000003E-2</v>
      </c>
      <c r="E49">
        <v>0.01</v>
      </c>
      <c r="F49">
        <v>48</v>
      </c>
    </row>
    <row r="50" spans="1:6">
      <c r="A50" t="s">
        <v>24</v>
      </c>
      <c r="B50">
        <v>5.0000000000000001E-3</v>
      </c>
      <c r="C50">
        <v>8.9999999999999993E-3</v>
      </c>
      <c r="D50">
        <v>3.0000000000000001E-3</v>
      </c>
      <c r="E50">
        <v>5.0000000000000001E-3</v>
      </c>
      <c r="F50">
        <v>49</v>
      </c>
    </row>
    <row r="51" spans="1:6">
      <c r="A51" t="s">
        <v>15</v>
      </c>
      <c r="B51">
        <v>0.373</v>
      </c>
      <c r="C51">
        <v>0.29399999999999998</v>
      </c>
      <c r="D51">
        <v>0.126</v>
      </c>
      <c r="E51">
        <v>0</v>
      </c>
      <c r="F51">
        <v>50</v>
      </c>
    </row>
    <row r="52" spans="1:6">
      <c r="A52" t="s">
        <v>17</v>
      </c>
      <c r="B52">
        <v>0.314</v>
      </c>
      <c r="C52">
        <v>0.20100000000000001</v>
      </c>
      <c r="D52">
        <v>6.8000000000000005E-2</v>
      </c>
      <c r="E52">
        <v>0</v>
      </c>
      <c r="F52">
        <v>51</v>
      </c>
    </row>
    <row r="53" spans="1:6">
      <c r="A53" t="s">
        <v>18</v>
      </c>
      <c r="B53">
        <v>0</v>
      </c>
      <c r="C53">
        <v>0</v>
      </c>
      <c r="D53">
        <v>0</v>
      </c>
      <c r="E53">
        <v>0</v>
      </c>
      <c r="F53">
        <v>52</v>
      </c>
    </row>
    <row r="54" spans="1:6">
      <c r="A54" t="s">
        <v>19</v>
      </c>
      <c r="B54">
        <v>0.42899999999999999</v>
      </c>
      <c r="C54">
        <v>0.34200000000000003</v>
      </c>
      <c r="D54">
        <v>0.153</v>
      </c>
      <c r="E54">
        <v>0</v>
      </c>
      <c r="F54">
        <v>53</v>
      </c>
    </row>
    <row r="55" spans="1:6">
      <c r="A55" t="s">
        <v>21</v>
      </c>
      <c r="B55">
        <v>0.374</v>
      </c>
      <c r="C55">
        <v>0.26800000000000002</v>
      </c>
      <c r="D55">
        <v>0.107</v>
      </c>
      <c r="E55">
        <v>0</v>
      </c>
      <c r="F55">
        <v>54</v>
      </c>
    </row>
    <row r="56" spans="1:6">
      <c r="A56" t="s">
        <v>23</v>
      </c>
      <c r="B56">
        <v>0.35099999999999998</v>
      </c>
      <c r="C56">
        <v>0.28599999999999998</v>
      </c>
      <c r="D56">
        <v>0.10100000000000001</v>
      </c>
      <c r="E56">
        <v>0</v>
      </c>
      <c r="F56">
        <v>55</v>
      </c>
    </row>
    <row r="57" spans="1:6">
      <c r="A57" t="s">
        <v>25</v>
      </c>
      <c r="B57">
        <v>0.434</v>
      </c>
      <c r="C57">
        <v>0.35099999999999998</v>
      </c>
      <c r="D57">
        <v>0.156</v>
      </c>
      <c r="E57">
        <v>0</v>
      </c>
      <c r="F57">
        <v>56</v>
      </c>
    </row>
    <row r="58" spans="1:6">
      <c r="A58" t="s">
        <v>27</v>
      </c>
      <c r="B58">
        <v>0.37</v>
      </c>
      <c r="C58">
        <v>0.27400000000000002</v>
      </c>
      <c r="D58">
        <v>0.11799999999999999</v>
      </c>
      <c r="E58">
        <v>0</v>
      </c>
      <c r="F58">
        <v>57</v>
      </c>
    </row>
    <row r="59" spans="1:6">
      <c r="A59" t="s">
        <v>29</v>
      </c>
      <c r="B59">
        <v>0.378</v>
      </c>
      <c r="C59">
        <v>0.26500000000000001</v>
      </c>
      <c r="D59">
        <v>9.1999999999999998E-2</v>
      </c>
      <c r="E59">
        <v>0</v>
      </c>
      <c r="F59">
        <v>58</v>
      </c>
    </row>
    <row r="60" spans="1:6">
      <c r="A60" t="s">
        <v>30</v>
      </c>
      <c r="B60">
        <v>0</v>
      </c>
      <c r="C60">
        <v>0</v>
      </c>
      <c r="D60">
        <v>0</v>
      </c>
      <c r="E60">
        <v>0</v>
      </c>
      <c r="F60">
        <v>59</v>
      </c>
    </row>
    <row r="61" spans="1:6">
      <c r="A61" t="s">
        <v>31</v>
      </c>
      <c r="B61">
        <v>0.42399999999999999</v>
      </c>
      <c r="C61">
        <v>0.33500000000000002</v>
      </c>
      <c r="D61">
        <v>0.14799999999999999</v>
      </c>
      <c r="E61">
        <v>0</v>
      </c>
      <c r="F61">
        <v>60</v>
      </c>
    </row>
    <row r="62" spans="1:6">
      <c r="A62" t="s">
        <v>33</v>
      </c>
      <c r="B62">
        <v>0.41699999999999998</v>
      </c>
      <c r="C62">
        <v>0.318</v>
      </c>
      <c r="D62">
        <v>0.14199999999999999</v>
      </c>
      <c r="E62">
        <v>0</v>
      </c>
      <c r="F62">
        <v>61</v>
      </c>
    </row>
    <row r="63" spans="1:6">
      <c r="A63" t="s">
        <v>35</v>
      </c>
      <c r="B63">
        <v>0.34</v>
      </c>
      <c r="C63">
        <v>0.246</v>
      </c>
      <c r="D63">
        <v>9.4E-2</v>
      </c>
      <c r="E63">
        <v>0</v>
      </c>
      <c r="F63">
        <v>62</v>
      </c>
    </row>
    <row r="64" spans="1:6">
      <c r="A64" t="s">
        <v>36</v>
      </c>
      <c r="B64">
        <v>0</v>
      </c>
      <c r="C64">
        <v>0</v>
      </c>
      <c r="D64">
        <v>0</v>
      </c>
      <c r="E64">
        <v>0</v>
      </c>
      <c r="F64">
        <v>63</v>
      </c>
    </row>
    <row r="65" spans="1:6">
      <c r="A65" t="s">
        <v>37</v>
      </c>
      <c r="B65">
        <v>0.44600000000000001</v>
      </c>
      <c r="C65">
        <v>0.376</v>
      </c>
      <c r="D65">
        <v>0.161</v>
      </c>
      <c r="E65">
        <v>0</v>
      </c>
      <c r="F65">
        <v>64</v>
      </c>
    </row>
    <row r="66" spans="1:6">
      <c r="A66" t="s">
        <v>39</v>
      </c>
      <c r="B66">
        <v>0.42599999999999999</v>
      </c>
      <c r="C66">
        <v>0.33300000000000002</v>
      </c>
      <c r="D66">
        <v>0.152</v>
      </c>
      <c r="E66">
        <v>0</v>
      </c>
      <c r="F66">
        <v>65</v>
      </c>
    </row>
    <row r="67" spans="1:6">
      <c r="A67" t="s">
        <v>41</v>
      </c>
      <c r="B67">
        <v>0.38600000000000001</v>
      </c>
      <c r="C67">
        <v>0.29599999999999999</v>
      </c>
      <c r="D67">
        <v>0.111</v>
      </c>
      <c r="E67">
        <v>0</v>
      </c>
      <c r="F67">
        <v>66</v>
      </c>
    </row>
    <row r="68" spans="1:6">
      <c r="A68" t="s">
        <v>42</v>
      </c>
      <c r="B68">
        <v>0</v>
      </c>
      <c r="C68">
        <v>0</v>
      </c>
      <c r="D68">
        <v>0</v>
      </c>
      <c r="E68">
        <v>0</v>
      </c>
      <c r="F68">
        <v>67</v>
      </c>
    </row>
    <row r="69" spans="1:6">
      <c r="A69" t="s">
        <v>43</v>
      </c>
      <c r="B69">
        <v>0.46400000000000002</v>
      </c>
      <c r="C69">
        <v>0.39400000000000002</v>
      </c>
      <c r="D69">
        <v>0.187</v>
      </c>
      <c r="E69">
        <v>0</v>
      </c>
      <c r="F69">
        <v>68</v>
      </c>
    </row>
    <row r="70" spans="1:6">
      <c r="A70" t="s">
        <v>45</v>
      </c>
      <c r="B70">
        <v>0.443</v>
      </c>
      <c r="C70">
        <v>0.34899999999999998</v>
      </c>
      <c r="D70">
        <v>0.158</v>
      </c>
      <c r="E70">
        <v>0</v>
      </c>
      <c r="F70">
        <v>69</v>
      </c>
    </row>
    <row r="71" spans="1:6">
      <c r="A71" t="s">
        <v>47</v>
      </c>
      <c r="B71">
        <v>0.376</v>
      </c>
      <c r="C71">
        <v>0.253</v>
      </c>
      <c r="D71">
        <v>9.0999999999999998E-2</v>
      </c>
      <c r="E71">
        <v>0</v>
      </c>
      <c r="F71">
        <v>70</v>
      </c>
    </row>
    <row r="72" spans="1:6">
      <c r="A72" t="s">
        <v>49</v>
      </c>
      <c r="B72">
        <v>0.49299999999999999</v>
      </c>
      <c r="C72">
        <v>0.42299999999999999</v>
      </c>
      <c r="D72">
        <v>0.21</v>
      </c>
      <c r="E72">
        <v>0</v>
      </c>
      <c r="F72">
        <v>71</v>
      </c>
    </row>
  </sheetData>
  <autoFilter ref="A1:E72">
    <sortState ref="A2:E57">
      <sortCondition descending="1" ref="D3"/>
    </sortState>
  </autoFilter>
  <sortState ref="A2:F72">
    <sortCondition descending="1" ref="E6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F5" sqref="F5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38</v>
      </c>
      <c r="B2">
        <v>0.74399999999999999</v>
      </c>
      <c r="C2">
        <v>0.74299999999999999</v>
      </c>
      <c r="D2">
        <v>0.33900000000000002</v>
      </c>
      <c r="E2">
        <v>0.68100000000000005</v>
      </c>
      <c r="F2">
        <v>1</v>
      </c>
    </row>
    <row r="3" spans="1:6">
      <c r="A3" t="s">
        <v>13</v>
      </c>
      <c r="B3">
        <v>0.748</v>
      </c>
      <c r="C3">
        <v>0.65600000000000003</v>
      </c>
      <c r="D3">
        <v>0.29399999999999998</v>
      </c>
      <c r="E3">
        <v>0.65</v>
      </c>
      <c r="F3">
        <v>2</v>
      </c>
    </row>
    <row r="4" spans="1:6">
      <c r="A4" t="s">
        <v>40</v>
      </c>
      <c r="B4">
        <v>0.65</v>
      </c>
      <c r="C4">
        <v>0.59299999999999997</v>
      </c>
      <c r="D4">
        <v>0.28499999999999998</v>
      </c>
      <c r="E4">
        <v>0.65</v>
      </c>
      <c r="F4">
        <v>3</v>
      </c>
    </row>
    <row r="5" spans="1:6">
      <c r="A5" t="s">
        <v>104</v>
      </c>
      <c r="B5">
        <v>0.69699999999999995</v>
      </c>
      <c r="C5">
        <v>0.69099999999999995</v>
      </c>
      <c r="D5">
        <v>0.32300000000000001</v>
      </c>
      <c r="E5">
        <v>0.629</v>
      </c>
      <c r="F5">
        <v>4</v>
      </c>
    </row>
    <row r="6" spans="1:6">
      <c r="A6" t="s">
        <v>92</v>
      </c>
      <c r="B6">
        <v>0.68700000000000006</v>
      </c>
      <c r="C6">
        <v>0.67400000000000004</v>
      </c>
      <c r="D6">
        <v>0.35499999999999998</v>
      </c>
      <c r="E6">
        <v>0.622</v>
      </c>
      <c r="F6">
        <v>5</v>
      </c>
    </row>
    <row r="7" spans="1:6">
      <c r="A7" t="s">
        <v>26</v>
      </c>
      <c r="B7">
        <v>0.68700000000000006</v>
      </c>
      <c r="C7">
        <v>0.67400000000000004</v>
      </c>
      <c r="D7">
        <v>0.35499999999999998</v>
      </c>
      <c r="E7">
        <v>0.622</v>
      </c>
      <c r="F7">
        <v>6</v>
      </c>
    </row>
    <row r="8" spans="1:6">
      <c r="A8" t="s">
        <v>60</v>
      </c>
      <c r="B8">
        <v>0.65500000000000003</v>
      </c>
      <c r="C8">
        <v>0.60799999999999998</v>
      </c>
      <c r="D8">
        <v>0.27200000000000002</v>
      </c>
      <c r="E8">
        <v>0.62</v>
      </c>
      <c r="F8">
        <v>7</v>
      </c>
    </row>
    <row r="9" spans="1:6">
      <c r="A9" t="s">
        <v>20</v>
      </c>
      <c r="B9">
        <v>0.69699999999999995</v>
      </c>
      <c r="C9">
        <v>0.64800000000000002</v>
      </c>
      <c r="D9">
        <v>0.3</v>
      </c>
      <c r="E9">
        <v>0.61599999999999999</v>
      </c>
      <c r="F9">
        <v>8</v>
      </c>
    </row>
    <row r="10" spans="1:6">
      <c r="A10" t="s">
        <v>100</v>
      </c>
      <c r="B10">
        <v>0.67</v>
      </c>
      <c r="C10">
        <v>0.64700000000000002</v>
      </c>
      <c r="D10">
        <v>0.30299999999999999</v>
      </c>
      <c r="E10">
        <v>0.60599999999999998</v>
      </c>
      <c r="F10">
        <v>9</v>
      </c>
    </row>
    <row r="11" spans="1:6">
      <c r="A11" t="s">
        <v>56</v>
      </c>
      <c r="B11">
        <v>0.66400000000000003</v>
      </c>
      <c r="C11">
        <v>0.67100000000000004</v>
      </c>
      <c r="D11">
        <v>0.34599999999999997</v>
      </c>
      <c r="E11">
        <v>0.6</v>
      </c>
      <c r="F11">
        <v>10</v>
      </c>
    </row>
    <row r="12" spans="1:6">
      <c r="A12" t="s">
        <v>9</v>
      </c>
      <c r="B12">
        <v>0.64200000000000002</v>
      </c>
      <c r="C12">
        <v>0.55100000000000005</v>
      </c>
      <c r="D12">
        <v>0.27</v>
      </c>
      <c r="E12">
        <v>0.59399999999999997</v>
      </c>
      <c r="F12">
        <v>11</v>
      </c>
    </row>
    <row r="13" spans="1:6">
      <c r="A13" t="s">
        <v>32</v>
      </c>
      <c r="B13">
        <v>0.65400000000000003</v>
      </c>
      <c r="C13">
        <v>0.66400000000000003</v>
      </c>
      <c r="D13">
        <v>0.311</v>
      </c>
      <c r="E13">
        <v>0.59399999999999997</v>
      </c>
      <c r="F13">
        <v>12</v>
      </c>
    </row>
    <row r="14" spans="1:6">
      <c r="A14" t="s">
        <v>8</v>
      </c>
      <c r="B14">
        <v>0.64800000000000002</v>
      </c>
      <c r="C14">
        <v>0.60799999999999998</v>
      </c>
      <c r="D14">
        <v>0.29199999999999998</v>
      </c>
      <c r="E14">
        <v>0.59199999999999997</v>
      </c>
      <c r="F14">
        <v>13</v>
      </c>
    </row>
    <row r="15" spans="1:6">
      <c r="A15" t="s">
        <v>57</v>
      </c>
      <c r="B15">
        <v>0.63600000000000001</v>
      </c>
      <c r="C15">
        <v>0.55800000000000005</v>
      </c>
      <c r="D15">
        <v>0.27</v>
      </c>
      <c r="E15">
        <v>0.58099999999999996</v>
      </c>
      <c r="F15">
        <v>14</v>
      </c>
    </row>
    <row r="16" spans="1:6">
      <c r="A16" t="s">
        <v>6</v>
      </c>
      <c r="B16">
        <v>0.66100000000000003</v>
      </c>
      <c r="C16">
        <v>0.69299999999999995</v>
      </c>
      <c r="D16">
        <v>0.375</v>
      </c>
      <c r="E16">
        <v>0.57799999999999996</v>
      </c>
      <c r="F16">
        <v>15</v>
      </c>
    </row>
    <row r="17" spans="1:6">
      <c r="A17" t="s">
        <v>93</v>
      </c>
      <c r="B17">
        <v>0.6</v>
      </c>
      <c r="C17">
        <v>0.61099999999999999</v>
      </c>
      <c r="D17">
        <v>0.314</v>
      </c>
      <c r="E17">
        <v>0.56999999999999995</v>
      </c>
      <c r="F17">
        <v>16</v>
      </c>
    </row>
    <row r="18" spans="1:6">
      <c r="A18" t="s">
        <v>14</v>
      </c>
      <c r="B18">
        <v>0.58699999999999997</v>
      </c>
      <c r="C18">
        <v>0.58399999999999996</v>
      </c>
      <c r="D18">
        <v>0.28899999999999998</v>
      </c>
      <c r="E18">
        <v>0.56899999999999995</v>
      </c>
      <c r="F18">
        <v>17</v>
      </c>
    </row>
    <row r="19" spans="1:6">
      <c r="A19" t="s">
        <v>5</v>
      </c>
      <c r="B19">
        <v>0.69599999999999995</v>
      </c>
      <c r="C19">
        <v>0.626</v>
      </c>
      <c r="D19">
        <v>0.25900000000000001</v>
      </c>
      <c r="E19">
        <v>0.56699999999999995</v>
      </c>
      <c r="F19">
        <v>18</v>
      </c>
    </row>
    <row r="20" spans="1:6">
      <c r="A20" t="s">
        <v>34</v>
      </c>
      <c r="B20">
        <v>0.58799999999999997</v>
      </c>
      <c r="C20">
        <v>0.56599999999999995</v>
      </c>
      <c r="D20">
        <v>0.26</v>
      </c>
      <c r="E20">
        <v>0.55800000000000005</v>
      </c>
      <c r="F20">
        <v>19</v>
      </c>
    </row>
    <row r="21" spans="1:6">
      <c r="A21" t="s">
        <v>12</v>
      </c>
      <c r="B21">
        <v>0.61199999999999999</v>
      </c>
      <c r="C21">
        <v>0.61299999999999999</v>
      </c>
      <c r="D21">
        <v>0.29899999999999999</v>
      </c>
      <c r="E21">
        <v>0.55700000000000005</v>
      </c>
      <c r="F21">
        <v>20</v>
      </c>
    </row>
    <row r="22" spans="1:6">
      <c r="A22" t="s">
        <v>10</v>
      </c>
      <c r="B22">
        <v>0.63900000000000001</v>
      </c>
      <c r="C22">
        <v>0.62</v>
      </c>
      <c r="D22">
        <v>0.30499999999999999</v>
      </c>
      <c r="E22">
        <v>0.55600000000000005</v>
      </c>
      <c r="F22">
        <v>21</v>
      </c>
    </row>
    <row r="23" spans="1:6">
      <c r="A23" t="s">
        <v>54</v>
      </c>
      <c r="B23">
        <v>0.628</v>
      </c>
      <c r="C23">
        <v>0.57299999999999995</v>
      </c>
      <c r="D23">
        <v>0.26400000000000001</v>
      </c>
      <c r="E23">
        <v>0.55600000000000005</v>
      </c>
      <c r="F23">
        <v>22</v>
      </c>
    </row>
    <row r="24" spans="1:6">
      <c r="A24" t="s">
        <v>11</v>
      </c>
      <c r="B24">
        <v>0.58399999999999996</v>
      </c>
      <c r="C24">
        <v>0.52100000000000002</v>
      </c>
      <c r="D24">
        <v>0.25900000000000001</v>
      </c>
      <c r="E24">
        <v>0.55200000000000005</v>
      </c>
      <c r="F24">
        <v>23</v>
      </c>
    </row>
    <row r="25" spans="1:6">
      <c r="A25" t="s">
        <v>94</v>
      </c>
      <c r="B25">
        <v>0.627</v>
      </c>
      <c r="C25">
        <v>0.56499999999999995</v>
      </c>
      <c r="D25">
        <v>0.27100000000000002</v>
      </c>
      <c r="E25">
        <v>0.54600000000000004</v>
      </c>
      <c r="F25">
        <v>24</v>
      </c>
    </row>
    <row r="26" spans="1:6">
      <c r="A26" t="s">
        <v>22</v>
      </c>
      <c r="B26">
        <v>0.59599999999999997</v>
      </c>
      <c r="C26">
        <v>0.60399999999999998</v>
      </c>
      <c r="D26">
        <v>0.33500000000000002</v>
      </c>
      <c r="E26">
        <v>0.54400000000000004</v>
      </c>
      <c r="F26">
        <v>25</v>
      </c>
    </row>
    <row r="27" spans="1:6">
      <c r="A27" t="s">
        <v>59</v>
      </c>
      <c r="B27">
        <v>0.60099999999999998</v>
      </c>
      <c r="C27">
        <v>0.6</v>
      </c>
      <c r="D27">
        <v>0.29399999999999998</v>
      </c>
      <c r="E27">
        <v>0.54400000000000004</v>
      </c>
      <c r="F27">
        <v>26</v>
      </c>
    </row>
    <row r="28" spans="1:6">
      <c r="A28" t="s">
        <v>53</v>
      </c>
      <c r="B28">
        <v>0.59</v>
      </c>
      <c r="C28">
        <v>0.59299999999999997</v>
      </c>
      <c r="D28">
        <v>0.30199999999999999</v>
      </c>
      <c r="E28">
        <v>0.53600000000000003</v>
      </c>
      <c r="F28">
        <v>27</v>
      </c>
    </row>
    <row r="29" spans="1:6">
      <c r="A29" t="s">
        <v>7</v>
      </c>
      <c r="B29">
        <v>0.61199999999999999</v>
      </c>
      <c r="C29">
        <v>0.56000000000000005</v>
      </c>
      <c r="D29">
        <v>0.24299999999999999</v>
      </c>
      <c r="E29">
        <v>0.53300000000000003</v>
      </c>
      <c r="F29">
        <v>28</v>
      </c>
    </row>
    <row r="30" spans="1:6">
      <c r="A30" t="s">
        <v>50</v>
      </c>
      <c r="B30">
        <v>0.58199999999999996</v>
      </c>
      <c r="C30">
        <v>0.60099999999999998</v>
      </c>
      <c r="D30">
        <v>0.31</v>
      </c>
      <c r="E30">
        <v>0.53</v>
      </c>
      <c r="F30">
        <v>29</v>
      </c>
    </row>
    <row r="31" spans="1:6">
      <c r="A31" t="s">
        <v>101</v>
      </c>
      <c r="B31">
        <v>0.52300000000000002</v>
      </c>
      <c r="C31">
        <v>0.42199999999999999</v>
      </c>
      <c r="D31">
        <v>0.19</v>
      </c>
      <c r="E31">
        <v>0.52300000000000002</v>
      </c>
      <c r="F31">
        <v>30</v>
      </c>
    </row>
    <row r="32" spans="1:6">
      <c r="A32" t="s">
        <v>98</v>
      </c>
      <c r="B32">
        <v>0.57199999999999995</v>
      </c>
      <c r="C32">
        <v>0.52400000000000002</v>
      </c>
      <c r="D32">
        <v>0.26100000000000001</v>
      </c>
      <c r="E32">
        <v>0.51200000000000001</v>
      </c>
      <c r="F32">
        <v>31</v>
      </c>
    </row>
    <row r="33" spans="1:6">
      <c r="A33" t="s">
        <v>102</v>
      </c>
      <c r="B33">
        <v>0.53900000000000003</v>
      </c>
      <c r="C33">
        <v>0.51</v>
      </c>
      <c r="D33">
        <v>0.29199999999999998</v>
      </c>
      <c r="E33">
        <v>0.50800000000000001</v>
      </c>
      <c r="F33">
        <v>32</v>
      </c>
    </row>
    <row r="34" spans="1:6">
      <c r="A34" t="s">
        <v>96</v>
      </c>
      <c r="B34">
        <v>0.52600000000000002</v>
      </c>
      <c r="C34">
        <v>0.56200000000000006</v>
      </c>
      <c r="D34">
        <v>0.28299999999999997</v>
      </c>
      <c r="E34">
        <v>0.503</v>
      </c>
      <c r="F34">
        <v>33</v>
      </c>
    </row>
    <row r="35" spans="1:6">
      <c r="A35" t="s">
        <v>105</v>
      </c>
      <c r="B35">
        <v>0.499</v>
      </c>
      <c r="C35">
        <v>0.41599999999999998</v>
      </c>
      <c r="D35">
        <v>0.19600000000000001</v>
      </c>
      <c r="E35">
        <v>0.499</v>
      </c>
      <c r="F35">
        <v>34</v>
      </c>
    </row>
    <row r="36" spans="1:6">
      <c r="A36" t="s">
        <v>46</v>
      </c>
      <c r="B36">
        <v>0.54100000000000004</v>
      </c>
      <c r="C36">
        <v>0.55300000000000005</v>
      </c>
      <c r="D36">
        <v>0.26</v>
      </c>
      <c r="E36">
        <v>0.496</v>
      </c>
      <c r="F36">
        <v>35</v>
      </c>
    </row>
    <row r="37" spans="1:6">
      <c r="A37" t="s">
        <v>97</v>
      </c>
      <c r="B37">
        <v>0.496</v>
      </c>
      <c r="C37">
        <v>0.44700000000000001</v>
      </c>
      <c r="D37">
        <v>0.21099999999999999</v>
      </c>
      <c r="E37">
        <v>0.496</v>
      </c>
      <c r="F37">
        <v>36</v>
      </c>
    </row>
    <row r="38" spans="1:6">
      <c r="A38" t="s">
        <v>51</v>
      </c>
      <c r="B38">
        <v>0.54900000000000004</v>
      </c>
      <c r="C38">
        <v>0.51900000000000002</v>
      </c>
      <c r="D38">
        <v>0.23400000000000001</v>
      </c>
      <c r="E38">
        <v>0.49399999999999999</v>
      </c>
      <c r="F38">
        <v>37</v>
      </c>
    </row>
    <row r="39" spans="1:6">
      <c r="A39" t="s">
        <v>91</v>
      </c>
      <c r="B39">
        <v>0.48299999999999998</v>
      </c>
      <c r="C39">
        <v>0.38</v>
      </c>
      <c r="D39">
        <v>0.17699999999999999</v>
      </c>
      <c r="E39">
        <v>0.48299999999999998</v>
      </c>
      <c r="F39">
        <v>38</v>
      </c>
    </row>
    <row r="40" spans="1:6">
      <c r="A40" t="s">
        <v>44</v>
      </c>
      <c r="B40">
        <v>0.54500000000000004</v>
      </c>
      <c r="C40">
        <v>0.60399999999999998</v>
      </c>
      <c r="D40">
        <v>0.30399999999999999</v>
      </c>
      <c r="E40">
        <v>0.48299999999999998</v>
      </c>
      <c r="F40">
        <v>39</v>
      </c>
    </row>
    <row r="41" spans="1:6">
      <c r="A41" t="s">
        <v>99</v>
      </c>
      <c r="B41">
        <v>0.48199999999999998</v>
      </c>
      <c r="C41">
        <v>0.40899999999999997</v>
      </c>
      <c r="D41">
        <v>0.17899999999999999</v>
      </c>
      <c r="E41">
        <v>0.48199999999999998</v>
      </c>
      <c r="F41">
        <v>40</v>
      </c>
    </row>
    <row r="42" spans="1:6">
      <c r="A42" t="s">
        <v>16</v>
      </c>
      <c r="B42">
        <v>0.52200000000000002</v>
      </c>
      <c r="C42">
        <v>0.53500000000000003</v>
      </c>
      <c r="D42">
        <v>0.255</v>
      </c>
      <c r="E42">
        <v>0.47899999999999998</v>
      </c>
      <c r="F42">
        <v>41</v>
      </c>
    </row>
    <row r="43" spans="1:6">
      <c r="A43" t="s">
        <v>52</v>
      </c>
      <c r="B43">
        <v>0.56200000000000006</v>
      </c>
      <c r="C43">
        <v>0.499</v>
      </c>
      <c r="D43">
        <v>0.19500000000000001</v>
      </c>
      <c r="E43">
        <v>0.47599999999999998</v>
      </c>
      <c r="F43">
        <v>42</v>
      </c>
    </row>
    <row r="44" spans="1:6">
      <c r="A44" t="s">
        <v>55</v>
      </c>
      <c r="B44">
        <v>0.56200000000000006</v>
      </c>
      <c r="C44">
        <v>0.499</v>
      </c>
      <c r="D44">
        <v>0.19500000000000001</v>
      </c>
      <c r="E44">
        <v>0.47599999999999998</v>
      </c>
      <c r="F44">
        <v>43</v>
      </c>
    </row>
    <row r="45" spans="1:6">
      <c r="A45" t="s">
        <v>58</v>
      </c>
      <c r="B45">
        <v>0.56200000000000006</v>
      </c>
      <c r="C45">
        <v>0.499</v>
      </c>
      <c r="D45">
        <v>0.19500000000000001</v>
      </c>
      <c r="E45">
        <v>0.47599999999999998</v>
      </c>
      <c r="F45">
        <v>44</v>
      </c>
    </row>
    <row r="46" spans="1:6">
      <c r="A46" t="s">
        <v>28</v>
      </c>
      <c r="B46">
        <v>0.60399999999999998</v>
      </c>
      <c r="C46">
        <v>0.6</v>
      </c>
      <c r="D46">
        <v>0.28000000000000003</v>
      </c>
      <c r="E46">
        <v>0.46800000000000003</v>
      </c>
      <c r="F46">
        <v>45</v>
      </c>
    </row>
    <row r="47" spans="1:6">
      <c r="A47" t="s">
        <v>103</v>
      </c>
      <c r="B47">
        <v>0.45800000000000002</v>
      </c>
      <c r="C47">
        <v>0.377</v>
      </c>
      <c r="D47">
        <v>0.16</v>
      </c>
      <c r="E47">
        <v>0.45800000000000002</v>
      </c>
      <c r="F47">
        <v>46</v>
      </c>
    </row>
    <row r="48" spans="1:6">
      <c r="A48" t="s">
        <v>95</v>
      </c>
      <c r="B48">
        <v>0.41399999999999998</v>
      </c>
      <c r="C48">
        <v>0.30299999999999999</v>
      </c>
      <c r="D48">
        <v>0.122</v>
      </c>
      <c r="E48">
        <v>0.45200000000000001</v>
      </c>
      <c r="F48">
        <v>47</v>
      </c>
    </row>
    <row r="49" spans="1:6">
      <c r="A49" t="s">
        <v>48</v>
      </c>
      <c r="B49">
        <v>1.4999999999999999E-2</v>
      </c>
      <c r="C49">
        <v>0.13300000000000001</v>
      </c>
      <c r="D49">
        <v>4.8000000000000001E-2</v>
      </c>
      <c r="E49">
        <v>1.7000000000000001E-2</v>
      </c>
      <c r="F49">
        <v>48</v>
      </c>
    </row>
    <row r="50" spans="1:6">
      <c r="A50" t="s">
        <v>24</v>
      </c>
      <c r="B50">
        <v>8.0000000000000002E-3</v>
      </c>
      <c r="C50">
        <v>0.03</v>
      </c>
      <c r="D50">
        <v>8.9999999999999993E-3</v>
      </c>
      <c r="E50">
        <v>7.0000000000000001E-3</v>
      </c>
      <c r="F50">
        <v>49</v>
      </c>
    </row>
    <row r="51" spans="1:6">
      <c r="A51" t="s">
        <v>15</v>
      </c>
      <c r="B51">
        <v>0.57399999999999995</v>
      </c>
      <c r="C51">
        <v>0.53400000000000003</v>
      </c>
      <c r="D51">
        <v>0.26900000000000002</v>
      </c>
      <c r="E51">
        <v>0</v>
      </c>
      <c r="F51">
        <v>50</v>
      </c>
    </row>
    <row r="52" spans="1:6">
      <c r="A52" t="s">
        <v>17</v>
      </c>
      <c r="B52">
        <v>0.51300000000000001</v>
      </c>
      <c r="C52">
        <v>0.44500000000000001</v>
      </c>
      <c r="D52">
        <v>0.16900000000000001</v>
      </c>
      <c r="E52">
        <v>0</v>
      </c>
      <c r="F52">
        <v>51</v>
      </c>
    </row>
    <row r="53" spans="1:6">
      <c r="A53" t="s">
        <v>18</v>
      </c>
      <c r="B53">
        <v>0</v>
      </c>
      <c r="C53">
        <v>0</v>
      </c>
      <c r="D53">
        <v>0</v>
      </c>
      <c r="E53">
        <v>0</v>
      </c>
      <c r="F53">
        <v>52</v>
      </c>
    </row>
    <row r="54" spans="1:6">
      <c r="A54" t="s">
        <v>19</v>
      </c>
      <c r="B54">
        <v>0.626</v>
      </c>
      <c r="C54">
        <v>0.59199999999999997</v>
      </c>
      <c r="D54">
        <v>0.26900000000000002</v>
      </c>
      <c r="E54">
        <v>0</v>
      </c>
      <c r="F54">
        <v>53</v>
      </c>
    </row>
    <row r="55" spans="1:6">
      <c r="A55" t="s">
        <v>21</v>
      </c>
      <c r="B55">
        <v>0.50600000000000001</v>
      </c>
      <c r="C55">
        <v>0.47</v>
      </c>
      <c r="D55">
        <v>0.22900000000000001</v>
      </c>
      <c r="E55">
        <v>0</v>
      </c>
      <c r="F55">
        <v>54</v>
      </c>
    </row>
    <row r="56" spans="1:6">
      <c r="A56" t="s">
        <v>23</v>
      </c>
      <c r="B56">
        <v>0.52200000000000002</v>
      </c>
      <c r="C56">
        <v>0.5</v>
      </c>
      <c r="D56">
        <v>0.219</v>
      </c>
      <c r="E56">
        <v>0</v>
      </c>
      <c r="F56">
        <v>55</v>
      </c>
    </row>
    <row r="57" spans="1:6">
      <c r="A57" t="s">
        <v>25</v>
      </c>
      <c r="B57">
        <v>0.63400000000000001</v>
      </c>
      <c r="C57">
        <v>0.60099999999999998</v>
      </c>
      <c r="D57">
        <v>0.28899999999999998</v>
      </c>
      <c r="E57">
        <v>0</v>
      </c>
      <c r="F57">
        <v>56</v>
      </c>
    </row>
    <row r="58" spans="1:6">
      <c r="A58" t="s">
        <v>27</v>
      </c>
      <c r="B58">
        <v>0.59099999999999997</v>
      </c>
      <c r="C58">
        <v>0.54200000000000004</v>
      </c>
      <c r="D58">
        <v>0.249</v>
      </c>
      <c r="E58">
        <v>0</v>
      </c>
      <c r="F58">
        <v>57</v>
      </c>
    </row>
    <row r="59" spans="1:6">
      <c r="A59" t="s">
        <v>29</v>
      </c>
      <c r="B59">
        <v>0.47399999999999998</v>
      </c>
      <c r="C59">
        <v>0.42699999999999999</v>
      </c>
      <c r="D59">
        <v>0.17399999999999999</v>
      </c>
      <c r="E59">
        <v>0</v>
      </c>
      <c r="F59">
        <v>58</v>
      </c>
    </row>
    <row r="60" spans="1:6">
      <c r="A60" t="s">
        <v>30</v>
      </c>
      <c r="B60">
        <v>0</v>
      </c>
      <c r="C60">
        <v>0</v>
      </c>
      <c r="D60">
        <v>0</v>
      </c>
      <c r="E60">
        <v>0</v>
      </c>
      <c r="F60">
        <v>59</v>
      </c>
    </row>
    <row r="61" spans="1:6">
      <c r="A61" t="s">
        <v>31</v>
      </c>
      <c r="B61">
        <v>0.60599999999999998</v>
      </c>
      <c r="C61">
        <v>0.60299999999999998</v>
      </c>
      <c r="D61">
        <v>0.28199999999999997</v>
      </c>
      <c r="E61">
        <v>0</v>
      </c>
      <c r="F61">
        <v>60</v>
      </c>
    </row>
    <row r="62" spans="1:6">
      <c r="A62" t="s">
        <v>33</v>
      </c>
      <c r="B62">
        <v>0.59899999999999998</v>
      </c>
      <c r="C62">
        <v>0.55900000000000005</v>
      </c>
      <c r="D62">
        <v>0.29099999999999998</v>
      </c>
      <c r="E62">
        <v>0</v>
      </c>
      <c r="F62">
        <v>61</v>
      </c>
    </row>
    <row r="63" spans="1:6">
      <c r="A63" t="s">
        <v>35</v>
      </c>
      <c r="B63">
        <v>0.503</v>
      </c>
      <c r="C63">
        <v>0.42399999999999999</v>
      </c>
      <c r="D63">
        <v>0.17100000000000001</v>
      </c>
      <c r="E63">
        <v>0</v>
      </c>
      <c r="F63">
        <v>62</v>
      </c>
    </row>
    <row r="64" spans="1:6">
      <c r="A64" t="s">
        <v>36</v>
      </c>
      <c r="B64">
        <v>0</v>
      </c>
      <c r="C64">
        <v>0</v>
      </c>
      <c r="D64">
        <v>0</v>
      </c>
      <c r="E64">
        <v>0</v>
      </c>
      <c r="F64">
        <v>63</v>
      </c>
    </row>
    <row r="65" spans="1:6">
      <c r="A65" t="s">
        <v>37</v>
      </c>
      <c r="B65">
        <v>0.66400000000000003</v>
      </c>
      <c r="C65">
        <v>0.64600000000000002</v>
      </c>
      <c r="D65">
        <v>0.30299999999999999</v>
      </c>
      <c r="E65">
        <v>0</v>
      </c>
      <c r="F65">
        <v>64</v>
      </c>
    </row>
    <row r="66" spans="1:6">
      <c r="A66" t="s">
        <v>39</v>
      </c>
      <c r="B66">
        <v>0.59899999999999998</v>
      </c>
      <c r="C66">
        <v>0.51700000000000002</v>
      </c>
      <c r="D66">
        <v>0.25900000000000001</v>
      </c>
      <c r="E66">
        <v>0</v>
      </c>
      <c r="F66">
        <v>65</v>
      </c>
    </row>
    <row r="67" spans="1:6">
      <c r="A67" t="s">
        <v>41</v>
      </c>
      <c r="B67">
        <v>0.59599999999999997</v>
      </c>
      <c r="C67">
        <v>0.52</v>
      </c>
      <c r="D67">
        <v>0.246</v>
      </c>
      <c r="E67">
        <v>0</v>
      </c>
      <c r="F67">
        <v>66</v>
      </c>
    </row>
    <row r="68" spans="1:6">
      <c r="A68" t="s">
        <v>42</v>
      </c>
      <c r="B68">
        <v>0</v>
      </c>
      <c r="C68">
        <v>0</v>
      </c>
      <c r="D68">
        <v>0</v>
      </c>
      <c r="E68">
        <v>0</v>
      </c>
      <c r="F68">
        <v>67</v>
      </c>
    </row>
    <row r="69" spans="1:6">
      <c r="A69" t="s">
        <v>43</v>
      </c>
      <c r="B69">
        <v>0.61799999999999999</v>
      </c>
      <c r="C69">
        <v>0.61299999999999999</v>
      </c>
      <c r="D69">
        <v>0.312</v>
      </c>
      <c r="E69">
        <v>0</v>
      </c>
      <c r="F69">
        <v>68</v>
      </c>
    </row>
    <row r="70" spans="1:6">
      <c r="A70" t="s">
        <v>45</v>
      </c>
      <c r="B70">
        <v>0.59399999999999997</v>
      </c>
      <c r="C70">
        <v>0.56499999999999995</v>
      </c>
      <c r="D70">
        <v>0.28699999999999998</v>
      </c>
      <c r="E70">
        <v>0</v>
      </c>
      <c r="F70">
        <v>69</v>
      </c>
    </row>
    <row r="71" spans="1:6">
      <c r="A71" t="s">
        <v>47</v>
      </c>
      <c r="B71">
        <v>0.58499999999999996</v>
      </c>
      <c r="C71">
        <v>0.497</v>
      </c>
      <c r="D71">
        <v>0.20100000000000001</v>
      </c>
      <c r="E71">
        <v>0</v>
      </c>
      <c r="F71">
        <v>70</v>
      </c>
    </row>
    <row r="72" spans="1:6">
      <c r="A72" t="s">
        <v>49</v>
      </c>
      <c r="B72">
        <v>0.65300000000000002</v>
      </c>
      <c r="C72">
        <v>0.63400000000000001</v>
      </c>
      <c r="D72">
        <v>0.33300000000000002</v>
      </c>
      <c r="E72">
        <v>0</v>
      </c>
      <c r="F72">
        <v>71</v>
      </c>
    </row>
  </sheetData>
  <autoFilter ref="A1:E72">
    <sortState ref="A2:E57">
      <sortCondition descending="1" ref="D8"/>
    </sortState>
  </autoFilter>
  <sortState ref="A2:F72">
    <sortCondition descending="1" ref="E4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A4" sqref="A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99</v>
      </c>
      <c r="B2">
        <v>0.246</v>
      </c>
      <c r="C2">
        <v>0.152</v>
      </c>
      <c r="D2">
        <v>6.0999999999999999E-2</v>
      </c>
      <c r="E2">
        <v>0.25800000000000001</v>
      </c>
      <c r="F2">
        <v>1</v>
      </c>
    </row>
    <row r="3" spans="1:6">
      <c r="A3" t="s">
        <v>93</v>
      </c>
      <c r="B3">
        <v>0.29599999999999999</v>
      </c>
      <c r="C3">
        <v>0.20100000000000001</v>
      </c>
      <c r="D3">
        <v>9.5000000000000001E-2</v>
      </c>
      <c r="E3">
        <v>0.23799999999999999</v>
      </c>
      <c r="F3">
        <v>2</v>
      </c>
    </row>
    <row r="4" spans="1:6">
      <c r="A4" t="s">
        <v>91</v>
      </c>
      <c r="B4">
        <v>0.249</v>
      </c>
      <c r="C4">
        <v>0.156</v>
      </c>
      <c r="D4">
        <v>6.2E-2</v>
      </c>
      <c r="E4">
        <v>0.23</v>
      </c>
      <c r="F4">
        <v>3</v>
      </c>
    </row>
    <row r="5" spans="1:6">
      <c r="A5" t="s">
        <v>101</v>
      </c>
      <c r="B5">
        <v>0.25</v>
      </c>
      <c r="C5">
        <v>0.16</v>
      </c>
      <c r="D5">
        <v>6.4000000000000001E-2</v>
      </c>
      <c r="E5">
        <v>0.22900000000000001</v>
      </c>
      <c r="F5">
        <v>4</v>
      </c>
    </row>
    <row r="6" spans="1:6">
      <c r="A6" t="s">
        <v>103</v>
      </c>
      <c r="B6">
        <v>0.22700000000000001</v>
      </c>
      <c r="C6">
        <v>0.13100000000000001</v>
      </c>
      <c r="D6">
        <v>4.5999999999999999E-2</v>
      </c>
      <c r="E6">
        <v>0.22800000000000001</v>
      </c>
      <c r="F6">
        <v>5</v>
      </c>
    </row>
    <row r="7" spans="1:6">
      <c r="A7" t="s">
        <v>95</v>
      </c>
      <c r="B7">
        <v>0.22800000000000001</v>
      </c>
      <c r="C7">
        <v>0.158</v>
      </c>
      <c r="D7">
        <v>5.7000000000000002E-2</v>
      </c>
      <c r="E7">
        <v>0.224</v>
      </c>
      <c r="F7">
        <v>6</v>
      </c>
    </row>
    <row r="8" spans="1:6">
      <c r="A8" t="s">
        <v>97</v>
      </c>
      <c r="B8">
        <v>0.23</v>
      </c>
      <c r="C8">
        <v>0.14899999999999999</v>
      </c>
      <c r="D8">
        <v>5.7000000000000002E-2</v>
      </c>
      <c r="E8">
        <v>0.224</v>
      </c>
      <c r="F8">
        <v>7</v>
      </c>
    </row>
    <row r="9" spans="1:6">
      <c r="A9" t="s">
        <v>105</v>
      </c>
      <c r="B9">
        <v>0.24399999999999999</v>
      </c>
      <c r="C9">
        <v>0.156</v>
      </c>
      <c r="D9">
        <v>0.06</v>
      </c>
      <c r="E9">
        <v>0.218</v>
      </c>
      <c r="F9">
        <v>8</v>
      </c>
    </row>
    <row r="10" spans="1:6">
      <c r="A10" t="s">
        <v>98</v>
      </c>
      <c r="B10">
        <v>0.216</v>
      </c>
      <c r="C10">
        <v>0.13</v>
      </c>
      <c r="D10">
        <v>5.6000000000000001E-2</v>
      </c>
      <c r="E10">
        <v>0.21</v>
      </c>
      <c r="F10">
        <v>9</v>
      </c>
    </row>
    <row r="11" spans="1:6">
      <c r="A11" t="s">
        <v>28</v>
      </c>
      <c r="B11">
        <v>0.23499999999999999</v>
      </c>
      <c r="C11">
        <v>0.153</v>
      </c>
      <c r="D11">
        <v>5.3999999999999999E-2</v>
      </c>
      <c r="E11">
        <v>0.19900000000000001</v>
      </c>
      <c r="F11">
        <v>10</v>
      </c>
    </row>
    <row r="12" spans="1:6">
      <c r="A12" t="s">
        <v>40</v>
      </c>
      <c r="B12">
        <v>0.185</v>
      </c>
      <c r="C12">
        <v>0.14799999999999999</v>
      </c>
      <c r="D12">
        <v>6.2E-2</v>
      </c>
      <c r="E12">
        <v>0.19800000000000001</v>
      </c>
      <c r="F12">
        <v>11</v>
      </c>
    </row>
    <row r="13" spans="1:6">
      <c r="A13" t="s">
        <v>94</v>
      </c>
      <c r="B13">
        <v>0.153</v>
      </c>
      <c r="C13">
        <v>8.6999999999999994E-2</v>
      </c>
      <c r="D13">
        <v>3.3000000000000002E-2</v>
      </c>
      <c r="E13">
        <v>0.19600000000000001</v>
      </c>
      <c r="F13">
        <v>12</v>
      </c>
    </row>
    <row r="14" spans="1:6">
      <c r="A14" t="s">
        <v>44</v>
      </c>
      <c r="B14">
        <v>0.216</v>
      </c>
      <c r="C14">
        <v>0.11799999999999999</v>
      </c>
      <c r="D14">
        <v>5.2999999999999999E-2</v>
      </c>
      <c r="E14">
        <v>0.19400000000000001</v>
      </c>
      <c r="F14">
        <v>13</v>
      </c>
    </row>
    <row r="15" spans="1:6">
      <c r="A15" t="s">
        <v>12</v>
      </c>
      <c r="B15">
        <v>0.219</v>
      </c>
      <c r="C15">
        <v>0.13700000000000001</v>
      </c>
      <c r="D15">
        <v>6.4000000000000001E-2</v>
      </c>
      <c r="E15">
        <v>0.191</v>
      </c>
      <c r="F15">
        <v>14</v>
      </c>
    </row>
    <row r="16" spans="1:6">
      <c r="A16" t="s">
        <v>34</v>
      </c>
      <c r="B16">
        <v>0.192</v>
      </c>
      <c r="C16">
        <v>0.13200000000000001</v>
      </c>
      <c r="D16">
        <v>5.5E-2</v>
      </c>
      <c r="E16">
        <v>0.186</v>
      </c>
      <c r="F16">
        <v>15</v>
      </c>
    </row>
    <row r="17" spans="1:6">
      <c r="A17" t="s">
        <v>50</v>
      </c>
      <c r="B17">
        <v>0.19900000000000001</v>
      </c>
      <c r="C17">
        <v>0.11899999999999999</v>
      </c>
      <c r="D17">
        <v>5.5E-2</v>
      </c>
      <c r="E17">
        <v>0.183</v>
      </c>
      <c r="F17">
        <v>16</v>
      </c>
    </row>
    <row r="18" spans="1:6">
      <c r="A18" t="s">
        <v>10</v>
      </c>
      <c r="B18">
        <v>0.21199999999999999</v>
      </c>
      <c r="C18">
        <v>0.14699999999999999</v>
      </c>
      <c r="D18">
        <v>6.7000000000000004E-2</v>
      </c>
      <c r="E18">
        <v>0.17799999999999999</v>
      </c>
      <c r="F18">
        <v>17</v>
      </c>
    </row>
    <row r="19" spans="1:6">
      <c r="A19" t="s">
        <v>14</v>
      </c>
      <c r="B19">
        <v>0.192</v>
      </c>
      <c r="C19">
        <v>0.152</v>
      </c>
      <c r="D19">
        <v>7.0999999999999994E-2</v>
      </c>
      <c r="E19">
        <v>0.17299999999999999</v>
      </c>
      <c r="F19">
        <v>18</v>
      </c>
    </row>
    <row r="20" spans="1:6">
      <c r="A20" t="s">
        <v>59</v>
      </c>
      <c r="B20">
        <v>0.21299999999999999</v>
      </c>
      <c r="C20">
        <v>0.151</v>
      </c>
      <c r="D20">
        <v>6.8000000000000005E-2</v>
      </c>
      <c r="E20">
        <v>0.17299999999999999</v>
      </c>
      <c r="F20">
        <v>19</v>
      </c>
    </row>
    <row r="21" spans="1:6">
      <c r="A21" t="s">
        <v>22</v>
      </c>
      <c r="B21">
        <v>0.16600000000000001</v>
      </c>
      <c r="C21">
        <v>0.1</v>
      </c>
      <c r="D21">
        <v>3.5999999999999997E-2</v>
      </c>
      <c r="E21">
        <v>0.17199999999999999</v>
      </c>
      <c r="F21">
        <v>20</v>
      </c>
    </row>
    <row r="22" spans="1:6">
      <c r="A22" t="s">
        <v>16</v>
      </c>
      <c r="B22">
        <v>0.183</v>
      </c>
      <c r="C22">
        <v>0.107</v>
      </c>
      <c r="D22">
        <v>3.7999999999999999E-2</v>
      </c>
      <c r="E22">
        <v>0.17100000000000001</v>
      </c>
      <c r="F22">
        <v>21</v>
      </c>
    </row>
    <row r="23" spans="1:6">
      <c r="A23" t="s">
        <v>102</v>
      </c>
      <c r="B23">
        <v>0.18099999999999999</v>
      </c>
      <c r="C23">
        <v>0.126</v>
      </c>
      <c r="D23">
        <v>5.0999999999999997E-2</v>
      </c>
      <c r="E23">
        <v>0.17</v>
      </c>
      <c r="F23">
        <v>22</v>
      </c>
    </row>
    <row r="24" spans="1:6">
      <c r="A24" t="s">
        <v>52</v>
      </c>
      <c r="B24">
        <v>0.19400000000000001</v>
      </c>
      <c r="C24">
        <v>0.107</v>
      </c>
      <c r="D24">
        <v>3.5000000000000003E-2</v>
      </c>
      <c r="E24">
        <v>0.16500000000000001</v>
      </c>
      <c r="F24">
        <v>23</v>
      </c>
    </row>
    <row r="25" spans="1:6">
      <c r="A25" t="s">
        <v>55</v>
      </c>
      <c r="B25">
        <v>0.19400000000000001</v>
      </c>
      <c r="C25">
        <v>0.107</v>
      </c>
      <c r="D25">
        <v>3.5000000000000003E-2</v>
      </c>
      <c r="E25">
        <v>0.16500000000000001</v>
      </c>
      <c r="F25">
        <v>24</v>
      </c>
    </row>
    <row r="26" spans="1:6">
      <c r="A26" t="s">
        <v>58</v>
      </c>
      <c r="B26">
        <v>0.19400000000000001</v>
      </c>
      <c r="C26">
        <v>0.107</v>
      </c>
      <c r="D26">
        <v>3.5000000000000003E-2</v>
      </c>
      <c r="E26">
        <v>0.16500000000000001</v>
      </c>
      <c r="F26">
        <v>25</v>
      </c>
    </row>
    <row r="27" spans="1:6">
      <c r="A27" t="s">
        <v>8</v>
      </c>
      <c r="B27">
        <v>0.186</v>
      </c>
      <c r="C27">
        <v>0.154</v>
      </c>
      <c r="D27">
        <v>7.3999999999999996E-2</v>
      </c>
      <c r="E27">
        <v>0.16400000000000001</v>
      </c>
      <c r="F27">
        <v>26</v>
      </c>
    </row>
    <row r="28" spans="1:6">
      <c r="A28" t="s">
        <v>13</v>
      </c>
      <c r="B28">
        <v>0.153</v>
      </c>
      <c r="C28">
        <v>9.4E-2</v>
      </c>
      <c r="D28">
        <v>0.04</v>
      </c>
      <c r="E28">
        <v>0.16</v>
      </c>
      <c r="F28">
        <v>27</v>
      </c>
    </row>
    <row r="29" spans="1:6">
      <c r="A29" t="s">
        <v>51</v>
      </c>
      <c r="B29">
        <v>0.14399999999999999</v>
      </c>
      <c r="C29">
        <v>6.9000000000000006E-2</v>
      </c>
      <c r="D29">
        <v>2.7E-2</v>
      </c>
      <c r="E29">
        <v>0.151</v>
      </c>
      <c r="F29">
        <v>28</v>
      </c>
    </row>
    <row r="30" spans="1:6">
      <c r="A30" t="s">
        <v>20</v>
      </c>
      <c r="B30">
        <v>0.184</v>
      </c>
      <c r="C30">
        <v>0.14299999999999999</v>
      </c>
      <c r="D30">
        <v>5.6000000000000001E-2</v>
      </c>
      <c r="E30">
        <v>0.14699999999999999</v>
      </c>
      <c r="F30">
        <v>29</v>
      </c>
    </row>
    <row r="31" spans="1:6">
      <c r="A31" t="s">
        <v>92</v>
      </c>
      <c r="B31">
        <v>0.183</v>
      </c>
      <c r="C31">
        <v>0.121</v>
      </c>
      <c r="D31">
        <v>4.9000000000000002E-2</v>
      </c>
      <c r="E31">
        <v>0.14599999999999999</v>
      </c>
      <c r="F31">
        <v>30</v>
      </c>
    </row>
    <row r="32" spans="1:6">
      <c r="A32" t="s">
        <v>26</v>
      </c>
      <c r="B32">
        <v>0.183</v>
      </c>
      <c r="C32">
        <v>0.121</v>
      </c>
      <c r="D32">
        <v>4.9000000000000002E-2</v>
      </c>
      <c r="E32">
        <v>0.14599999999999999</v>
      </c>
      <c r="F32">
        <v>31</v>
      </c>
    </row>
    <row r="33" spans="1:6">
      <c r="A33" t="s">
        <v>57</v>
      </c>
      <c r="B33">
        <v>0.13</v>
      </c>
      <c r="C33">
        <v>8.6999999999999994E-2</v>
      </c>
      <c r="D33">
        <v>0.04</v>
      </c>
      <c r="E33">
        <v>0.14599999999999999</v>
      </c>
      <c r="F33">
        <v>32</v>
      </c>
    </row>
    <row r="34" spans="1:6">
      <c r="A34" t="s">
        <v>11</v>
      </c>
      <c r="B34">
        <v>0.125</v>
      </c>
      <c r="C34">
        <v>7.1999999999999995E-2</v>
      </c>
      <c r="D34">
        <v>3.5000000000000003E-2</v>
      </c>
      <c r="E34">
        <v>0.14499999999999999</v>
      </c>
      <c r="F34">
        <v>33</v>
      </c>
    </row>
    <row r="35" spans="1:6">
      <c r="A35" t="s">
        <v>104</v>
      </c>
      <c r="B35">
        <v>0.14299999999999999</v>
      </c>
      <c r="C35">
        <v>8.2000000000000003E-2</v>
      </c>
      <c r="D35">
        <v>3.7999999999999999E-2</v>
      </c>
      <c r="E35">
        <v>0.14099999999999999</v>
      </c>
      <c r="F35">
        <v>34</v>
      </c>
    </row>
    <row r="36" spans="1:6">
      <c r="A36" t="s">
        <v>9</v>
      </c>
      <c r="B36">
        <v>0.13</v>
      </c>
      <c r="C36">
        <v>9.7000000000000003E-2</v>
      </c>
      <c r="D36">
        <v>4.9000000000000002E-2</v>
      </c>
      <c r="E36">
        <v>0.13700000000000001</v>
      </c>
      <c r="F36">
        <v>35</v>
      </c>
    </row>
    <row r="37" spans="1:6">
      <c r="A37" t="s">
        <v>7</v>
      </c>
      <c r="B37">
        <v>0.13800000000000001</v>
      </c>
      <c r="C37">
        <v>8.2000000000000003E-2</v>
      </c>
      <c r="D37">
        <v>3.6999999999999998E-2</v>
      </c>
      <c r="E37">
        <v>0.13500000000000001</v>
      </c>
      <c r="F37">
        <v>36</v>
      </c>
    </row>
    <row r="38" spans="1:6">
      <c r="A38" t="s">
        <v>32</v>
      </c>
      <c r="B38">
        <v>0.17499999999999999</v>
      </c>
      <c r="C38">
        <v>0.155</v>
      </c>
      <c r="D38">
        <v>6.2E-2</v>
      </c>
      <c r="E38">
        <v>0.13200000000000001</v>
      </c>
      <c r="F38">
        <v>37</v>
      </c>
    </row>
    <row r="39" spans="1:6">
      <c r="A39" t="s">
        <v>56</v>
      </c>
      <c r="B39">
        <v>0.13400000000000001</v>
      </c>
      <c r="C39">
        <v>9.8000000000000004E-2</v>
      </c>
      <c r="D39">
        <v>4.5999999999999999E-2</v>
      </c>
      <c r="E39">
        <v>0.13200000000000001</v>
      </c>
      <c r="F39">
        <v>38</v>
      </c>
    </row>
    <row r="40" spans="1:6">
      <c r="A40" t="s">
        <v>38</v>
      </c>
      <c r="B40">
        <v>0.14699999999999999</v>
      </c>
      <c r="C40">
        <v>9.7000000000000003E-2</v>
      </c>
      <c r="D40">
        <v>3.5999999999999997E-2</v>
      </c>
      <c r="E40">
        <v>0.128</v>
      </c>
      <c r="F40">
        <v>39</v>
      </c>
    </row>
    <row r="41" spans="1:6">
      <c r="A41" t="s">
        <v>60</v>
      </c>
      <c r="B41">
        <v>0.152</v>
      </c>
      <c r="C41">
        <v>0.08</v>
      </c>
      <c r="D41">
        <v>3.5000000000000003E-2</v>
      </c>
      <c r="E41">
        <v>0.128</v>
      </c>
      <c r="F41">
        <v>40</v>
      </c>
    </row>
    <row r="42" spans="1:6">
      <c r="A42" t="s">
        <v>46</v>
      </c>
      <c r="B42">
        <v>0.156</v>
      </c>
      <c r="C42">
        <v>0.114</v>
      </c>
      <c r="D42">
        <v>4.7E-2</v>
      </c>
      <c r="E42">
        <v>0.124</v>
      </c>
      <c r="F42">
        <v>41</v>
      </c>
    </row>
    <row r="43" spans="1:6">
      <c r="A43" t="s">
        <v>96</v>
      </c>
      <c r="B43">
        <v>0.13300000000000001</v>
      </c>
      <c r="C43">
        <v>9.8000000000000004E-2</v>
      </c>
      <c r="D43">
        <v>4.1000000000000002E-2</v>
      </c>
      <c r="E43">
        <v>0.123</v>
      </c>
      <c r="F43">
        <v>42</v>
      </c>
    </row>
    <row r="44" spans="1:6">
      <c r="A44" t="s">
        <v>5</v>
      </c>
      <c r="B44">
        <v>0.14799999999999999</v>
      </c>
      <c r="C44">
        <v>9.9000000000000005E-2</v>
      </c>
      <c r="D44">
        <v>3.6999999999999998E-2</v>
      </c>
      <c r="E44">
        <v>0.122</v>
      </c>
      <c r="F44">
        <v>43</v>
      </c>
    </row>
    <row r="45" spans="1:6">
      <c r="A45" s="4" t="s">
        <v>6</v>
      </c>
      <c r="B45">
        <v>0.13200000000000001</v>
      </c>
      <c r="C45">
        <v>9.2999999999999999E-2</v>
      </c>
      <c r="D45">
        <v>4.2999999999999997E-2</v>
      </c>
      <c r="E45">
        <v>0.11700000000000001</v>
      </c>
      <c r="F45">
        <v>44</v>
      </c>
    </row>
    <row r="46" spans="1:6">
      <c r="A46" t="s">
        <v>54</v>
      </c>
      <c r="B46">
        <v>0.115</v>
      </c>
      <c r="C46">
        <v>7.1999999999999995E-2</v>
      </c>
      <c r="D46">
        <v>3.3000000000000002E-2</v>
      </c>
      <c r="E46">
        <v>0.115</v>
      </c>
      <c r="F46">
        <v>45</v>
      </c>
    </row>
    <row r="47" spans="1:6">
      <c r="A47" t="s">
        <v>53</v>
      </c>
      <c r="B47">
        <v>0.105</v>
      </c>
      <c r="C47">
        <v>8.6999999999999994E-2</v>
      </c>
      <c r="D47">
        <v>3.9E-2</v>
      </c>
      <c r="E47">
        <v>0.111</v>
      </c>
      <c r="F47">
        <v>46</v>
      </c>
    </row>
    <row r="48" spans="1:6">
      <c r="A48" t="s">
        <v>100</v>
      </c>
      <c r="B48">
        <v>0.13800000000000001</v>
      </c>
      <c r="C48">
        <v>8.5999999999999993E-2</v>
      </c>
      <c r="D48">
        <v>3.9E-2</v>
      </c>
      <c r="E48">
        <v>0.107</v>
      </c>
      <c r="F48">
        <v>47</v>
      </c>
    </row>
    <row r="49" spans="1:6">
      <c r="A49" t="s">
        <v>48</v>
      </c>
      <c r="B49">
        <v>0.01</v>
      </c>
      <c r="C49">
        <v>4.2000000000000003E-2</v>
      </c>
      <c r="D49">
        <v>1.4E-2</v>
      </c>
      <c r="E49">
        <v>8.9999999999999993E-3</v>
      </c>
      <c r="F49">
        <v>48</v>
      </c>
    </row>
    <row r="50" spans="1:6">
      <c r="A50" t="s">
        <v>15</v>
      </c>
      <c r="B50">
        <v>0.28299999999999997</v>
      </c>
      <c r="C50">
        <v>0.17799999999999999</v>
      </c>
      <c r="D50">
        <v>6.7000000000000004E-2</v>
      </c>
      <c r="E50">
        <v>0</v>
      </c>
      <c r="F50">
        <v>49</v>
      </c>
    </row>
    <row r="51" spans="1:6">
      <c r="A51" t="s">
        <v>17</v>
      </c>
      <c r="B51">
        <v>0.24099999999999999</v>
      </c>
      <c r="C51">
        <v>0.14899999999999999</v>
      </c>
      <c r="D51">
        <v>4.1000000000000002E-2</v>
      </c>
      <c r="E51">
        <v>0</v>
      </c>
      <c r="F51">
        <v>50</v>
      </c>
    </row>
    <row r="52" spans="1:6">
      <c r="A52" t="s">
        <v>18</v>
      </c>
      <c r="B52">
        <v>0</v>
      </c>
      <c r="C52">
        <v>0</v>
      </c>
      <c r="D52">
        <v>0</v>
      </c>
      <c r="E52">
        <v>0</v>
      </c>
      <c r="F52">
        <v>51</v>
      </c>
    </row>
    <row r="53" spans="1:6">
      <c r="A53" t="s">
        <v>19</v>
      </c>
      <c r="B53">
        <v>0.26</v>
      </c>
      <c r="C53">
        <v>0.184</v>
      </c>
      <c r="D53">
        <v>5.6000000000000001E-2</v>
      </c>
      <c r="E53">
        <v>0</v>
      </c>
      <c r="F53">
        <v>52</v>
      </c>
    </row>
    <row r="54" spans="1:6">
      <c r="A54" t="s">
        <v>21</v>
      </c>
      <c r="B54">
        <v>0.253</v>
      </c>
      <c r="C54">
        <v>0.182</v>
      </c>
      <c r="D54">
        <v>7.0000000000000007E-2</v>
      </c>
      <c r="E54">
        <v>0</v>
      </c>
      <c r="F54">
        <v>53</v>
      </c>
    </row>
    <row r="55" spans="1:6">
      <c r="A55" t="s">
        <v>23</v>
      </c>
      <c r="B55">
        <v>0.20499999999999999</v>
      </c>
      <c r="C55">
        <v>0.125</v>
      </c>
      <c r="D55">
        <v>2.9000000000000001E-2</v>
      </c>
      <c r="E55">
        <v>0</v>
      </c>
      <c r="F55">
        <v>54</v>
      </c>
    </row>
    <row r="56" spans="1:6">
      <c r="A56" t="s">
        <v>24</v>
      </c>
      <c r="B56">
        <v>0</v>
      </c>
      <c r="C56">
        <v>0</v>
      </c>
      <c r="D56">
        <v>0</v>
      </c>
      <c r="E56">
        <v>0</v>
      </c>
      <c r="F56">
        <v>55</v>
      </c>
    </row>
    <row r="57" spans="1:6">
      <c r="A57" t="s">
        <v>25</v>
      </c>
      <c r="B57">
        <v>0.27</v>
      </c>
      <c r="C57">
        <v>0.185</v>
      </c>
      <c r="D57">
        <v>5.7000000000000002E-2</v>
      </c>
      <c r="E57">
        <v>0</v>
      </c>
      <c r="F57">
        <v>56</v>
      </c>
    </row>
    <row r="58" spans="1:6">
      <c r="A58" t="s">
        <v>27</v>
      </c>
      <c r="B58">
        <v>0.23499999999999999</v>
      </c>
      <c r="C58">
        <v>0.16400000000000001</v>
      </c>
      <c r="D58">
        <v>5.1999999999999998E-2</v>
      </c>
      <c r="E58">
        <v>0</v>
      </c>
      <c r="F58">
        <v>57</v>
      </c>
    </row>
    <row r="59" spans="1:6">
      <c r="A59" t="s">
        <v>29</v>
      </c>
      <c r="B59">
        <v>0.155</v>
      </c>
      <c r="C59">
        <v>7.3999999999999996E-2</v>
      </c>
      <c r="D59">
        <v>0.02</v>
      </c>
      <c r="E59">
        <v>0</v>
      </c>
      <c r="F59">
        <v>58</v>
      </c>
    </row>
    <row r="60" spans="1:6">
      <c r="A60" t="s">
        <v>30</v>
      </c>
      <c r="B60">
        <v>0</v>
      </c>
      <c r="C60">
        <v>0</v>
      </c>
      <c r="D60">
        <v>0</v>
      </c>
      <c r="E60">
        <v>0</v>
      </c>
      <c r="F60">
        <v>59</v>
      </c>
    </row>
    <row r="61" spans="1:6">
      <c r="A61" t="s">
        <v>31</v>
      </c>
      <c r="B61">
        <v>0.26900000000000002</v>
      </c>
      <c r="C61">
        <v>0.17399999999999999</v>
      </c>
      <c r="D61">
        <v>5.8000000000000003E-2</v>
      </c>
      <c r="E61">
        <v>0</v>
      </c>
      <c r="F61">
        <v>60</v>
      </c>
    </row>
    <row r="62" spans="1:6">
      <c r="A62" t="s">
        <v>33</v>
      </c>
      <c r="B62">
        <v>0.27400000000000002</v>
      </c>
      <c r="C62">
        <v>0.19700000000000001</v>
      </c>
      <c r="D62">
        <v>6.6000000000000003E-2</v>
      </c>
      <c r="E62">
        <v>0</v>
      </c>
      <c r="F62">
        <v>61</v>
      </c>
    </row>
    <row r="63" spans="1:6">
      <c r="A63" t="s">
        <v>35</v>
      </c>
      <c r="B63">
        <v>0.152</v>
      </c>
      <c r="C63">
        <v>8.4000000000000005E-2</v>
      </c>
      <c r="D63">
        <v>2.1000000000000001E-2</v>
      </c>
      <c r="E63">
        <v>0</v>
      </c>
      <c r="F63">
        <v>62</v>
      </c>
    </row>
    <row r="64" spans="1:6">
      <c r="A64" t="s">
        <v>36</v>
      </c>
      <c r="B64">
        <v>0</v>
      </c>
      <c r="C64">
        <v>0</v>
      </c>
      <c r="D64">
        <v>0</v>
      </c>
      <c r="E64">
        <v>0</v>
      </c>
      <c r="F64">
        <v>63</v>
      </c>
    </row>
    <row r="65" spans="1:6">
      <c r="A65" t="s">
        <v>37</v>
      </c>
      <c r="B65">
        <v>0.29399999999999998</v>
      </c>
      <c r="C65">
        <v>0.20300000000000001</v>
      </c>
      <c r="D65">
        <v>6.2E-2</v>
      </c>
      <c r="E65">
        <v>0</v>
      </c>
      <c r="F65">
        <v>64</v>
      </c>
    </row>
    <row r="66" spans="1:6">
      <c r="A66" t="s">
        <v>39</v>
      </c>
      <c r="B66">
        <v>0.29599999999999999</v>
      </c>
      <c r="C66">
        <v>0.24</v>
      </c>
      <c r="D66">
        <v>8.8999999999999996E-2</v>
      </c>
      <c r="E66">
        <v>0</v>
      </c>
      <c r="F66">
        <v>65</v>
      </c>
    </row>
    <row r="67" spans="1:6">
      <c r="A67" t="s">
        <v>41</v>
      </c>
      <c r="B67">
        <v>0.23200000000000001</v>
      </c>
      <c r="C67">
        <v>0.154</v>
      </c>
      <c r="D67">
        <v>5.0999999999999997E-2</v>
      </c>
      <c r="E67">
        <v>0</v>
      </c>
      <c r="F67">
        <v>66</v>
      </c>
    </row>
    <row r="68" spans="1:6">
      <c r="A68" t="s">
        <v>42</v>
      </c>
      <c r="B68">
        <v>0</v>
      </c>
      <c r="C68">
        <v>0</v>
      </c>
      <c r="D68">
        <v>0</v>
      </c>
      <c r="E68">
        <v>0</v>
      </c>
      <c r="F68">
        <v>67</v>
      </c>
    </row>
    <row r="69" spans="1:6">
      <c r="A69" t="s">
        <v>43</v>
      </c>
      <c r="B69">
        <v>0.34499999999999997</v>
      </c>
      <c r="C69">
        <v>0.26200000000000001</v>
      </c>
      <c r="D69">
        <v>0.105</v>
      </c>
      <c r="E69">
        <v>0</v>
      </c>
      <c r="F69">
        <v>68</v>
      </c>
    </row>
    <row r="70" spans="1:6">
      <c r="A70" t="s">
        <v>45</v>
      </c>
      <c r="B70">
        <v>0.30599999999999999</v>
      </c>
      <c r="C70">
        <v>0.255</v>
      </c>
      <c r="D70">
        <v>0.107</v>
      </c>
      <c r="E70">
        <v>0</v>
      </c>
      <c r="F70">
        <v>69</v>
      </c>
    </row>
    <row r="71" spans="1:6">
      <c r="A71" t="s">
        <v>47</v>
      </c>
      <c r="B71">
        <v>0.23100000000000001</v>
      </c>
      <c r="C71">
        <v>0.14299999999999999</v>
      </c>
      <c r="D71">
        <v>0.04</v>
      </c>
      <c r="E71">
        <v>0</v>
      </c>
      <c r="F71">
        <v>70</v>
      </c>
    </row>
    <row r="72" spans="1:6">
      <c r="A72" t="s">
        <v>49</v>
      </c>
      <c r="B72">
        <v>0.34799999999999998</v>
      </c>
      <c r="C72">
        <v>0.25600000000000001</v>
      </c>
      <c r="D72">
        <v>0.10100000000000001</v>
      </c>
      <c r="E72">
        <v>0</v>
      </c>
      <c r="F72">
        <v>71</v>
      </c>
    </row>
  </sheetData>
  <autoFilter ref="A1:E72">
    <sortState ref="A2:E57">
      <sortCondition descending="1" ref="D9"/>
    </sortState>
  </autoFilter>
  <sortState ref="A2:F72">
    <sortCondition descending="1" ref="E6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101</v>
      </c>
      <c r="B2">
        <v>0.92100000000000004</v>
      </c>
      <c r="C2">
        <v>0.94699999999999995</v>
      </c>
      <c r="D2">
        <v>0.621</v>
      </c>
      <c r="E2">
        <v>0.89300000000000002</v>
      </c>
      <c r="F2">
        <v>1</v>
      </c>
    </row>
    <row r="3" spans="1:6">
      <c r="A3" t="s">
        <v>91</v>
      </c>
      <c r="B3">
        <v>0.91800000000000004</v>
      </c>
      <c r="C3">
        <v>0.94599999999999995</v>
      </c>
      <c r="D3">
        <v>0.61799999999999999</v>
      </c>
      <c r="E3">
        <v>0.89</v>
      </c>
      <c r="F3">
        <v>2</v>
      </c>
    </row>
    <row r="4" spans="1:6">
      <c r="A4" t="s">
        <v>105</v>
      </c>
      <c r="B4">
        <v>0.91900000000000004</v>
      </c>
      <c r="C4">
        <v>0.94599999999999995</v>
      </c>
      <c r="D4">
        <v>0.624</v>
      </c>
      <c r="E4">
        <v>0.89</v>
      </c>
      <c r="F4">
        <v>3</v>
      </c>
    </row>
    <row r="5" spans="1:6">
      <c r="A5" t="s">
        <v>97</v>
      </c>
      <c r="B5">
        <v>0.91800000000000004</v>
      </c>
      <c r="C5">
        <v>0.94499999999999995</v>
      </c>
      <c r="D5">
        <v>0.625</v>
      </c>
      <c r="E5">
        <v>0.88800000000000001</v>
      </c>
      <c r="F5">
        <v>4</v>
      </c>
    </row>
    <row r="6" spans="1:6">
      <c r="A6" t="s">
        <v>99</v>
      </c>
      <c r="B6">
        <v>0.85499999999999998</v>
      </c>
      <c r="C6">
        <v>0.89200000000000002</v>
      </c>
      <c r="D6">
        <v>0.59499999999999997</v>
      </c>
      <c r="E6">
        <v>0.82399999999999995</v>
      </c>
      <c r="F6">
        <v>5</v>
      </c>
    </row>
    <row r="7" spans="1:6">
      <c r="A7" t="s">
        <v>103</v>
      </c>
      <c r="B7">
        <v>0.84099999999999997</v>
      </c>
      <c r="C7">
        <v>0.879</v>
      </c>
      <c r="D7">
        <v>0.58599999999999997</v>
      </c>
      <c r="E7">
        <v>0.81200000000000006</v>
      </c>
      <c r="F7">
        <v>6</v>
      </c>
    </row>
    <row r="8" spans="1:6">
      <c r="A8" t="s">
        <v>95</v>
      </c>
      <c r="B8">
        <v>0.80500000000000005</v>
      </c>
      <c r="C8">
        <v>0.84299999999999997</v>
      </c>
      <c r="D8">
        <v>0.54600000000000004</v>
      </c>
      <c r="E8">
        <v>0.77500000000000002</v>
      </c>
      <c r="F8">
        <v>7</v>
      </c>
    </row>
    <row r="9" spans="1:6">
      <c r="A9" t="s">
        <v>53</v>
      </c>
      <c r="B9">
        <v>0.64800000000000002</v>
      </c>
      <c r="C9">
        <v>0.63900000000000001</v>
      </c>
      <c r="D9">
        <v>0.435</v>
      </c>
      <c r="E9">
        <v>0.64200000000000002</v>
      </c>
      <c r="F9">
        <v>8</v>
      </c>
    </row>
    <row r="10" spans="1:6">
      <c r="A10" t="s">
        <v>13</v>
      </c>
      <c r="B10">
        <v>0.64600000000000002</v>
      </c>
      <c r="C10">
        <v>0.62</v>
      </c>
      <c r="D10">
        <v>0.40600000000000003</v>
      </c>
      <c r="E10">
        <v>0.64100000000000001</v>
      </c>
      <c r="F10">
        <v>9</v>
      </c>
    </row>
    <row r="11" spans="1:6">
      <c r="A11" t="s">
        <v>9</v>
      </c>
      <c r="B11">
        <v>0.64700000000000002</v>
      </c>
      <c r="C11">
        <v>0.625</v>
      </c>
      <c r="D11">
        <v>0.41299999999999998</v>
      </c>
      <c r="E11">
        <v>0.63700000000000001</v>
      </c>
      <c r="F11">
        <v>10</v>
      </c>
    </row>
    <row r="12" spans="1:6">
      <c r="A12" t="s">
        <v>57</v>
      </c>
      <c r="B12">
        <v>0.64900000000000002</v>
      </c>
      <c r="C12">
        <v>0.63</v>
      </c>
      <c r="D12">
        <v>0.40899999999999997</v>
      </c>
      <c r="E12">
        <v>0.63600000000000001</v>
      </c>
      <c r="F12">
        <v>11</v>
      </c>
    </row>
    <row r="13" spans="1:6">
      <c r="A13" t="s">
        <v>7</v>
      </c>
      <c r="B13">
        <v>0.63900000000000001</v>
      </c>
      <c r="C13">
        <v>0.623</v>
      </c>
      <c r="D13">
        <v>0.40699999999999997</v>
      </c>
      <c r="E13">
        <v>0.629</v>
      </c>
      <c r="F13">
        <v>12</v>
      </c>
    </row>
    <row r="14" spans="1:6">
      <c r="A14" t="s">
        <v>11</v>
      </c>
      <c r="B14">
        <v>0.63400000000000001</v>
      </c>
      <c r="C14">
        <v>0.61899999999999999</v>
      </c>
      <c r="D14">
        <v>0.41399999999999998</v>
      </c>
      <c r="E14">
        <v>0.629</v>
      </c>
      <c r="F14">
        <v>13</v>
      </c>
    </row>
    <row r="15" spans="1:6">
      <c r="A15" t="s">
        <v>56</v>
      </c>
      <c r="B15">
        <v>0.63100000000000001</v>
      </c>
      <c r="C15">
        <v>0.63100000000000001</v>
      </c>
      <c r="D15">
        <v>0.42699999999999999</v>
      </c>
      <c r="E15">
        <v>0.629</v>
      </c>
      <c r="F15">
        <v>14</v>
      </c>
    </row>
    <row r="16" spans="1:6">
      <c r="A16" t="s">
        <v>6</v>
      </c>
      <c r="B16">
        <v>0.63</v>
      </c>
      <c r="C16">
        <v>0.626</v>
      </c>
      <c r="D16">
        <v>0.42199999999999999</v>
      </c>
      <c r="E16">
        <v>0.625</v>
      </c>
      <c r="F16">
        <v>15</v>
      </c>
    </row>
    <row r="17" spans="1:6">
      <c r="A17" t="s">
        <v>14</v>
      </c>
      <c r="B17">
        <v>0.61699999999999999</v>
      </c>
      <c r="C17">
        <v>0.60899999999999999</v>
      </c>
      <c r="D17">
        <v>0.40799999999999997</v>
      </c>
      <c r="E17">
        <v>0.61099999999999999</v>
      </c>
      <c r="F17">
        <v>16</v>
      </c>
    </row>
    <row r="18" spans="1:6">
      <c r="A18" t="s">
        <v>5</v>
      </c>
      <c r="B18">
        <v>0.60899999999999999</v>
      </c>
      <c r="C18">
        <v>0.60099999999999998</v>
      </c>
      <c r="D18">
        <v>0.38500000000000001</v>
      </c>
      <c r="E18">
        <v>0.59099999999999997</v>
      </c>
      <c r="F18">
        <v>17</v>
      </c>
    </row>
    <row r="19" spans="1:6">
      <c r="A19" t="s">
        <v>8</v>
      </c>
      <c r="B19">
        <v>0.59499999999999997</v>
      </c>
      <c r="C19">
        <v>0.58099999999999996</v>
      </c>
      <c r="D19">
        <v>0.39200000000000002</v>
      </c>
      <c r="E19">
        <v>0.58599999999999997</v>
      </c>
      <c r="F19">
        <v>18</v>
      </c>
    </row>
    <row r="20" spans="1:6">
      <c r="A20" t="s">
        <v>10</v>
      </c>
      <c r="B20">
        <v>0.58899999999999997</v>
      </c>
      <c r="C20">
        <v>0.57599999999999996</v>
      </c>
      <c r="D20">
        <v>0.38800000000000001</v>
      </c>
      <c r="E20">
        <v>0.58199999999999996</v>
      </c>
      <c r="F20">
        <v>19</v>
      </c>
    </row>
    <row r="21" spans="1:6">
      <c r="A21" t="s">
        <v>12</v>
      </c>
      <c r="B21">
        <v>0.58399999999999996</v>
      </c>
      <c r="C21">
        <v>0.56799999999999995</v>
      </c>
      <c r="D21">
        <v>0.38</v>
      </c>
      <c r="E21">
        <v>0.57799999999999996</v>
      </c>
      <c r="F21">
        <v>20</v>
      </c>
    </row>
    <row r="22" spans="1:6">
      <c r="A22" t="s">
        <v>54</v>
      </c>
      <c r="B22">
        <v>0.60599999999999998</v>
      </c>
      <c r="C22">
        <v>0.58399999999999996</v>
      </c>
      <c r="D22">
        <v>0.37</v>
      </c>
      <c r="E22">
        <v>0.57399999999999995</v>
      </c>
      <c r="F22">
        <v>21</v>
      </c>
    </row>
    <row r="23" spans="1:6">
      <c r="A23" t="s">
        <v>59</v>
      </c>
      <c r="B23">
        <v>0.57899999999999996</v>
      </c>
      <c r="C23">
        <v>0.56200000000000006</v>
      </c>
      <c r="D23">
        <v>0.379</v>
      </c>
      <c r="E23">
        <v>0.57199999999999995</v>
      </c>
      <c r="F23">
        <v>22</v>
      </c>
    </row>
    <row r="24" spans="1:6">
      <c r="A24" t="s">
        <v>52</v>
      </c>
      <c r="B24">
        <v>0.57599999999999996</v>
      </c>
      <c r="C24">
        <v>0.56299999999999994</v>
      </c>
      <c r="D24">
        <v>0.34100000000000003</v>
      </c>
      <c r="E24">
        <v>0.56899999999999995</v>
      </c>
      <c r="F24">
        <v>23</v>
      </c>
    </row>
    <row r="25" spans="1:6">
      <c r="A25" t="s">
        <v>55</v>
      </c>
      <c r="B25">
        <v>0.57599999999999996</v>
      </c>
      <c r="C25">
        <v>0.56299999999999994</v>
      </c>
      <c r="D25">
        <v>0.34100000000000003</v>
      </c>
      <c r="E25">
        <v>0.56899999999999995</v>
      </c>
      <c r="F25">
        <v>24</v>
      </c>
    </row>
    <row r="26" spans="1:6">
      <c r="A26" t="s">
        <v>58</v>
      </c>
      <c r="B26">
        <v>0.57599999999999996</v>
      </c>
      <c r="C26">
        <v>0.56299999999999994</v>
      </c>
      <c r="D26">
        <v>0.34100000000000003</v>
      </c>
      <c r="E26">
        <v>0.56899999999999995</v>
      </c>
      <c r="F26">
        <v>25</v>
      </c>
    </row>
    <row r="27" spans="1:6">
      <c r="A27" t="s">
        <v>51</v>
      </c>
      <c r="B27">
        <v>0.56799999999999995</v>
      </c>
      <c r="C27">
        <v>0.53200000000000003</v>
      </c>
      <c r="D27">
        <v>0.32200000000000001</v>
      </c>
      <c r="E27">
        <v>0.55300000000000005</v>
      </c>
      <c r="F27">
        <v>26</v>
      </c>
    </row>
    <row r="28" spans="1:6">
      <c r="A28" t="s">
        <v>20</v>
      </c>
      <c r="B28">
        <v>0.51500000000000001</v>
      </c>
      <c r="C28">
        <v>0.45400000000000001</v>
      </c>
      <c r="D28">
        <v>0.27100000000000002</v>
      </c>
      <c r="E28">
        <v>0.501</v>
      </c>
      <c r="F28">
        <v>27</v>
      </c>
    </row>
    <row r="29" spans="1:6">
      <c r="A29" t="s">
        <v>93</v>
      </c>
      <c r="B29">
        <v>0.51100000000000001</v>
      </c>
      <c r="C29">
        <v>0.45800000000000002</v>
      </c>
      <c r="D29">
        <v>0.26900000000000002</v>
      </c>
      <c r="E29">
        <v>0.497</v>
      </c>
      <c r="F29">
        <v>28</v>
      </c>
    </row>
    <row r="30" spans="1:6">
      <c r="A30" t="s">
        <v>40</v>
      </c>
      <c r="B30">
        <v>0.52100000000000002</v>
      </c>
      <c r="C30">
        <v>0.46200000000000002</v>
      </c>
      <c r="D30">
        <v>0.27400000000000002</v>
      </c>
      <c r="E30">
        <v>0.497</v>
      </c>
      <c r="F30">
        <v>29</v>
      </c>
    </row>
    <row r="31" spans="1:6">
      <c r="A31" t="s">
        <v>32</v>
      </c>
      <c r="B31">
        <v>0.50800000000000001</v>
      </c>
      <c r="C31">
        <v>0.45</v>
      </c>
      <c r="D31">
        <v>0.27300000000000002</v>
      </c>
      <c r="E31">
        <v>0.495</v>
      </c>
      <c r="F31">
        <v>30</v>
      </c>
    </row>
    <row r="32" spans="1:6">
      <c r="A32" t="s">
        <v>92</v>
      </c>
      <c r="B32">
        <v>0.50600000000000001</v>
      </c>
      <c r="C32">
        <v>0.44400000000000001</v>
      </c>
      <c r="D32">
        <v>0.26300000000000001</v>
      </c>
      <c r="E32">
        <v>0.49099999999999999</v>
      </c>
      <c r="F32">
        <v>31</v>
      </c>
    </row>
    <row r="33" spans="1:6">
      <c r="A33" t="s">
        <v>26</v>
      </c>
      <c r="B33">
        <v>0.50600000000000001</v>
      </c>
      <c r="C33">
        <v>0.44400000000000001</v>
      </c>
      <c r="D33">
        <v>0.26300000000000001</v>
      </c>
      <c r="E33">
        <v>0.49099999999999999</v>
      </c>
      <c r="F33">
        <v>32</v>
      </c>
    </row>
    <row r="34" spans="1:6">
      <c r="A34" t="s">
        <v>46</v>
      </c>
      <c r="B34">
        <v>0.51</v>
      </c>
      <c r="C34">
        <v>0.45300000000000001</v>
      </c>
      <c r="D34">
        <v>0.27700000000000002</v>
      </c>
      <c r="E34">
        <v>0.49099999999999999</v>
      </c>
      <c r="F34">
        <v>33</v>
      </c>
    </row>
    <row r="35" spans="1:6">
      <c r="A35" t="s">
        <v>38</v>
      </c>
      <c r="B35">
        <v>0.5</v>
      </c>
      <c r="C35">
        <v>0.437</v>
      </c>
      <c r="D35">
        <v>0.25600000000000001</v>
      </c>
      <c r="E35">
        <v>0.48599999999999999</v>
      </c>
      <c r="F35">
        <v>34</v>
      </c>
    </row>
    <row r="36" spans="1:6">
      <c r="A36" s="4" t="s">
        <v>96</v>
      </c>
      <c r="B36">
        <v>0.497</v>
      </c>
      <c r="C36">
        <v>0.42799999999999999</v>
      </c>
      <c r="D36">
        <v>0.25800000000000001</v>
      </c>
      <c r="E36">
        <v>0.48099999999999998</v>
      </c>
      <c r="F36">
        <v>35</v>
      </c>
    </row>
    <row r="37" spans="1:6">
      <c r="A37" t="s">
        <v>34</v>
      </c>
      <c r="B37">
        <v>0.502</v>
      </c>
      <c r="C37">
        <v>0.438</v>
      </c>
      <c r="D37">
        <v>0.25</v>
      </c>
      <c r="E37">
        <v>0.47899999999999998</v>
      </c>
      <c r="F37">
        <v>36</v>
      </c>
    </row>
    <row r="38" spans="1:6">
      <c r="A38" t="s">
        <v>102</v>
      </c>
      <c r="B38">
        <v>0.502</v>
      </c>
      <c r="C38">
        <v>0.44600000000000001</v>
      </c>
      <c r="D38">
        <v>0.26400000000000001</v>
      </c>
      <c r="E38">
        <v>0.47799999999999998</v>
      </c>
      <c r="F38">
        <v>37</v>
      </c>
    </row>
    <row r="39" spans="1:6">
      <c r="A39" t="s">
        <v>104</v>
      </c>
      <c r="B39">
        <v>0.49</v>
      </c>
      <c r="C39">
        <v>0.42299999999999999</v>
      </c>
      <c r="D39">
        <v>0.251</v>
      </c>
      <c r="E39">
        <v>0.47699999999999998</v>
      </c>
      <c r="F39">
        <v>38</v>
      </c>
    </row>
    <row r="40" spans="1:6">
      <c r="A40" t="s">
        <v>100</v>
      </c>
      <c r="B40">
        <v>0.48299999999999998</v>
      </c>
      <c r="C40">
        <v>0.41199999999999998</v>
      </c>
      <c r="D40">
        <v>0.24099999999999999</v>
      </c>
      <c r="E40">
        <v>0.46700000000000003</v>
      </c>
      <c r="F40">
        <v>39</v>
      </c>
    </row>
    <row r="41" spans="1:6">
      <c r="A41" t="s">
        <v>28</v>
      </c>
      <c r="B41">
        <v>0.48599999999999999</v>
      </c>
      <c r="C41">
        <v>0.42399999999999999</v>
      </c>
      <c r="D41">
        <v>0.23899999999999999</v>
      </c>
      <c r="E41">
        <v>0.46300000000000002</v>
      </c>
      <c r="F41">
        <v>40</v>
      </c>
    </row>
    <row r="42" spans="1:6">
      <c r="A42" t="s">
        <v>98</v>
      </c>
      <c r="B42">
        <v>0.48899999999999999</v>
      </c>
      <c r="C42">
        <v>0.438</v>
      </c>
      <c r="D42">
        <v>0.26100000000000001</v>
      </c>
      <c r="E42">
        <v>0.46200000000000002</v>
      </c>
      <c r="F42">
        <v>41</v>
      </c>
    </row>
    <row r="43" spans="1:6">
      <c r="A43" t="s">
        <v>44</v>
      </c>
      <c r="B43">
        <v>0.46700000000000003</v>
      </c>
      <c r="C43">
        <v>0.40400000000000003</v>
      </c>
      <c r="D43">
        <v>0.22900000000000001</v>
      </c>
      <c r="E43">
        <v>0.45400000000000001</v>
      </c>
      <c r="F43">
        <v>42</v>
      </c>
    </row>
    <row r="44" spans="1:6">
      <c r="A44" t="s">
        <v>50</v>
      </c>
      <c r="B44">
        <v>0.46700000000000003</v>
      </c>
      <c r="C44">
        <v>0.40500000000000003</v>
      </c>
      <c r="D44">
        <v>0.23100000000000001</v>
      </c>
      <c r="E44">
        <v>0.45400000000000001</v>
      </c>
      <c r="F44">
        <v>43</v>
      </c>
    </row>
    <row r="45" spans="1:6">
      <c r="A45" t="s">
        <v>22</v>
      </c>
      <c r="B45">
        <v>0.46899999999999997</v>
      </c>
      <c r="C45">
        <v>0.40100000000000002</v>
      </c>
      <c r="D45">
        <v>0.217</v>
      </c>
      <c r="E45">
        <v>0.44900000000000001</v>
      </c>
      <c r="F45">
        <v>44</v>
      </c>
    </row>
    <row r="46" spans="1:6">
      <c r="A46" t="s">
        <v>94</v>
      </c>
      <c r="B46">
        <v>0.46600000000000003</v>
      </c>
      <c r="C46">
        <v>0.39800000000000002</v>
      </c>
      <c r="D46">
        <v>0.216</v>
      </c>
      <c r="E46">
        <v>0.44700000000000001</v>
      </c>
      <c r="F46">
        <v>45</v>
      </c>
    </row>
    <row r="47" spans="1:6">
      <c r="A47" t="s">
        <v>16</v>
      </c>
      <c r="B47">
        <v>0.46200000000000002</v>
      </c>
      <c r="C47">
        <v>0.39800000000000002</v>
      </c>
      <c r="D47">
        <v>0.215</v>
      </c>
      <c r="E47">
        <v>0.44500000000000001</v>
      </c>
      <c r="F47">
        <v>46</v>
      </c>
    </row>
    <row r="48" spans="1:6">
      <c r="A48" t="s">
        <v>48</v>
      </c>
      <c r="B48">
        <v>2.9000000000000001E-2</v>
      </c>
      <c r="C48">
        <v>0.13900000000000001</v>
      </c>
      <c r="D48">
        <v>5.0999999999999997E-2</v>
      </c>
      <c r="E48">
        <v>2.1999999999999999E-2</v>
      </c>
      <c r="F48">
        <v>47</v>
      </c>
    </row>
    <row r="49" spans="1:6">
      <c r="A49" t="s">
        <v>24</v>
      </c>
      <c r="B49">
        <v>0.01</v>
      </c>
      <c r="C49">
        <v>1.0999999999999999E-2</v>
      </c>
      <c r="D49">
        <v>4.0000000000000001E-3</v>
      </c>
      <c r="E49">
        <v>6.0000000000000001E-3</v>
      </c>
      <c r="F49">
        <v>48</v>
      </c>
    </row>
    <row r="50" spans="1:6">
      <c r="A50" t="s">
        <v>15</v>
      </c>
      <c r="B50">
        <v>0.73799999999999999</v>
      </c>
      <c r="C50">
        <v>0.75600000000000001</v>
      </c>
      <c r="D50">
        <v>0.44500000000000001</v>
      </c>
      <c r="E50">
        <v>0</v>
      </c>
      <c r="F50">
        <v>49</v>
      </c>
    </row>
    <row r="51" spans="1:6">
      <c r="A51" t="s">
        <v>17</v>
      </c>
      <c r="B51">
        <v>0.46700000000000003</v>
      </c>
      <c r="C51">
        <v>0.42099999999999999</v>
      </c>
      <c r="D51">
        <v>0.17799999999999999</v>
      </c>
      <c r="E51">
        <v>0</v>
      </c>
      <c r="F51">
        <v>50</v>
      </c>
    </row>
    <row r="52" spans="1:6">
      <c r="A52" t="s">
        <v>18</v>
      </c>
      <c r="B52">
        <v>0</v>
      </c>
      <c r="C52">
        <v>0</v>
      </c>
      <c r="D52">
        <v>0</v>
      </c>
      <c r="E52">
        <v>0</v>
      </c>
      <c r="F52">
        <v>51</v>
      </c>
    </row>
    <row r="53" spans="1:6">
      <c r="A53" t="s">
        <v>19</v>
      </c>
      <c r="B53">
        <v>0.81299999999999994</v>
      </c>
      <c r="C53">
        <v>0.84499999999999997</v>
      </c>
      <c r="D53">
        <v>0.50600000000000001</v>
      </c>
      <c r="E53">
        <v>0</v>
      </c>
      <c r="F53">
        <v>52</v>
      </c>
    </row>
    <row r="54" spans="1:6">
      <c r="A54" t="s">
        <v>21</v>
      </c>
      <c r="B54">
        <v>0.752</v>
      </c>
      <c r="C54">
        <v>0.77400000000000002</v>
      </c>
      <c r="D54">
        <v>0.46100000000000002</v>
      </c>
      <c r="E54">
        <v>0</v>
      </c>
      <c r="F54">
        <v>53</v>
      </c>
    </row>
    <row r="55" spans="1:6">
      <c r="A55" t="s">
        <v>23</v>
      </c>
      <c r="B55">
        <v>0.50800000000000001</v>
      </c>
      <c r="C55">
        <v>0.47</v>
      </c>
      <c r="D55">
        <v>0.20100000000000001</v>
      </c>
      <c r="E55">
        <v>0</v>
      </c>
      <c r="F55">
        <v>54</v>
      </c>
    </row>
    <row r="56" spans="1:6">
      <c r="A56" t="s">
        <v>25</v>
      </c>
      <c r="B56">
        <v>0.81200000000000006</v>
      </c>
      <c r="C56">
        <v>0.84699999999999998</v>
      </c>
      <c r="D56">
        <v>0.50600000000000001</v>
      </c>
      <c r="E56">
        <v>0</v>
      </c>
      <c r="F56">
        <v>55</v>
      </c>
    </row>
    <row r="57" spans="1:6">
      <c r="A57" t="s">
        <v>27</v>
      </c>
      <c r="B57">
        <v>0.74399999999999999</v>
      </c>
      <c r="C57">
        <v>0.76200000000000001</v>
      </c>
      <c r="D57">
        <v>0.44400000000000001</v>
      </c>
      <c r="E57">
        <v>0</v>
      </c>
      <c r="F57">
        <v>56</v>
      </c>
    </row>
    <row r="58" spans="1:6">
      <c r="A58" t="s">
        <v>29</v>
      </c>
      <c r="B58">
        <v>0.45900000000000002</v>
      </c>
      <c r="C58">
        <v>0.39300000000000002</v>
      </c>
      <c r="D58">
        <v>0.16200000000000001</v>
      </c>
      <c r="E58">
        <v>0</v>
      </c>
      <c r="F58">
        <v>57</v>
      </c>
    </row>
    <row r="59" spans="1:6">
      <c r="A59" t="s">
        <v>30</v>
      </c>
      <c r="B59">
        <v>0</v>
      </c>
      <c r="C59">
        <v>0</v>
      </c>
      <c r="D59">
        <v>0</v>
      </c>
      <c r="E59">
        <v>0</v>
      </c>
      <c r="F59">
        <v>58</v>
      </c>
    </row>
    <row r="60" spans="1:6">
      <c r="A60" t="s">
        <v>31</v>
      </c>
      <c r="B60">
        <v>0.81499999999999995</v>
      </c>
      <c r="C60">
        <v>0.84599999999999997</v>
      </c>
      <c r="D60">
        <v>0.50800000000000001</v>
      </c>
      <c r="E60">
        <v>0</v>
      </c>
      <c r="F60">
        <v>59</v>
      </c>
    </row>
    <row r="61" spans="1:6">
      <c r="A61" t="s">
        <v>33</v>
      </c>
      <c r="B61">
        <v>0.77700000000000002</v>
      </c>
      <c r="C61">
        <v>0.80300000000000005</v>
      </c>
      <c r="D61">
        <v>0.48299999999999998</v>
      </c>
      <c r="E61">
        <v>0</v>
      </c>
      <c r="F61">
        <v>60</v>
      </c>
    </row>
    <row r="62" spans="1:6">
      <c r="A62" t="s">
        <v>35</v>
      </c>
      <c r="B62">
        <v>0.45100000000000001</v>
      </c>
      <c r="C62">
        <v>0.38700000000000001</v>
      </c>
      <c r="D62">
        <v>0.159</v>
      </c>
      <c r="E62">
        <v>0</v>
      </c>
      <c r="F62">
        <v>61</v>
      </c>
    </row>
    <row r="63" spans="1:6">
      <c r="A63" t="s">
        <v>36</v>
      </c>
      <c r="B63">
        <v>0</v>
      </c>
      <c r="C63">
        <v>0</v>
      </c>
      <c r="D63">
        <v>0</v>
      </c>
      <c r="E63">
        <v>0</v>
      </c>
      <c r="F63">
        <v>62</v>
      </c>
    </row>
    <row r="64" spans="1:6">
      <c r="A64" t="s">
        <v>37</v>
      </c>
      <c r="B64">
        <v>0.81100000000000005</v>
      </c>
      <c r="C64">
        <v>0.84699999999999998</v>
      </c>
      <c r="D64">
        <v>0.504</v>
      </c>
      <c r="E64">
        <v>0</v>
      </c>
      <c r="F64">
        <v>63</v>
      </c>
    </row>
    <row r="65" spans="1:6">
      <c r="A65" t="s">
        <v>39</v>
      </c>
      <c r="B65">
        <v>0.77500000000000002</v>
      </c>
      <c r="C65">
        <v>0.80800000000000005</v>
      </c>
      <c r="D65">
        <v>0.47899999999999998</v>
      </c>
      <c r="E65">
        <v>0</v>
      </c>
      <c r="F65">
        <v>64</v>
      </c>
    </row>
    <row r="66" spans="1:6">
      <c r="A66" t="s">
        <v>41</v>
      </c>
      <c r="B66">
        <v>0.499</v>
      </c>
      <c r="C66">
        <v>0.46400000000000002</v>
      </c>
      <c r="D66">
        <v>0.20799999999999999</v>
      </c>
      <c r="E66">
        <v>0</v>
      </c>
      <c r="F66">
        <v>65</v>
      </c>
    </row>
    <row r="67" spans="1:6">
      <c r="A67" t="s">
        <v>42</v>
      </c>
      <c r="B67">
        <v>0</v>
      </c>
      <c r="C67">
        <v>0</v>
      </c>
      <c r="D67">
        <v>0</v>
      </c>
      <c r="E67">
        <v>0</v>
      </c>
      <c r="F67">
        <v>66</v>
      </c>
    </row>
    <row r="68" spans="1:6">
      <c r="A68" t="s">
        <v>43</v>
      </c>
      <c r="B68">
        <v>0.79600000000000004</v>
      </c>
      <c r="C68">
        <v>0.83599999999999997</v>
      </c>
      <c r="D68">
        <v>0.499</v>
      </c>
      <c r="E68">
        <v>0</v>
      </c>
      <c r="F68">
        <v>67</v>
      </c>
    </row>
    <row r="69" spans="1:6">
      <c r="A69" t="s">
        <v>45</v>
      </c>
      <c r="B69">
        <v>0.76100000000000001</v>
      </c>
      <c r="C69">
        <v>0.79100000000000004</v>
      </c>
      <c r="D69">
        <v>0.46800000000000003</v>
      </c>
      <c r="E69">
        <v>0</v>
      </c>
      <c r="F69">
        <v>68</v>
      </c>
    </row>
    <row r="70" spans="1:6">
      <c r="A70" t="s">
        <v>47</v>
      </c>
      <c r="B70">
        <v>0.436</v>
      </c>
      <c r="C70">
        <v>0.38300000000000001</v>
      </c>
      <c r="D70">
        <v>0.158</v>
      </c>
      <c r="E70">
        <v>0</v>
      </c>
      <c r="F70">
        <v>69</v>
      </c>
    </row>
    <row r="71" spans="1:6">
      <c r="A71" t="s">
        <v>49</v>
      </c>
      <c r="B71">
        <v>0.81</v>
      </c>
      <c r="C71">
        <v>0.84899999999999998</v>
      </c>
      <c r="D71">
        <v>0.51400000000000001</v>
      </c>
      <c r="E71">
        <v>0</v>
      </c>
      <c r="F71">
        <v>70</v>
      </c>
    </row>
  </sheetData>
  <autoFilter ref="A1:E71">
    <sortState ref="A2:E56">
      <sortCondition descending="1" ref="D6"/>
    </sortState>
  </autoFilter>
  <sortState ref="A2:F71">
    <sortCondition descending="1" ref="E5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95</v>
      </c>
      <c r="B2">
        <v>0.94199999999999995</v>
      </c>
      <c r="C2">
        <v>0.97199999999999998</v>
      </c>
      <c r="D2">
        <v>0.79400000000000004</v>
      </c>
      <c r="E2">
        <v>0.90800000000000003</v>
      </c>
      <c r="F2">
        <v>1</v>
      </c>
    </row>
    <row r="3" spans="1:6">
      <c r="A3" t="s">
        <v>99</v>
      </c>
      <c r="B3">
        <v>0.94699999999999995</v>
      </c>
      <c r="C3">
        <v>0.97299999999999998</v>
      </c>
      <c r="D3">
        <v>0.80500000000000005</v>
      </c>
      <c r="E3">
        <v>0.90700000000000003</v>
      </c>
      <c r="F3">
        <v>2</v>
      </c>
    </row>
    <row r="4" spans="1:6">
      <c r="A4" t="s">
        <v>103</v>
      </c>
      <c r="B4">
        <v>0.94499999999999995</v>
      </c>
      <c r="C4">
        <v>0.97399999999999998</v>
      </c>
      <c r="D4">
        <v>0.80800000000000005</v>
      </c>
      <c r="E4">
        <v>0.90500000000000003</v>
      </c>
      <c r="F4">
        <v>3</v>
      </c>
    </row>
    <row r="5" spans="1:6">
      <c r="A5" t="s">
        <v>97</v>
      </c>
      <c r="B5">
        <v>0.93600000000000005</v>
      </c>
      <c r="C5">
        <v>0.95599999999999996</v>
      </c>
      <c r="D5">
        <v>0.74299999999999999</v>
      </c>
      <c r="E5">
        <v>0.89200000000000002</v>
      </c>
      <c r="F5">
        <v>4</v>
      </c>
    </row>
    <row r="6" spans="1:6">
      <c r="A6" t="s">
        <v>105</v>
      </c>
      <c r="B6">
        <v>0.92500000000000004</v>
      </c>
      <c r="C6">
        <v>0.94899999999999995</v>
      </c>
      <c r="D6">
        <v>0.72699999999999998</v>
      </c>
      <c r="E6">
        <v>0.88300000000000001</v>
      </c>
      <c r="F6">
        <v>5</v>
      </c>
    </row>
    <row r="7" spans="1:6">
      <c r="A7" t="s">
        <v>101</v>
      </c>
      <c r="B7">
        <v>0.91900000000000004</v>
      </c>
      <c r="C7">
        <v>0.94299999999999995</v>
      </c>
      <c r="D7">
        <v>0.71</v>
      </c>
      <c r="E7">
        <v>0.88100000000000001</v>
      </c>
      <c r="F7">
        <v>6</v>
      </c>
    </row>
    <row r="8" spans="1:6">
      <c r="A8" t="s">
        <v>91</v>
      </c>
      <c r="B8">
        <v>0.91800000000000004</v>
      </c>
      <c r="C8">
        <v>0.94299999999999995</v>
      </c>
      <c r="D8">
        <v>0.71</v>
      </c>
      <c r="E8">
        <v>0.879</v>
      </c>
      <c r="F8">
        <v>7</v>
      </c>
    </row>
    <row r="9" spans="1:6">
      <c r="A9" t="s">
        <v>96</v>
      </c>
      <c r="B9">
        <v>0.90300000000000002</v>
      </c>
      <c r="C9">
        <v>0.94599999999999995</v>
      </c>
      <c r="D9">
        <v>0.75</v>
      </c>
      <c r="E9">
        <v>0.872</v>
      </c>
      <c r="F9">
        <v>8</v>
      </c>
    </row>
    <row r="10" spans="1:6">
      <c r="A10" t="s">
        <v>104</v>
      </c>
      <c r="B10">
        <v>0.88900000000000001</v>
      </c>
      <c r="C10">
        <v>0.92700000000000005</v>
      </c>
      <c r="D10">
        <v>0.71799999999999997</v>
      </c>
      <c r="E10">
        <v>0.85599999999999998</v>
      </c>
      <c r="F10">
        <v>9</v>
      </c>
    </row>
    <row r="11" spans="1:6">
      <c r="A11" t="s">
        <v>20</v>
      </c>
      <c r="B11">
        <v>0.88400000000000001</v>
      </c>
      <c r="C11">
        <v>0.92500000000000004</v>
      </c>
      <c r="D11">
        <v>0.69599999999999995</v>
      </c>
      <c r="E11">
        <v>0.85499999999999998</v>
      </c>
      <c r="F11">
        <v>10</v>
      </c>
    </row>
    <row r="12" spans="1:6">
      <c r="A12" t="s">
        <v>46</v>
      </c>
      <c r="B12">
        <v>0.877</v>
      </c>
      <c r="C12">
        <v>0.92800000000000005</v>
      </c>
      <c r="D12">
        <v>0.70899999999999996</v>
      </c>
      <c r="E12">
        <v>0.85499999999999998</v>
      </c>
      <c r="F12">
        <v>11</v>
      </c>
    </row>
    <row r="13" spans="1:6">
      <c r="A13" t="s">
        <v>32</v>
      </c>
      <c r="B13">
        <v>0.88</v>
      </c>
      <c r="C13">
        <v>0.92400000000000004</v>
      </c>
      <c r="D13">
        <v>0.7</v>
      </c>
      <c r="E13">
        <v>0.85299999999999998</v>
      </c>
      <c r="F13">
        <v>12</v>
      </c>
    </row>
    <row r="14" spans="1:6">
      <c r="A14" t="s">
        <v>98</v>
      </c>
      <c r="B14">
        <v>0.88100000000000001</v>
      </c>
      <c r="C14">
        <v>0.93200000000000005</v>
      </c>
      <c r="D14">
        <v>0.72099999999999997</v>
      </c>
      <c r="E14">
        <v>0.85</v>
      </c>
      <c r="F14">
        <v>13</v>
      </c>
    </row>
    <row r="15" spans="1:6">
      <c r="A15" t="s">
        <v>102</v>
      </c>
      <c r="B15">
        <v>0.88</v>
      </c>
      <c r="C15">
        <v>0.92400000000000004</v>
      </c>
      <c r="D15">
        <v>0.70199999999999996</v>
      </c>
      <c r="E15">
        <v>0.84699999999999998</v>
      </c>
      <c r="F15">
        <v>14</v>
      </c>
    </row>
    <row r="16" spans="1:6">
      <c r="A16" t="s">
        <v>100</v>
      </c>
      <c r="B16">
        <v>0.86799999999999999</v>
      </c>
      <c r="C16">
        <v>0.91300000000000003</v>
      </c>
      <c r="D16">
        <v>0.68700000000000006</v>
      </c>
      <c r="E16">
        <v>0.84</v>
      </c>
      <c r="F16">
        <v>15</v>
      </c>
    </row>
    <row r="17" spans="1:6">
      <c r="A17" t="s">
        <v>92</v>
      </c>
      <c r="B17">
        <v>0.872</v>
      </c>
      <c r="C17">
        <v>0.91700000000000004</v>
      </c>
      <c r="D17">
        <v>0.68700000000000006</v>
      </c>
      <c r="E17">
        <v>0.83899999999999997</v>
      </c>
      <c r="F17">
        <v>16</v>
      </c>
    </row>
    <row r="18" spans="1:6">
      <c r="A18" t="s">
        <v>26</v>
      </c>
      <c r="B18">
        <v>0.872</v>
      </c>
      <c r="C18">
        <v>0.91700000000000004</v>
      </c>
      <c r="D18">
        <v>0.68700000000000006</v>
      </c>
      <c r="E18">
        <v>0.83899999999999997</v>
      </c>
      <c r="F18">
        <v>17</v>
      </c>
    </row>
    <row r="19" spans="1:6">
      <c r="A19" t="s">
        <v>38</v>
      </c>
      <c r="B19">
        <v>0.84799999999999998</v>
      </c>
      <c r="C19">
        <v>0.89400000000000002</v>
      </c>
      <c r="D19">
        <v>0.66100000000000003</v>
      </c>
      <c r="E19">
        <v>0.81799999999999995</v>
      </c>
      <c r="F19">
        <v>18</v>
      </c>
    </row>
    <row r="20" spans="1:6">
      <c r="A20" t="s">
        <v>40</v>
      </c>
      <c r="B20">
        <v>0.84399999999999997</v>
      </c>
      <c r="C20">
        <v>0.89400000000000002</v>
      </c>
      <c r="D20">
        <v>0.66700000000000004</v>
      </c>
      <c r="E20">
        <v>0.81399999999999995</v>
      </c>
      <c r="F20">
        <v>19</v>
      </c>
    </row>
    <row r="21" spans="1:6">
      <c r="A21" t="s">
        <v>93</v>
      </c>
      <c r="B21">
        <v>0.82899999999999996</v>
      </c>
      <c r="C21">
        <v>0.875</v>
      </c>
      <c r="D21">
        <v>0.64500000000000002</v>
      </c>
      <c r="E21">
        <v>0.80900000000000005</v>
      </c>
      <c r="F21">
        <v>20</v>
      </c>
    </row>
    <row r="22" spans="1:6">
      <c r="A22" t="s">
        <v>94</v>
      </c>
      <c r="B22">
        <v>0.82099999999999995</v>
      </c>
      <c r="C22">
        <v>0.86099999999999999</v>
      </c>
      <c r="D22">
        <v>0.61099999999999999</v>
      </c>
      <c r="E22">
        <v>0.79800000000000004</v>
      </c>
      <c r="F22">
        <v>21</v>
      </c>
    </row>
    <row r="23" spans="1:6">
      <c r="A23" t="s">
        <v>34</v>
      </c>
      <c r="B23">
        <v>0.80500000000000005</v>
      </c>
      <c r="C23">
        <v>0.86</v>
      </c>
      <c r="D23">
        <v>0.61199999999999999</v>
      </c>
      <c r="E23">
        <v>0.78</v>
      </c>
      <c r="F23">
        <v>22</v>
      </c>
    </row>
    <row r="24" spans="1:6">
      <c r="A24" t="s">
        <v>28</v>
      </c>
      <c r="B24">
        <v>0.78800000000000003</v>
      </c>
      <c r="C24">
        <v>0.83899999999999997</v>
      </c>
      <c r="D24">
        <v>0.58699999999999997</v>
      </c>
      <c r="E24">
        <v>0.76400000000000001</v>
      </c>
      <c r="F24">
        <v>23</v>
      </c>
    </row>
    <row r="25" spans="1:6">
      <c r="A25" t="s">
        <v>22</v>
      </c>
      <c r="B25">
        <v>0.76</v>
      </c>
      <c r="C25">
        <v>0.79400000000000004</v>
      </c>
      <c r="D25">
        <v>0.54200000000000004</v>
      </c>
      <c r="E25">
        <v>0.74299999999999999</v>
      </c>
      <c r="F25">
        <v>24</v>
      </c>
    </row>
    <row r="26" spans="1:6">
      <c r="A26" t="s">
        <v>16</v>
      </c>
      <c r="B26">
        <v>0.72699999999999998</v>
      </c>
      <c r="C26">
        <v>0.76800000000000002</v>
      </c>
      <c r="D26">
        <v>0.50900000000000001</v>
      </c>
      <c r="E26">
        <v>0.71199999999999997</v>
      </c>
      <c r="F26">
        <v>25</v>
      </c>
    </row>
    <row r="27" spans="1:6">
      <c r="A27" t="s">
        <v>50</v>
      </c>
      <c r="B27">
        <v>0.69699999999999995</v>
      </c>
      <c r="C27">
        <v>0.72399999999999998</v>
      </c>
      <c r="D27">
        <v>0.501</v>
      </c>
      <c r="E27">
        <v>0.66800000000000004</v>
      </c>
      <c r="F27">
        <v>26</v>
      </c>
    </row>
    <row r="28" spans="1:6">
      <c r="A28" t="s">
        <v>44</v>
      </c>
      <c r="B28">
        <v>0.66600000000000004</v>
      </c>
      <c r="C28">
        <v>0.69199999999999995</v>
      </c>
      <c r="D28">
        <v>0.48099999999999998</v>
      </c>
      <c r="E28">
        <v>0.65700000000000003</v>
      </c>
      <c r="F28">
        <v>27</v>
      </c>
    </row>
    <row r="29" spans="1:6">
      <c r="A29" t="s">
        <v>53</v>
      </c>
      <c r="B29">
        <v>0.52500000000000002</v>
      </c>
      <c r="C29">
        <v>0.47299999999999998</v>
      </c>
      <c r="D29">
        <v>0.28799999999999998</v>
      </c>
      <c r="E29">
        <v>0.51100000000000001</v>
      </c>
      <c r="F29">
        <v>28</v>
      </c>
    </row>
    <row r="30" spans="1:6">
      <c r="A30" t="s">
        <v>56</v>
      </c>
      <c r="B30">
        <v>0.51900000000000002</v>
      </c>
      <c r="C30">
        <v>0.46100000000000002</v>
      </c>
      <c r="D30">
        <v>0.27600000000000002</v>
      </c>
      <c r="E30">
        <v>0.505</v>
      </c>
      <c r="F30">
        <v>29</v>
      </c>
    </row>
    <row r="31" spans="1:6">
      <c r="A31" t="s">
        <v>11</v>
      </c>
      <c r="B31">
        <v>0.52</v>
      </c>
      <c r="C31">
        <v>0.47</v>
      </c>
      <c r="D31">
        <v>0.28899999999999998</v>
      </c>
      <c r="E31">
        <v>0.504</v>
      </c>
      <c r="F31">
        <v>30</v>
      </c>
    </row>
    <row r="32" spans="1:6">
      <c r="A32" t="s">
        <v>6</v>
      </c>
      <c r="B32">
        <v>0.51400000000000001</v>
      </c>
      <c r="C32">
        <v>0.45600000000000002</v>
      </c>
      <c r="D32">
        <v>0.27400000000000002</v>
      </c>
      <c r="E32">
        <v>0.499</v>
      </c>
      <c r="F32">
        <v>31</v>
      </c>
    </row>
    <row r="33" spans="1:6">
      <c r="A33" t="s">
        <v>57</v>
      </c>
      <c r="B33">
        <v>0.51200000000000001</v>
      </c>
      <c r="C33">
        <v>0.46</v>
      </c>
      <c r="D33">
        <v>0.27900000000000003</v>
      </c>
      <c r="E33">
        <v>0.49</v>
      </c>
      <c r="F33">
        <v>32</v>
      </c>
    </row>
    <row r="34" spans="1:6">
      <c r="A34" t="s">
        <v>7</v>
      </c>
      <c r="B34">
        <v>0.51100000000000001</v>
      </c>
      <c r="C34">
        <v>0.46100000000000002</v>
      </c>
      <c r="D34">
        <v>0.28000000000000003</v>
      </c>
      <c r="E34">
        <v>0.48899999999999999</v>
      </c>
      <c r="F34">
        <v>33</v>
      </c>
    </row>
    <row r="35" spans="1:6">
      <c r="A35" t="s">
        <v>9</v>
      </c>
      <c r="B35">
        <v>0.50700000000000001</v>
      </c>
      <c r="C35">
        <v>0.45900000000000002</v>
      </c>
      <c r="D35">
        <v>0.28100000000000003</v>
      </c>
      <c r="E35">
        <v>0.48899999999999999</v>
      </c>
      <c r="F35">
        <v>34</v>
      </c>
    </row>
    <row r="36" spans="1:6">
      <c r="A36" t="s">
        <v>13</v>
      </c>
      <c r="B36">
        <v>0.50900000000000001</v>
      </c>
      <c r="C36">
        <v>0.45600000000000002</v>
      </c>
      <c r="D36">
        <v>0.27800000000000002</v>
      </c>
      <c r="E36">
        <v>0.48799999999999999</v>
      </c>
      <c r="F36">
        <v>35</v>
      </c>
    </row>
    <row r="37" spans="1:6">
      <c r="A37" t="s">
        <v>8</v>
      </c>
      <c r="B37">
        <v>0.498</v>
      </c>
      <c r="C37">
        <v>0.44400000000000001</v>
      </c>
      <c r="D37">
        <v>0.26300000000000001</v>
      </c>
      <c r="E37">
        <v>0.48399999999999999</v>
      </c>
      <c r="F37">
        <v>36</v>
      </c>
    </row>
    <row r="38" spans="1:6">
      <c r="A38" t="s">
        <v>10</v>
      </c>
      <c r="B38">
        <v>0.496</v>
      </c>
      <c r="C38">
        <v>0.441</v>
      </c>
      <c r="D38">
        <v>0.26200000000000001</v>
      </c>
      <c r="E38">
        <v>0.48199999999999998</v>
      </c>
      <c r="F38">
        <v>37</v>
      </c>
    </row>
    <row r="39" spans="1:6">
      <c r="A39" t="s">
        <v>14</v>
      </c>
      <c r="B39">
        <v>0.495</v>
      </c>
      <c r="C39">
        <v>0.439</v>
      </c>
      <c r="D39">
        <v>0.26</v>
      </c>
      <c r="E39">
        <v>0.48199999999999998</v>
      </c>
      <c r="F39">
        <v>38</v>
      </c>
    </row>
    <row r="40" spans="1:6">
      <c r="A40" t="s">
        <v>59</v>
      </c>
      <c r="B40">
        <v>0.49199999999999999</v>
      </c>
      <c r="C40">
        <v>0.437</v>
      </c>
      <c r="D40">
        <v>0.25600000000000001</v>
      </c>
      <c r="E40">
        <v>0.47899999999999998</v>
      </c>
      <c r="F40">
        <v>39</v>
      </c>
    </row>
    <row r="41" spans="1:6">
      <c r="A41" t="s">
        <v>12</v>
      </c>
      <c r="B41">
        <v>0.49</v>
      </c>
      <c r="C41">
        <v>0.434</v>
      </c>
      <c r="D41">
        <v>0.25700000000000001</v>
      </c>
      <c r="E41">
        <v>0.47699999999999998</v>
      </c>
      <c r="F41">
        <v>40</v>
      </c>
    </row>
    <row r="42" spans="1:6">
      <c r="A42" t="s">
        <v>52</v>
      </c>
      <c r="B42">
        <v>0.48799999999999999</v>
      </c>
      <c r="C42">
        <v>0.42799999999999999</v>
      </c>
      <c r="D42">
        <v>0.23799999999999999</v>
      </c>
      <c r="E42">
        <v>0.46500000000000002</v>
      </c>
      <c r="F42">
        <v>41</v>
      </c>
    </row>
    <row r="43" spans="1:6">
      <c r="A43" t="s">
        <v>55</v>
      </c>
      <c r="B43">
        <v>0.48799999999999999</v>
      </c>
      <c r="C43">
        <v>0.42799999999999999</v>
      </c>
      <c r="D43">
        <v>0.23799999999999999</v>
      </c>
      <c r="E43">
        <v>0.46500000000000002</v>
      </c>
      <c r="F43">
        <v>42</v>
      </c>
    </row>
    <row r="44" spans="1:6">
      <c r="A44" t="s">
        <v>58</v>
      </c>
      <c r="B44">
        <v>0.48799999999999999</v>
      </c>
      <c r="C44">
        <v>0.42799999999999999</v>
      </c>
      <c r="D44">
        <v>0.23799999999999999</v>
      </c>
      <c r="E44">
        <v>0.46500000000000002</v>
      </c>
      <c r="F44">
        <v>43</v>
      </c>
    </row>
    <row r="45" spans="1:6">
      <c r="A45" t="s">
        <v>5</v>
      </c>
      <c r="B45">
        <v>0.48699999999999999</v>
      </c>
      <c r="C45">
        <v>0.432</v>
      </c>
      <c r="D45">
        <v>0.25700000000000001</v>
      </c>
      <c r="E45">
        <v>0.46300000000000002</v>
      </c>
      <c r="F45">
        <v>44</v>
      </c>
    </row>
    <row r="46" spans="1:6">
      <c r="A46" t="s">
        <v>51</v>
      </c>
      <c r="B46">
        <v>0.48399999999999999</v>
      </c>
      <c r="C46">
        <v>0.41899999999999998</v>
      </c>
      <c r="D46">
        <v>0.22800000000000001</v>
      </c>
      <c r="E46">
        <v>0.46100000000000002</v>
      </c>
      <c r="F46">
        <v>45</v>
      </c>
    </row>
    <row r="47" spans="1:6">
      <c r="A47" t="s">
        <v>54</v>
      </c>
      <c r="B47">
        <v>0.47499999999999998</v>
      </c>
      <c r="C47">
        <v>0.41499999999999998</v>
      </c>
      <c r="D47">
        <v>0.24399999999999999</v>
      </c>
      <c r="E47">
        <v>0.44800000000000001</v>
      </c>
      <c r="F47">
        <v>46</v>
      </c>
    </row>
    <row r="48" spans="1:6">
      <c r="A48" t="s">
        <v>48</v>
      </c>
      <c r="B48">
        <v>1.7999999999999999E-2</v>
      </c>
      <c r="C48">
        <v>0.17599999999999999</v>
      </c>
      <c r="D48">
        <v>7.4999999999999997E-2</v>
      </c>
      <c r="E48">
        <v>1.4999999999999999E-2</v>
      </c>
      <c r="F48">
        <v>47</v>
      </c>
    </row>
    <row r="49" spans="1:6">
      <c r="A49" t="s">
        <v>24</v>
      </c>
      <c r="B49">
        <v>8.9999999999999993E-3</v>
      </c>
      <c r="C49">
        <v>1.9E-2</v>
      </c>
      <c r="D49">
        <v>7.0000000000000001E-3</v>
      </c>
      <c r="E49">
        <v>6.0000000000000001E-3</v>
      </c>
      <c r="F49">
        <v>48</v>
      </c>
    </row>
    <row r="50" spans="1:6">
      <c r="A50" t="s">
        <v>15</v>
      </c>
      <c r="B50">
        <v>0.875</v>
      </c>
      <c r="C50">
        <v>0.91400000000000003</v>
      </c>
      <c r="D50">
        <v>0.65</v>
      </c>
      <c r="E50">
        <v>0</v>
      </c>
      <c r="F50">
        <v>49</v>
      </c>
    </row>
    <row r="51" spans="1:6">
      <c r="A51" t="s">
        <v>17</v>
      </c>
      <c r="B51">
        <v>0.53400000000000003</v>
      </c>
      <c r="C51">
        <v>0.504</v>
      </c>
      <c r="D51">
        <v>0.24199999999999999</v>
      </c>
      <c r="E51">
        <v>0</v>
      </c>
      <c r="F51">
        <v>50</v>
      </c>
    </row>
    <row r="52" spans="1:6">
      <c r="A52" t="s">
        <v>18</v>
      </c>
      <c r="B52">
        <v>0</v>
      </c>
      <c r="C52">
        <v>0</v>
      </c>
      <c r="D52">
        <v>0</v>
      </c>
      <c r="E52">
        <v>0</v>
      </c>
      <c r="F52">
        <v>51</v>
      </c>
    </row>
    <row r="53" spans="1:6">
      <c r="A53" t="s">
        <v>19</v>
      </c>
      <c r="B53">
        <v>0.85699999999999998</v>
      </c>
      <c r="C53">
        <v>0.89100000000000001</v>
      </c>
      <c r="D53">
        <v>0.625</v>
      </c>
      <c r="E53">
        <v>0</v>
      </c>
      <c r="F53">
        <v>52</v>
      </c>
    </row>
    <row r="54" spans="1:6">
      <c r="A54" t="s">
        <v>21</v>
      </c>
      <c r="B54">
        <v>0.86399999999999999</v>
      </c>
      <c r="C54">
        <v>0.91600000000000004</v>
      </c>
      <c r="D54">
        <v>0.65500000000000003</v>
      </c>
      <c r="E54">
        <v>0</v>
      </c>
      <c r="F54">
        <v>53</v>
      </c>
    </row>
    <row r="55" spans="1:6">
      <c r="A55" t="s">
        <v>23</v>
      </c>
      <c r="B55">
        <v>0.58099999999999996</v>
      </c>
      <c r="C55">
        <v>0.56799999999999995</v>
      </c>
      <c r="D55">
        <v>0.28699999999999998</v>
      </c>
      <c r="E55">
        <v>0</v>
      </c>
      <c r="F55">
        <v>54</v>
      </c>
    </row>
    <row r="56" spans="1:6">
      <c r="A56" t="s">
        <v>25</v>
      </c>
      <c r="B56">
        <v>0.85199999999999998</v>
      </c>
      <c r="C56">
        <v>0.88500000000000001</v>
      </c>
      <c r="D56">
        <v>0.61299999999999999</v>
      </c>
      <c r="E56">
        <v>0</v>
      </c>
      <c r="F56">
        <v>55</v>
      </c>
    </row>
    <row r="57" spans="1:6">
      <c r="A57" t="s">
        <v>27</v>
      </c>
      <c r="B57">
        <v>0.879</v>
      </c>
      <c r="C57">
        <v>0.91200000000000003</v>
      </c>
      <c r="D57">
        <v>0.65500000000000003</v>
      </c>
      <c r="E57">
        <v>0</v>
      </c>
      <c r="F57">
        <v>56</v>
      </c>
    </row>
    <row r="58" spans="1:6">
      <c r="A58" s="4" t="s">
        <v>29</v>
      </c>
      <c r="B58">
        <v>0.51200000000000001</v>
      </c>
      <c r="C58">
        <v>0.495</v>
      </c>
      <c r="D58">
        <v>0.24</v>
      </c>
      <c r="E58">
        <v>0</v>
      </c>
      <c r="F58">
        <v>57</v>
      </c>
    </row>
    <row r="59" spans="1:6">
      <c r="A59" t="s">
        <v>30</v>
      </c>
      <c r="B59">
        <v>0</v>
      </c>
      <c r="C59">
        <v>0</v>
      </c>
      <c r="D59">
        <v>0</v>
      </c>
      <c r="E59">
        <v>0</v>
      </c>
      <c r="F59">
        <v>58</v>
      </c>
    </row>
    <row r="60" spans="1:6">
      <c r="A60" t="s">
        <v>31</v>
      </c>
      <c r="B60">
        <v>0.85899999999999999</v>
      </c>
      <c r="C60">
        <v>0.88800000000000001</v>
      </c>
      <c r="D60">
        <v>0.629</v>
      </c>
      <c r="E60">
        <v>0</v>
      </c>
      <c r="F60">
        <v>59</v>
      </c>
    </row>
    <row r="61" spans="1:6">
      <c r="A61" t="s">
        <v>33</v>
      </c>
      <c r="B61">
        <v>0.876</v>
      </c>
      <c r="C61">
        <v>0.91500000000000004</v>
      </c>
      <c r="D61">
        <v>0.66</v>
      </c>
      <c r="E61">
        <v>0</v>
      </c>
      <c r="F61">
        <v>60</v>
      </c>
    </row>
    <row r="62" spans="1:6">
      <c r="A62" t="s">
        <v>35</v>
      </c>
      <c r="B62">
        <v>0.53700000000000003</v>
      </c>
      <c r="C62">
        <v>0.51200000000000001</v>
      </c>
      <c r="D62">
        <v>0.246</v>
      </c>
      <c r="E62">
        <v>0</v>
      </c>
      <c r="F62">
        <v>61</v>
      </c>
    </row>
    <row r="63" spans="1:6">
      <c r="A63" t="s">
        <v>36</v>
      </c>
      <c r="B63">
        <v>0</v>
      </c>
      <c r="C63">
        <v>0</v>
      </c>
      <c r="D63">
        <v>0</v>
      </c>
      <c r="E63">
        <v>0</v>
      </c>
      <c r="F63">
        <v>62</v>
      </c>
    </row>
    <row r="64" spans="1:6">
      <c r="A64" t="s">
        <v>37</v>
      </c>
      <c r="B64">
        <v>0.84299999999999997</v>
      </c>
      <c r="C64">
        <v>0.877</v>
      </c>
      <c r="D64">
        <v>0.59899999999999998</v>
      </c>
      <c r="E64">
        <v>0</v>
      </c>
      <c r="F64">
        <v>63</v>
      </c>
    </row>
    <row r="65" spans="1:6">
      <c r="A65" t="s">
        <v>39</v>
      </c>
      <c r="B65">
        <v>0.83</v>
      </c>
      <c r="C65">
        <v>0.87</v>
      </c>
      <c r="D65">
        <v>0.59799999999999998</v>
      </c>
      <c r="E65">
        <v>0</v>
      </c>
      <c r="F65">
        <v>64</v>
      </c>
    </row>
    <row r="66" spans="1:6">
      <c r="A66" t="s">
        <v>41</v>
      </c>
      <c r="B66">
        <v>0.56599999999999995</v>
      </c>
      <c r="C66">
        <v>0.58499999999999996</v>
      </c>
      <c r="D66">
        <v>0.31</v>
      </c>
      <c r="E66">
        <v>0</v>
      </c>
      <c r="F66">
        <v>65</v>
      </c>
    </row>
    <row r="67" spans="1:6">
      <c r="A67" t="s">
        <v>42</v>
      </c>
      <c r="B67">
        <v>0</v>
      </c>
      <c r="C67">
        <v>0</v>
      </c>
      <c r="D67">
        <v>0</v>
      </c>
      <c r="E67">
        <v>0</v>
      </c>
      <c r="F67">
        <v>66</v>
      </c>
    </row>
    <row r="68" spans="1:6">
      <c r="A68" t="s">
        <v>43</v>
      </c>
      <c r="B68">
        <v>0.80500000000000005</v>
      </c>
      <c r="C68">
        <v>0.82899999999999996</v>
      </c>
      <c r="D68">
        <v>0.53400000000000003</v>
      </c>
      <c r="E68">
        <v>0</v>
      </c>
      <c r="F68">
        <v>67</v>
      </c>
    </row>
    <row r="69" spans="1:6">
      <c r="A69" t="s">
        <v>45</v>
      </c>
      <c r="B69">
        <v>0.83899999999999997</v>
      </c>
      <c r="C69">
        <v>0.878</v>
      </c>
      <c r="D69">
        <v>0.58699999999999997</v>
      </c>
      <c r="E69">
        <v>0</v>
      </c>
      <c r="F69">
        <v>68</v>
      </c>
    </row>
    <row r="70" spans="1:6">
      <c r="A70" t="s">
        <v>47</v>
      </c>
      <c r="B70">
        <v>0.48799999999999999</v>
      </c>
      <c r="C70">
        <v>0.45700000000000002</v>
      </c>
      <c r="D70">
        <v>0.20799999999999999</v>
      </c>
      <c r="E70">
        <v>0</v>
      </c>
      <c r="F70">
        <v>69</v>
      </c>
    </row>
    <row r="71" spans="1:6">
      <c r="A71" t="s">
        <v>49</v>
      </c>
      <c r="B71">
        <v>0.82199999999999995</v>
      </c>
      <c r="C71">
        <v>0.84399999999999997</v>
      </c>
      <c r="D71">
        <v>0.56100000000000005</v>
      </c>
      <c r="E71">
        <v>0</v>
      </c>
      <c r="F71">
        <v>70</v>
      </c>
    </row>
  </sheetData>
  <autoFilter ref="A1:E71">
    <sortState ref="A2:E56">
      <sortCondition descending="1" ref="D9"/>
    </sortState>
  </autoFilter>
  <sortState ref="A2:F71">
    <sortCondition descending="1" ref="E3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11</v>
      </c>
      <c r="B2">
        <v>0.85</v>
      </c>
      <c r="C2">
        <v>0.85499999999999998</v>
      </c>
      <c r="D2">
        <v>0.67</v>
      </c>
      <c r="E2">
        <v>0.84199999999999997</v>
      </c>
      <c r="F2">
        <v>1</v>
      </c>
    </row>
    <row r="3" spans="1:6">
      <c r="A3" t="s">
        <v>13</v>
      </c>
      <c r="B3">
        <v>0.84599999999999997</v>
      </c>
      <c r="C3">
        <v>0.84799999999999998</v>
      </c>
      <c r="D3">
        <v>0.65700000000000003</v>
      </c>
      <c r="E3">
        <v>0.83299999999999996</v>
      </c>
      <c r="F3">
        <v>2</v>
      </c>
    </row>
    <row r="4" spans="1:6">
      <c r="A4" t="s">
        <v>9</v>
      </c>
      <c r="B4">
        <v>0.83699999999999997</v>
      </c>
      <c r="C4">
        <v>0.84199999999999997</v>
      </c>
      <c r="D4">
        <v>0.65100000000000002</v>
      </c>
      <c r="E4">
        <v>0.82099999999999995</v>
      </c>
      <c r="F4">
        <v>3</v>
      </c>
    </row>
    <row r="5" spans="1:6">
      <c r="A5" t="s">
        <v>6</v>
      </c>
      <c r="B5">
        <v>0.82299999999999995</v>
      </c>
      <c r="C5">
        <v>0.82299999999999995</v>
      </c>
      <c r="D5">
        <v>0.624</v>
      </c>
      <c r="E5">
        <v>0.81</v>
      </c>
      <c r="F5">
        <v>4</v>
      </c>
    </row>
    <row r="6" spans="1:6">
      <c r="A6" t="s">
        <v>53</v>
      </c>
      <c r="B6">
        <v>0.81799999999999995</v>
      </c>
      <c r="C6">
        <v>0.82599999999999996</v>
      </c>
      <c r="D6">
        <v>0.624</v>
      </c>
      <c r="E6">
        <v>0.80500000000000005</v>
      </c>
      <c r="F6">
        <v>5</v>
      </c>
    </row>
    <row r="7" spans="1:6">
      <c r="A7" t="s">
        <v>7</v>
      </c>
      <c r="B7">
        <v>0.81599999999999995</v>
      </c>
      <c r="C7">
        <v>0.81899999999999995</v>
      </c>
      <c r="D7">
        <v>0.62</v>
      </c>
      <c r="E7">
        <v>0.79700000000000004</v>
      </c>
      <c r="F7">
        <v>6</v>
      </c>
    </row>
    <row r="8" spans="1:6">
      <c r="A8" t="s">
        <v>91</v>
      </c>
      <c r="B8">
        <v>0.80900000000000005</v>
      </c>
      <c r="C8">
        <v>0.79500000000000004</v>
      </c>
      <c r="D8">
        <v>0.56799999999999995</v>
      </c>
      <c r="E8">
        <v>0.79100000000000004</v>
      </c>
      <c r="F8">
        <v>7</v>
      </c>
    </row>
    <row r="9" spans="1:6">
      <c r="A9" t="s">
        <v>105</v>
      </c>
      <c r="B9">
        <v>0.81</v>
      </c>
      <c r="C9">
        <v>0.79500000000000004</v>
      </c>
      <c r="D9">
        <v>0.57199999999999995</v>
      </c>
      <c r="E9">
        <v>0.79100000000000004</v>
      </c>
      <c r="F9">
        <v>8</v>
      </c>
    </row>
    <row r="10" spans="1:6">
      <c r="A10" t="s">
        <v>97</v>
      </c>
      <c r="B10">
        <v>0.81</v>
      </c>
      <c r="C10">
        <v>0.79500000000000004</v>
      </c>
      <c r="D10">
        <v>0.57199999999999995</v>
      </c>
      <c r="E10">
        <v>0.78900000000000003</v>
      </c>
      <c r="F10">
        <v>9</v>
      </c>
    </row>
    <row r="11" spans="1:6">
      <c r="A11" t="s">
        <v>101</v>
      </c>
      <c r="B11">
        <v>0.81</v>
      </c>
      <c r="C11">
        <v>0.79900000000000004</v>
      </c>
      <c r="D11">
        <v>0.57199999999999995</v>
      </c>
      <c r="E11">
        <v>0.78900000000000003</v>
      </c>
      <c r="F11">
        <v>10</v>
      </c>
    </row>
    <row r="12" spans="1:6">
      <c r="A12" t="s">
        <v>56</v>
      </c>
      <c r="B12">
        <v>0.79100000000000004</v>
      </c>
      <c r="C12">
        <v>0.79400000000000004</v>
      </c>
      <c r="D12">
        <v>0.58699999999999997</v>
      </c>
      <c r="E12">
        <v>0.78100000000000003</v>
      </c>
      <c r="F12">
        <v>11</v>
      </c>
    </row>
    <row r="13" spans="1:6">
      <c r="A13" t="s">
        <v>57</v>
      </c>
      <c r="B13">
        <v>0.79600000000000004</v>
      </c>
      <c r="C13">
        <v>0.79100000000000004</v>
      </c>
      <c r="D13">
        <v>0.58299999999999996</v>
      </c>
      <c r="E13">
        <v>0.77400000000000002</v>
      </c>
      <c r="F13">
        <v>12</v>
      </c>
    </row>
    <row r="14" spans="1:6">
      <c r="A14" t="s">
        <v>5</v>
      </c>
      <c r="B14">
        <v>0.80100000000000005</v>
      </c>
      <c r="C14">
        <v>0.80500000000000005</v>
      </c>
      <c r="D14">
        <v>0.59799999999999998</v>
      </c>
      <c r="E14">
        <v>0.76100000000000001</v>
      </c>
      <c r="F14">
        <v>13</v>
      </c>
    </row>
    <row r="15" spans="1:6">
      <c r="A15" t="s">
        <v>14</v>
      </c>
      <c r="B15">
        <v>0.754</v>
      </c>
      <c r="C15">
        <v>0.748</v>
      </c>
      <c r="D15">
        <v>0.54400000000000004</v>
      </c>
      <c r="E15">
        <v>0.746</v>
      </c>
      <c r="F15">
        <v>14</v>
      </c>
    </row>
    <row r="16" spans="1:6">
      <c r="A16" t="s">
        <v>99</v>
      </c>
      <c r="B16">
        <v>0.76900000000000002</v>
      </c>
      <c r="C16">
        <v>0.752</v>
      </c>
      <c r="D16">
        <v>0.52800000000000002</v>
      </c>
      <c r="E16">
        <v>0.74199999999999999</v>
      </c>
      <c r="F16">
        <v>15</v>
      </c>
    </row>
    <row r="17" spans="1:6">
      <c r="A17" t="s">
        <v>103</v>
      </c>
      <c r="B17">
        <v>0.76</v>
      </c>
      <c r="C17">
        <v>0.74199999999999999</v>
      </c>
      <c r="D17">
        <v>0.51500000000000001</v>
      </c>
      <c r="E17">
        <v>0.73299999999999998</v>
      </c>
      <c r="F17">
        <v>16</v>
      </c>
    </row>
    <row r="18" spans="1:6">
      <c r="A18" t="s">
        <v>54</v>
      </c>
      <c r="B18">
        <v>0.76800000000000002</v>
      </c>
      <c r="C18">
        <v>0.76900000000000002</v>
      </c>
      <c r="D18">
        <v>0.55500000000000005</v>
      </c>
      <c r="E18">
        <v>0.72099999999999997</v>
      </c>
      <c r="F18">
        <v>17</v>
      </c>
    </row>
    <row r="19" spans="1:6">
      <c r="A19" t="s">
        <v>95</v>
      </c>
      <c r="B19">
        <v>0.73699999999999999</v>
      </c>
      <c r="C19">
        <v>0.72099999999999997</v>
      </c>
      <c r="D19">
        <v>0.48499999999999999</v>
      </c>
      <c r="E19">
        <v>0.71099999999999997</v>
      </c>
      <c r="F19">
        <v>18</v>
      </c>
    </row>
    <row r="20" spans="1:6">
      <c r="A20" t="s">
        <v>8</v>
      </c>
      <c r="B20">
        <v>0.70599999999999996</v>
      </c>
      <c r="C20">
        <v>0.69299999999999995</v>
      </c>
      <c r="D20">
        <v>0.496</v>
      </c>
      <c r="E20">
        <v>0.69199999999999995</v>
      </c>
      <c r="F20">
        <v>19</v>
      </c>
    </row>
    <row r="21" spans="1:6">
      <c r="A21" t="s">
        <v>12</v>
      </c>
      <c r="B21">
        <v>0.69599999999999995</v>
      </c>
      <c r="C21">
        <v>0.68400000000000005</v>
      </c>
      <c r="D21">
        <v>0.48799999999999999</v>
      </c>
      <c r="E21">
        <v>0.68700000000000006</v>
      </c>
      <c r="F21">
        <v>20</v>
      </c>
    </row>
    <row r="22" spans="1:6">
      <c r="A22" t="s">
        <v>10</v>
      </c>
      <c r="B22">
        <v>0.69</v>
      </c>
      <c r="C22">
        <v>0.67400000000000004</v>
      </c>
      <c r="D22">
        <v>0.47699999999999998</v>
      </c>
      <c r="E22">
        <v>0.67700000000000005</v>
      </c>
      <c r="F22">
        <v>21</v>
      </c>
    </row>
    <row r="23" spans="1:6">
      <c r="A23" t="s">
        <v>51</v>
      </c>
      <c r="B23">
        <v>0.69199999999999995</v>
      </c>
      <c r="C23">
        <v>0.67900000000000005</v>
      </c>
      <c r="D23">
        <v>0.44800000000000001</v>
      </c>
      <c r="E23">
        <v>0.66900000000000004</v>
      </c>
      <c r="F23">
        <v>22</v>
      </c>
    </row>
    <row r="24" spans="1:6">
      <c r="A24" t="s">
        <v>52</v>
      </c>
      <c r="B24">
        <v>0.69599999999999995</v>
      </c>
      <c r="C24">
        <v>0.7</v>
      </c>
      <c r="D24">
        <v>0.46300000000000002</v>
      </c>
      <c r="E24">
        <v>0.66300000000000003</v>
      </c>
      <c r="F24">
        <v>23</v>
      </c>
    </row>
    <row r="25" spans="1:6">
      <c r="A25" t="s">
        <v>55</v>
      </c>
      <c r="B25">
        <v>0.69599999999999995</v>
      </c>
      <c r="C25">
        <v>0.7</v>
      </c>
      <c r="D25">
        <v>0.46300000000000002</v>
      </c>
      <c r="E25">
        <v>0.66300000000000003</v>
      </c>
      <c r="F25">
        <v>24</v>
      </c>
    </row>
    <row r="26" spans="1:6">
      <c r="A26" t="s">
        <v>58</v>
      </c>
      <c r="B26">
        <v>0.69599999999999995</v>
      </c>
      <c r="C26">
        <v>0.7</v>
      </c>
      <c r="D26">
        <v>0.46300000000000002</v>
      </c>
      <c r="E26">
        <v>0.66300000000000003</v>
      </c>
      <c r="F26">
        <v>25</v>
      </c>
    </row>
    <row r="27" spans="1:6">
      <c r="A27" t="s">
        <v>59</v>
      </c>
      <c r="B27">
        <v>0.66100000000000003</v>
      </c>
      <c r="C27">
        <v>0.64600000000000002</v>
      </c>
      <c r="D27">
        <v>0.45300000000000001</v>
      </c>
      <c r="E27">
        <v>0.64900000000000002</v>
      </c>
      <c r="F27">
        <v>26</v>
      </c>
    </row>
    <row r="28" spans="1:6">
      <c r="A28" t="s">
        <v>32</v>
      </c>
      <c r="B28">
        <v>0.58099999999999996</v>
      </c>
      <c r="C28">
        <v>0.54</v>
      </c>
      <c r="D28">
        <v>0.36399999999999999</v>
      </c>
      <c r="E28">
        <v>0.56499999999999995</v>
      </c>
      <c r="F28">
        <v>27</v>
      </c>
    </row>
    <row r="29" spans="1:6">
      <c r="A29" t="s">
        <v>20</v>
      </c>
      <c r="B29">
        <v>0.57499999999999996</v>
      </c>
      <c r="C29">
        <v>0.52900000000000003</v>
      </c>
      <c r="D29">
        <v>0.35399999999999998</v>
      </c>
      <c r="E29">
        <v>0.56399999999999995</v>
      </c>
      <c r="F29">
        <v>28</v>
      </c>
    </row>
    <row r="30" spans="1:6">
      <c r="A30" t="s">
        <v>96</v>
      </c>
      <c r="B30">
        <v>0.56999999999999995</v>
      </c>
      <c r="C30">
        <v>0.52</v>
      </c>
      <c r="D30">
        <v>0.35199999999999998</v>
      </c>
      <c r="E30">
        <v>0.56299999999999994</v>
      </c>
      <c r="F30">
        <v>29</v>
      </c>
    </row>
    <row r="31" spans="1:6">
      <c r="A31" t="s">
        <v>92</v>
      </c>
      <c r="B31">
        <v>0.56699999999999995</v>
      </c>
      <c r="C31">
        <v>0.52900000000000003</v>
      </c>
      <c r="D31">
        <v>0.35599999999999998</v>
      </c>
      <c r="E31">
        <v>0.55900000000000005</v>
      </c>
      <c r="F31">
        <v>30</v>
      </c>
    </row>
    <row r="32" spans="1:6">
      <c r="A32" t="s">
        <v>26</v>
      </c>
      <c r="B32">
        <v>0.56699999999999995</v>
      </c>
      <c r="C32">
        <v>0.52900000000000003</v>
      </c>
      <c r="D32">
        <v>0.35599999999999998</v>
      </c>
      <c r="E32">
        <v>0.55900000000000005</v>
      </c>
      <c r="F32">
        <v>31</v>
      </c>
    </row>
    <row r="33" spans="1:6">
      <c r="A33" t="s">
        <v>38</v>
      </c>
      <c r="B33">
        <v>0.56399999999999995</v>
      </c>
      <c r="C33">
        <v>0.52300000000000002</v>
      </c>
      <c r="D33">
        <v>0.35</v>
      </c>
      <c r="E33">
        <v>0.55600000000000005</v>
      </c>
      <c r="F33">
        <v>32</v>
      </c>
    </row>
    <row r="34" spans="1:6">
      <c r="A34" t="s">
        <v>46</v>
      </c>
      <c r="B34">
        <v>0.57199999999999995</v>
      </c>
      <c r="C34">
        <v>0.51500000000000001</v>
      </c>
      <c r="D34">
        <v>0.34200000000000003</v>
      </c>
      <c r="E34">
        <v>0.55400000000000005</v>
      </c>
      <c r="F34">
        <v>33</v>
      </c>
    </row>
    <row r="35" spans="1:6">
      <c r="A35" t="s">
        <v>104</v>
      </c>
      <c r="B35">
        <v>0.55900000000000005</v>
      </c>
      <c r="C35">
        <v>0.51100000000000001</v>
      </c>
      <c r="D35">
        <v>0.33900000000000002</v>
      </c>
      <c r="E35">
        <v>0.55300000000000005</v>
      </c>
      <c r="F35">
        <v>34</v>
      </c>
    </row>
    <row r="36" spans="1:6">
      <c r="A36" t="s">
        <v>100</v>
      </c>
      <c r="B36">
        <v>0.55200000000000005</v>
      </c>
      <c r="C36">
        <v>0.5</v>
      </c>
      <c r="D36">
        <v>0.33300000000000002</v>
      </c>
      <c r="E36">
        <v>0.54900000000000004</v>
      </c>
      <c r="F36">
        <v>35</v>
      </c>
    </row>
    <row r="37" spans="1:6">
      <c r="A37" t="s">
        <v>93</v>
      </c>
      <c r="B37">
        <v>0.55500000000000005</v>
      </c>
      <c r="C37">
        <v>0.50900000000000001</v>
      </c>
      <c r="D37">
        <v>0.34</v>
      </c>
      <c r="E37">
        <v>0.54300000000000004</v>
      </c>
      <c r="F37">
        <v>36</v>
      </c>
    </row>
    <row r="38" spans="1:6">
      <c r="A38" t="s">
        <v>40</v>
      </c>
      <c r="B38">
        <v>0.56799999999999995</v>
      </c>
      <c r="C38">
        <v>0.504</v>
      </c>
      <c r="D38">
        <v>0.32500000000000001</v>
      </c>
      <c r="E38">
        <v>0.54200000000000004</v>
      </c>
      <c r="F38">
        <v>37</v>
      </c>
    </row>
    <row r="39" spans="1:6">
      <c r="A39" t="s">
        <v>98</v>
      </c>
      <c r="B39">
        <v>0.55500000000000005</v>
      </c>
      <c r="C39">
        <v>0.50600000000000001</v>
      </c>
      <c r="D39">
        <v>0.32200000000000001</v>
      </c>
      <c r="E39">
        <v>0.53100000000000003</v>
      </c>
      <c r="F39">
        <v>38</v>
      </c>
    </row>
    <row r="40" spans="1:6">
      <c r="A40" t="s">
        <v>102</v>
      </c>
      <c r="B40">
        <v>0.55800000000000005</v>
      </c>
      <c r="C40">
        <v>0.50900000000000001</v>
      </c>
      <c r="D40">
        <v>0.32900000000000001</v>
      </c>
      <c r="E40">
        <v>0.53100000000000003</v>
      </c>
      <c r="F40">
        <v>39</v>
      </c>
    </row>
    <row r="41" spans="1:6">
      <c r="A41" t="s">
        <v>34</v>
      </c>
      <c r="B41">
        <v>0.53700000000000003</v>
      </c>
      <c r="C41">
        <v>0.49299999999999999</v>
      </c>
      <c r="D41">
        <v>0.30399999999999999</v>
      </c>
      <c r="E41">
        <v>0.51100000000000001</v>
      </c>
      <c r="F41">
        <v>40</v>
      </c>
    </row>
    <row r="42" spans="1:6">
      <c r="A42" t="s">
        <v>50</v>
      </c>
      <c r="B42">
        <v>0.52100000000000002</v>
      </c>
      <c r="C42">
        <v>0.47499999999999998</v>
      </c>
      <c r="D42">
        <v>0.314</v>
      </c>
      <c r="E42">
        <v>0.50900000000000001</v>
      </c>
      <c r="F42">
        <v>41</v>
      </c>
    </row>
    <row r="43" spans="1:6">
      <c r="A43" t="s">
        <v>28</v>
      </c>
      <c r="B43">
        <v>0.53100000000000003</v>
      </c>
      <c r="C43">
        <v>0.47799999999999998</v>
      </c>
      <c r="D43">
        <v>0.28899999999999998</v>
      </c>
      <c r="E43">
        <v>0.50800000000000001</v>
      </c>
      <c r="F43">
        <v>42</v>
      </c>
    </row>
    <row r="44" spans="1:6">
      <c r="A44" t="s">
        <v>44</v>
      </c>
      <c r="B44">
        <v>0.51100000000000001</v>
      </c>
      <c r="C44">
        <v>0.46800000000000003</v>
      </c>
      <c r="D44">
        <v>0.309</v>
      </c>
      <c r="E44">
        <v>0.497</v>
      </c>
      <c r="F44">
        <v>43</v>
      </c>
    </row>
    <row r="45" spans="1:6">
      <c r="A45" t="s">
        <v>94</v>
      </c>
      <c r="B45">
        <v>0.49299999999999999</v>
      </c>
      <c r="C45">
        <v>0.42599999999999999</v>
      </c>
      <c r="D45">
        <v>0.24299999999999999</v>
      </c>
      <c r="E45">
        <v>0.47499999999999998</v>
      </c>
      <c r="F45">
        <v>44</v>
      </c>
    </row>
    <row r="46" spans="1:6">
      <c r="A46" t="s">
        <v>22</v>
      </c>
      <c r="B46">
        <v>0.48799999999999999</v>
      </c>
      <c r="C46">
        <v>0.42199999999999999</v>
      </c>
      <c r="D46">
        <v>0.24099999999999999</v>
      </c>
      <c r="E46">
        <v>0.47099999999999997</v>
      </c>
      <c r="F46">
        <v>45</v>
      </c>
    </row>
    <row r="47" spans="1:6">
      <c r="A47" t="s">
        <v>16</v>
      </c>
      <c r="B47">
        <v>0.47199999999999998</v>
      </c>
      <c r="C47">
        <v>0.40699999999999997</v>
      </c>
      <c r="D47">
        <v>0.224</v>
      </c>
      <c r="E47">
        <v>0.46100000000000002</v>
      </c>
      <c r="F47">
        <v>46</v>
      </c>
    </row>
    <row r="48" spans="1:6">
      <c r="A48" t="s">
        <v>48</v>
      </c>
      <c r="B48">
        <v>1.6E-2</v>
      </c>
      <c r="C48">
        <v>0.10100000000000001</v>
      </c>
      <c r="D48">
        <v>3.6999999999999998E-2</v>
      </c>
      <c r="E48">
        <v>1.4E-2</v>
      </c>
      <c r="F48">
        <v>47</v>
      </c>
    </row>
    <row r="49" spans="1:6">
      <c r="A49" t="s">
        <v>24</v>
      </c>
      <c r="B49">
        <v>8.0000000000000002E-3</v>
      </c>
      <c r="C49">
        <v>0.01</v>
      </c>
      <c r="D49">
        <v>3.0000000000000001E-3</v>
      </c>
      <c r="E49">
        <v>6.0000000000000001E-3</v>
      </c>
      <c r="F49">
        <v>48</v>
      </c>
    </row>
    <row r="50" spans="1:6">
      <c r="A50" t="s">
        <v>15</v>
      </c>
      <c r="B50">
        <v>0.68700000000000006</v>
      </c>
      <c r="C50">
        <v>0.67</v>
      </c>
      <c r="D50">
        <v>0.41499999999999998</v>
      </c>
      <c r="E50">
        <v>0</v>
      </c>
      <c r="F50">
        <v>49</v>
      </c>
    </row>
    <row r="51" spans="1:6">
      <c r="A51" t="s">
        <v>17</v>
      </c>
      <c r="B51">
        <v>0.439</v>
      </c>
      <c r="C51">
        <v>0.376</v>
      </c>
      <c r="D51">
        <v>0.16</v>
      </c>
      <c r="E51">
        <v>0</v>
      </c>
      <c r="F51">
        <v>50</v>
      </c>
    </row>
    <row r="52" spans="1:6">
      <c r="A52" t="s">
        <v>18</v>
      </c>
      <c r="B52">
        <v>0</v>
      </c>
      <c r="C52">
        <v>0</v>
      </c>
      <c r="D52">
        <v>0</v>
      </c>
      <c r="E52">
        <v>0</v>
      </c>
      <c r="F52">
        <v>51</v>
      </c>
    </row>
    <row r="53" spans="1:6">
      <c r="A53" t="s">
        <v>19</v>
      </c>
      <c r="B53">
        <v>0.73599999999999999</v>
      </c>
      <c r="C53">
        <v>0.72399999999999998</v>
      </c>
      <c r="D53">
        <v>0.47699999999999998</v>
      </c>
      <c r="E53">
        <v>0</v>
      </c>
      <c r="F53">
        <v>52</v>
      </c>
    </row>
    <row r="54" spans="1:6">
      <c r="A54" t="s">
        <v>21</v>
      </c>
      <c r="B54">
        <v>0.69299999999999995</v>
      </c>
      <c r="C54">
        <v>0.67800000000000005</v>
      </c>
      <c r="D54">
        <v>0.435</v>
      </c>
      <c r="E54">
        <v>0</v>
      </c>
      <c r="F54">
        <v>53</v>
      </c>
    </row>
    <row r="55" spans="1:6">
      <c r="A55" t="s">
        <v>23</v>
      </c>
      <c r="B55">
        <v>0.441</v>
      </c>
      <c r="C55">
        <v>0.39800000000000002</v>
      </c>
      <c r="D55">
        <v>0.17699999999999999</v>
      </c>
      <c r="E55">
        <v>0</v>
      </c>
      <c r="F55">
        <v>54</v>
      </c>
    </row>
    <row r="56" spans="1:6">
      <c r="A56" t="s">
        <v>25</v>
      </c>
      <c r="B56">
        <v>0.74199999999999999</v>
      </c>
      <c r="C56">
        <v>0.72599999999999998</v>
      </c>
      <c r="D56">
        <v>0.48099999999999998</v>
      </c>
      <c r="E56">
        <v>0</v>
      </c>
      <c r="F56">
        <v>55</v>
      </c>
    </row>
    <row r="57" spans="1:6">
      <c r="A57" t="s">
        <v>27</v>
      </c>
      <c r="B57">
        <v>0.68400000000000005</v>
      </c>
      <c r="C57">
        <v>0.67100000000000004</v>
      </c>
      <c r="D57">
        <v>0.42</v>
      </c>
      <c r="E57">
        <v>0</v>
      </c>
      <c r="F57">
        <v>56</v>
      </c>
    </row>
    <row r="58" spans="1:6">
      <c r="A58" t="s">
        <v>29</v>
      </c>
      <c r="B58">
        <v>0.42199999999999999</v>
      </c>
      <c r="C58">
        <v>0.35099999999999998</v>
      </c>
      <c r="D58">
        <v>0.14499999999999999</v>
      </c>
      <c r="E58">
        <v>0</v>
      </c>
      <c r="F58">
        <v>57</v>
      </c>
    </row>
    <row r="59" spans="1:6">
      <c r="A59" t="s">
        <v>30</v>
      </c>
      <c r="B59">
        <v>0</v>
      </c>
      <c r="C59">
        <v>0</v>
      </c>
      <c r="D59">
        <v>0</v>
      </c>
      <c r="E59">
        <v>0</v>
      </c>
      <c r="F59">
        <v>58</v>
      </c>
    </row>
    <row r="60" spans="1:6">
      <c r="A60" t="s">
        <v>31</v>
      </c>
      <c r="B60">
        <v>0.73899999999999999</v>
      </c>
      <c r="C60">
        <v>0.72899999999999998</v>
      </c>
      <c r="D60">
        <v>0.48399999999999999</v>
      </c>
      <c r="E60">
        <v>0</v>
      </c>
      <c r="F60">
        <v>59</v>
      </c>
    </row>
    <row r="61" spans="1:6">
      <c r="A61" t="s">
        <v>33</v>
      </c>
      <c r="B61">
        <v>0.71099999999999997</v>
      </c>
      <c r="C61">
        <v>0.69599999999999995</v>
      </c>
      <c r="D61">
        <v>0.45100000000000001</v>
      </c>
      <c r="E61">
        <v>0</v>
      </c>
      <c r="F61">
        <v>60</v>
      </c>
    </row>
    <row r="62" spans="1:6">
      <c r="A62" t="s">
        <v>35</v>
      </c>
      <c r="B62">
        <v>0.42099999999999999</v>
      </c>
      <c r="C62">
        <v>0.35699999999999998</v>
      </c>
      <c r="D62">
        <v>0.152</v>
      </c>
      <c r="E62">
        <v>0</v>
      </c>
      <c r="F62">
        <v>61</v>
      </c>
    </row>
    <row r="63" spans="1:6">
      <c r="A63" t="s">
        <v>36</v>
      </c>
      <c r="B63">
        <v>0</v>
      </c>
      <c r="C63">
        <v>0</v>
      </c>
      <c r="D63">
        <v>0</v>
      </c>
      <c r="E63">
        <v>0</v>
      </c>
      <c r="F63">
        <v>62</v>
      </c>
    </row>
    <row r="64" spans="1:6">
      <c r="A64" t="s">
        <v>37</v>
      </c>
      <c r="B64">
        <v>0.74099999999999999</v>
      </c>
      <c r="C64">
        <v>0.72899999999999998</v>
      </c>
      <c r="D64">
        <v>0.47799999999999998</v>
      </c>
      <c r="E64">
        <v>0</v>
      </c>
      <c r="F64">
        <v>63</v>
      </c>
    </row>
    <row r="65" spans="1:6">
      <c r="A65" t="s">
        <v>39</v>
      </c>
      <c r="B65">
        <v>0.70799999999999996</v>
      </c>
      <c r="C65">
        <v>0.70099999999999996</v>
      </c>
      <c r="D65">
        <v>0.44500000000000001</v>
      </c>
      <c r="E65">
        <v>0</v>
      </c>
      <c r="F65">
        <v>64</v>
      </c>
    </row>
    <row r="66" spans="1:6">
      <c r="A66" t="s">
        <v>41</v>
      </c>
      <c r="B66">
        <v>0.47899999999999998</v>
      </c>
      <c r="C66">
        <v>0.442</v>
      </c>
      <c r="D66">
        <v>0.2</v>
      </c>
      <c r="E66">
        <v>0</v>
      </c>
      <c r="F66">
        <v>65</v>
      </c>
    </row>
    <row r="67" spans="1:6">
      <c r="A67" t="s">
        <v>42</v>
      </c>
      <c r="B67">
        <v>0</v>
      </c>
      <c r="C67">
        <v>0</v>
      </c>
      <c r="D67">
        <v>0</v>
      </c>
      <c r="E67">
        <v>0</v>
      </c>
      <c r="F67">
        <v>66</v>
      </c>
    </row>
    <row r="68" spans="1:6">
      <c r="A68" t="s">
        <v>43</v>
      </c>
      <c r="B68">
        <v>0.72499999999999998</v>
      </c>
      <c r="C68">
        <v>0.71199999999999997</v>
      </c>
      <c r="D68">
        <v>0.45700000000000002</v>
      </c>
      <c r="E68">
        <v>0</v>
      </c>
      <c r="F68">
        <v>67</v>
      </c>
    </row>
    <row r="69" spans="1:6">
      <c r="A69" t="s">
        <v>45</v>
      </c>
      <c r="B69">
        <v>0.7</v>
      </c>
      <c r="C69">
        <v>0.68899999999999995</v>
      </c>
      <c r="D69">
        <v>0.434</v>
      </c>
      <c r="E69">
        <v>0</v>
      </c>
      <c r="F69">
        <v>68</v>
      </c>
    </row>
    <row r="70" spans="1:6">
      <c r="A70" t="s">
        <v>47</v>
      </c>
      <c r="B70">
        <v>0.378</v>
      </c>
      <c r="C70">
        <v>0.31900000000000001</v>
      </c>
      <c r="D70">
        <v>0.13200000000000001</v>
      </c>
      <c r="E70">
        <v>0</v>
      </c>
      <c r="F70">
        <v>69</v>
      </c>
    </row>
    <row r="71" spans="1:6">
      <c r="A71" t="s">
        <v>49</v>
      </c>
      <c r="B71">
        <v>0.73699999999999999</v>
      </c>
      <c r="C71">
        <v>0.72199999999999998</v>
      </c>
      <c r="D71">
        <v>0.46899999999999997</v>
      </c>
      <c r="E71">
        <v>0</v>
      </c>
      <c r="F71">
        <v>70</v>
      </c>
    </row>
  </sheetData>
  <autoFilter ref="A1:E71">
    <sortState ref="A2:E56">
      <sortCondition descending="1" ref="D6"/>
    </sortState>
  </autoFilter>
  <sortState ref="A2:F71">
    <sortCondition descending="1" ref="E5"/>
  </sortState>
  <conditionalFormatting sqref="F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:E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I41"/>
  <sheetViews>
    <sheetView workbookViewId="0">
      <selection activeCell="I30" sqref="I30"/>
    </sheetView>
  </sheetViews>
  <sheetFormatPr defaultRowHeight="13.8"/>
  <cols>
    <col min="1" max="1" width="25.8984375" bestFit="1" customWidth="1"/>
    <col min="8" max="8" width="31.296875" bestFit="1" customWidth="1"/>
    <col min="9" max="9" width="15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tr">
        <f>synth_new2_test!F1</f>
        <v>msc</v>
      </c>
      <c r="H1" s="1" t="s">
        <v>61</v>
      </c>
      <c r="I1" t="s">
        <v>63</v>
      </c>
    </row>
    <row r="2" spans="1:9">
      <c r="A2" t="str">
        <f>synth_new2_test!A2</f>
        <v>ft12_SGD_feval.csv</v>
      </c>
      <c r="B2">
        <f>synth_new2_test!B2</f>
        <v>0.98699999999999999</v>
      </c>
      <c r="C2">
        <f>synth_new2_test!C2</f>
        <v>0.98</v>
      </c>
      <c r="D2">
        <f>synth_new2_test!D2</f>
        <v>0.60799999999999998</v>
      </c>
      <c r="E2">
        <f>synth_new2_test!E2</f>
        <v>0.996</v>
      </c>
      <c r="F2">
        <f>synth_new2_test!F2</f>
        <v>1</v>
      </c>
      <c r="H2" s="2" t="s">
        <v>99</v>
      </c>
      <c r="I2" s="3">
        <v>3</v>
      </c>
    </row>
    <row r="3" spans="1:9">
      <c r="A3" t="str">
        <f>synth_new2_test!A3</f>
        <v>ft10_AdamW_feval.csv</v>
      </c>
      <c r="B3">
        <f>synth_new2_test!B3</f>
        <v>0.995</v>
      </c>
      <c r="C3">
        <f>synth_new2_test!C3</f>
        <v>0.995</v>
      </c>
      <c r="D3">
        <f>synth_new2_test!D3</f>
        <v>0.79900000000000004</v>
      </c>
      <c r="E3">
        <f>synth_new2_test!E3</f>
        <v>0.995</v>
      </c>
      <c r="F3">
        <f>synth_new2_test!F3</f>
        <v>2</v>
      </c>
      <c r="H3" s="2" t="s">
        <v>92</v>
      </c>
      <c r="I3" s="3">
        <v>3</v>
      </c>
    </row>
    <row r="4" spans="1:9">
      <c r="A4" t="str">
        <f>synth_new2_test!A4</f>
        <v>ft11_AdamW_feval.csv</v>
      </c>
      <c r="B4">
        <f>synth_new2_test!B4</f>
        <v>0.995</v>
      </c>
      <c r="C4">
        <f>synth_new2_test!C4</f>
        <v>0.995</v>
      </c>
      <c r="D4">
        <f>synth_new2_test!D4</f>
        <v>0.76200000000000001</v>
      </c>
      <c r="E4">
        <f>synth_new2_test!E4</f>
        <v>0.995</v>
      </c>
      <c r="F4">
        <f>synth_new2_test!F4</f>
        <v>3</v>
      </c>
      <c r="H4" s="2" t="s">
        <v>93</v>
      </c>
      <c r="I4" s="3">
        <v>2</v>
      </c>
    </row>
    <row r="5" spans="1:9">
      <c r="A5" t="str">
        <f>synth_new2_test!A5</f>
        <v>ft12b_AdamW_feval.csv</v>
      </c>
      <c r="B5">
        <f>synth_new2_test!B5</f>
        <v>0.995</v>
      </c>
      <c r="C5">
        <f>synth_new2_test!C5</f>
        <v>0.995</v>
      </c>
      <c r="D5">
        <f>synth_new2_test!D5</f>
        <v>0.77400000000000002</v>
      </c>
      <c r="E5">
        <f>synth_new2_test!E5</f>
        <v>0.995</v>
      </c>
      <c r="F5">
        <f>synth_new2_test!F5</f>
        <v>4</v>
      </c>
      <c r="H5" s="2" t="s">
        <v>11</v>
      </c>
      <c r="I5" s="3">
        <v>2</v>
      </c>
    </row>
    <row r="6" spans="1:9">
      <c r="A6" t="str">
        <f>synth_new2_test!A6</f>
        <v>ft12c_AdamW_feval.csv</v>
      </c>
      <c r="B6">
        <f>synth_new2_test!B6</f>
        <v>0.995</v>
      </c>
      <c r="C6">
        <f>synth_new2_test!C6</f>
        <v>0.995</v>
      </c>
      <c r="D6">
        <f>synth_new2_test!D6</f>
        <v>0.78</v>
      </c>
      <c r="E6">
        <f>synth_new2_test!E6</f>
        <v>0.995</v>
      </c>
      <c r="F6">
        <f>synth_new2_test!F6</f>
        <v>5</v>
      </c>
      <c r="H6" s="2" t="s">
        <v>91</v>
      </c>
      <c r="I6" s="3">
        <v>2</v>
      </c>
    </row>
    <row r="7" spans="1:9">
      <c r="A7" t="str">
        <f>synth_old_test!A2</f>
        <v>ft26_SGD_feval.csv</v>
      </c>
      <c r="B7">
        <f>synth_old_test!B2</f>
        <v>0.45500000000000002</v>
      </c>
      <c r="C7">
        <f>synth_old_test!C2</f>
        <v>0.34</v>
      </c>
      <c r="D7">
        <f>synth_old_test!D2</f>
        <v>0.17</v>
      </c>
      <c r="E7">
        <f>synth_old_test!E2</f>
        <v>0.377</v>
      </c>
      <c r="F7">
        <f>synth_old_test!F2</f>
        <v>1</v>
      </c>
      <c r="H7" s="2" t="s">
        <v>13</v>
      </c>
      <c r="I7" s="3">
        <v>2</v>
      </c>
    </row>
    <row r="8" spans="1:9">
      <c r="A8" t="str">
        <f>synth_old_test!A3</f>
        <v>ft21v8_SGD_feval.csv</v>
      </c>
      <c r="B8">
        <f>synth_old_test!B3</f>
        <v>0.45400000000000001</v>
      </c>
      <c r="C8">
        <f>synth_old_test!C3</f>
        <v>0.379</v>
      </c>
      <c r="D8">
        <f>synth_old_test!D3</f>
        <v>0.19</v>
      </c>
      <c r="E8">
        <f>synth_old_test!E3</f>
        <v>0.33200000000000002</v>
      </c>
      <c r="F8">
        <f>synth_old_test!F3</f>
        <v>2</v>
      </c>
      <c r="H8" s="2" t="s">
        <v>104</v>
      </c>
      <c r="I8" s="3">
        <v>2</v>
      </c>
    </row>
    <row r="9" spans="1:9">
      <c r="A9" t="str">
        <f>synth_old_test!A4</f>
        <v>ft21_SGD_feval.csv</v>
      </c>
      <c r="B9">
        <f>synth_old_test!B4</f>
        <v>0.45400000000000001</v>
      </c>
      <c r="C9">
        <f>synth_old_test!C4</f>
        <v>0.379</v>
      </c>
      <c r="D9">
        <f>synth_old_test!D4</f>
        <v>0.19</v>
      </c>
      <c r="E9">
        <f>synth_old_test!E4</f>
        <v>0.33200000000000002</v>
      </c>
      <c r="F9">
        <f>synth_old_test!F4</f>
        <v>3</v>
      </c>
      <c r="H9" s="2" t="s">
        <v>9</v>
      </c>
      <c r="I9" s="3">
        <v>2</v>
      </c>
    </row>
    <row r="10" spans="1:9">
      <c r="A10" t="str">
        <f>synth_old_test!A5</f>
        <v>ft27_SGD_feval.csv</v>
      </c>
      <c r="B10">
        <f>synth_old_test!B5</f>
        <v>0.42199999999999999</v>
      </c>
      <c r="C10">
        <f>synth_old_test!C5</f>
        <v>0.318</v>
      </c>
      <c r="D10">
        <f>synth_old_test!D5</f>
        <v>0.182</v>
      </c>
      <c r="E10">
        <f>synth_old_test!E5</f>
        <v>0.3</v>
      </c>
      <c r="F10">
        <f>synth_old_test!F5</f>
        <v>4</v>
      </c>
      <c r="H10" s="2" t="s">
        <v>26</v>
      </c>
      <c r="I10" s="3">
        <v>2</v>
      </c>
    </row>
    <row r="11" spans="1:9">
      <c r="A11" t="str">
        <f>synth_old_test!A6</f>
        <v>ft28_SGD_feval.csv</v>
      </c>
      <c r="B11">
        <f>synth_old_test!B6</f>
        <v>0.46700000000000003</v>
      </c>
      <c r="C11">
        <f>synth_old_test!C6</f>
        <v>0.36699999999999999</v>
      </c>
      <c r="D11">
        <f>synth_old_test!D6</f>
        <v>0.186</v>
      </c>
      <c r="E11">
        <f>synth_old_test!E6</f>
        <v>0.29399999999999998</v>
      </c>
      <c r="F11">
        <f>synth_old_test!F6</f>
        <v>5</v>
      </c>
      <c r="H11" s="2" t="s">
        <v>105</v>
      </c>
      <c r="I11" s="3">
        <v>2</v>
      </c>
    </row>
    <row r="12" spans="1:9">
      <c r="A12" t="str">
        <f>synth_old_train!A2</f>
        <v>ft21v8_SGD_yolov8l-seg.pt_feval.csv</v>
      </c>
      <c r="B12">
        <f>synth_old_train!B2</f>
        <v>0.40699999999999997</v>
      </c>
      <c r="C12">
        <f>synth_old_train!C2</f>
        <v>0.29099999999999998</v>
      </c>
      <c r="D12">
        <f>synth_old_train!D2</f>
        <v>0.14099999999999999</v>
      </c>
      <c r="E12">
        <f>synth_old_train!E2</f>
        <v>0.33900000000000002</v>
      </c>
      <c r="F12">
        <f>synth_old_train!F2</f>
        <v>1</v>
      </c>
      <c r="H12" s="2" t="s">
        <v>101</v>
      </c>
      <c r="I12" s="3">
        <v>2</v>
      </c>
    </row>
    <row r="13" spans="1:9">
      <c r="A13" t="str">
        <f>synth_old_train!A3</f>
        <v>ft4_feval_SGD.csv</v>
      </c>
      <c r="B13">
        <f>synth_old_train!B3</f>
        <v>0.374</v>
      </c>
      <c r="C13">
        <f>synth_old_train!C3</f>
        <v>0.27500000000000002</v>
      </c>
      <c r="D13">
        <f>synth_old_train!D3</f>
        <v>0.127</v>
      </c>
      <c r="E13">
        <f>synth_old_train!E3</f>
        <v>0.313</v>
      </c>
      <c r="F13">
        <f>synth_old_train!F3</f>
        <v>2</v>
      </c>
      <c r="H13" s="2" t="s">
        <v>103</v>
      </c>
      <c r="I13" s="3">
        <v>2</v>
      </c>
    </row>
    <row r="14" spans="1:9">
      <c r="A14" t="str">
        <f>synth_old_train!A4</f>
        <v>ft27_SGD_feval.csv</v>
      </c>
      <c r="B14">
        <f>synth_old_train!B4</f>
        <v>0.35499999999999998</v>
      </c>
      <c r="C14">
        <f>synth_old_train!C4</f>
        <v>0.26100000000000001</v>
      </c>
      <c r="D14">
        <f>synth_old_train!D4</f>
        <v>0.124</v>
      </c>
      <c r="E14">
        <f>synth_old_train!E4</f>
        <v>0.29799999999999999</v>
      </c>
      <c r="F14">
        <f>synth_old_train!F4</f>
        <v>3</v>
      </c>
      <c r="H14" s="2" t="s">
        <v>100</v>
      </c>
      <c r="I14" s="3">
        <v>2</v>
      </c>
    </row>
    <row r="15" spans="1:9">
      <c r="A15" t="str">
        <f>synth_old_train!A5</f>
        <v>ft21v8_SGD_feval.csv</v>
      </c>
      <c r="B15">
        <f>synth_old_train!B5</f>
        <v>0.34200000000000003</v>
      </c>
      <c r="C15">
        <f>synth_old_train!C5</f>
        <v>0.27600000000000002</v>
      </c>
      <c r="D15">
        <f>synth_old_train!D5</f>
        <v>0.13400000000000001</v>
      </c>
      <c r="E15">
        <f>synth_old_train!E5</f>
        <v>0.29699999999999999</v>
      </c>
      <c r="F15">
        <f>synth_old_train!F5</f>
        <v>4</v>
      </c>
      <c r="H15" s="2" t="s">
        <v>97</v>
      </c>
      <c r="I15" s="3">
        <v>2</v>
      </c>
    </row>
    <row r="16" spans="1:9">
      <c r="A16" t="str">
        <f>synth_old_train!A6</f>
        <v>ft21_SGD_feval.csv</v>
      </c>
      <c r="B16">
        <f>synth_old_train!B6</f>
        <v>0.34200000000000003</v>
      </c>
      <c r="C16">
        <f>synth_old_train!C6</f>
        <v>0.27600000000000002</v>
      </c>
      <c r="D16">
        <f>synth_old_train!D6</f>
        <v>0.13400000000000001</v>
      </c>
      <c r="E16">
        <f>synth_old_train!E6</f>
        <v>0.29699999999999999</v>
      </c>
      <c r="F16">
        <f>synth_old_train!F6</f>
        <v>5</v>
      </c>
      <c r="H16" s="2" t="s">
        <v>53</v>
      </c>
      <c r="I16" s="3">
        <v>1</v>
      </c>
    </row>
    <row r="17" spans="1:9">
      <c r="A17" t="str">
        <f>synth_old_val!A2</f>
        <v>ft23_SGD_feval.csv</v>
      </c>
      <c r="B17">
        <f>synth_old_val!B2</f>
        <v>0.74399999999999999</v>
      </c>
      <c r="C17">
        <f>synth_old_val!C2</f>
        <v>0.74299999999999999</v>
      </c>
      <c r="D17">
        <f>synth_old_val!D2</f>
        <v>0.33900000000000002</v>
      </c>
      <c r="E17">
        <f>synth_old_val!E2</f>
        <v>0.68100000000000005</v>
      </c>
      <c r="F17">
        <f>synth_old_val!F2</f>
        <v>1</v>
      </c>
      <c r="H17" s="2" t="s">
        <v>38</v>
      </c>
      <c r="I17" s="3">
        <v>1</v>
      </c>
    </row>
    <row r="18" spans="1:9">
      <c r="A18" t="str">
        <f>synth_old_val!A3</f>
        <v>ft12_AdamW_feval.csv</v>
      </c>
      <c r="B18">
        <f>synth_old_val!B3</f>
        <v>0.748</v>
      </c>
      <c r="C18">
        <f>synth_old_val!C3</f>
        <v>0.65600000000000003</v>
      </c>
      <c r="D18">
        <f>synth_old_val!D3</f>
        <v>0.29399999999999998</v>
      </c>
      <c r="E18">
        <f>synth_old_val!E3</f>
        <v>0.65</v>
      </c>
      <c r="F18">
        <f>synth_old_val!F3</f>
        <v>2</v>
      </c>
      <c r="H18" s="2" t="s">
        <v>95</v>
      </c>
      <c r="I18" s="3">
        <v>1</v>
      </c>
    </row>
    <row r="19" spans="1:9">
      <c r="A19" t="str">
        <f>synth_old_val!A4</f>
        <v>ft24_AdamW_feval.csv</v>
      </c>
      <c r="B19">
        <f>synth_old_val!B4</f>
        <v>0.65</v>
      </c>
      <c r="C19">
        <f>synth_old_val!C4</f>
        <v>0.59299999999999997</v>
      </c>
      <c r="D19">
        <f>synth_old_val!D4</f>
        <v>0.28499999999999998</v>
      </c>
      <c r="E19">
        <f>synth_old_val!E4</f>
        <v>0.65</v>
      </c>
      <c r="F19">
        <f>synth_old_val!F4</f>
        <v>3</v>
      </c>
      <c r="H19" s="2" t="s">
        <v>14</v>
      </c>
      <c r="I19" s="3">
        <v>1</v>
      </c>
    </row>
    <row r="20" spans="1:9">
      <c r="A20" t="str">
        <f>synth_old_val!A5</f>
        <v>ft28_SGD_feval.csv</v>
      </c>
      <c r="B20">
        <f>synth_old_val!B5</f>
        <v>0.69699999999999995</v>
      </c>
      <c r="C20">
        <f>synth_old_val!C5</f>
        <v>0.69099999999999995</v>
      </c>
      <c r="D20">
        <f>synth_old_val!D5</f>
        <v>0.32300000000000001</v>
      </c>
      <c r="E20">
        <f>synth_old_val!E5</f>
        <v>0.629</v>
      </c>
      <c r="F20">
        <f>synth_old_val!F5</f>
        <v>4</v>
      </c>
      <c r="H20" s="2" t="s">
        <v>40</v>
      </c>
      <c r="I20" s="3">
        <v>1</v>
      </c>
    </row>
    <row r="21" spans="1:9">
      <c r="A21" t="str">
        <f>synth_old_val!A6</f>
        <v>ft21v8_SGD_feval.csv</v>
      </c>
      <c r="B21">
        <f>synth_old_val!B6</f>
        <v>0.68700000000000006</v>
      </c>
      <c r="C21">
        <f>synth_old_val!C6</f>
        <v>0.67400000000000004</v>
      </c>
      <c r="D21">
        <f>synth_old_val!D6</f>
        <v>0.35499999999999998</v>
      </c>
      <c r="E21">
        <f>synth_old_val!E6</f>
        <v>0.622</v>
      </c>
      <c r="F21">
        <f>synth_old_val!F6</f>
        <v>5</v>
      </c>
      <c r="H21" s="2" t="s">
        <v>60</v>
      </c>
      <c r="I21" s="3">
        <v>1</v>
      </c>
    </row>
    <row r="22" spans="1:9">
      <c r="A22" t="str">
        <f>pilot_test!A2</f>
        <v>ft27_AdamW_finloop.pt_feval.csv</v>
      </c>
      <c r="B22">
        <f>pilot_test!B2</f>
        <v>0.246</v>
      </c>
      <c r="C22">
        <f>pilot_test!C2</f>
        <v>0.152</v>
      </c>
      <c r="D22">
        <f>pilot_test!D2</f>
        <v>6.0999999999999999E-2</v>
      </c>
      <c r="E22">
        <f>pilot_test!E2</f>
        <v>0.25800000000000001</v>
      </c>
      <c r="F22">
        <f>pilot_test!F2</f>
        <v>1</v>
      </c>
      <c r="H22" s="2" t="s">
        <v>6</v>
      </c>
      <c r="I22" s="3">
        <v>1</v>
      </c>
    </row>
    <row r="23" spans="1:9">
      <c r="A23" t="str">
        <f>pilot_test!A3</f>
        <v>ft21v8_SGD_yolov8l-seg.pt_feval.csv</v>
      </c>
      <c r="B23">
        <f>pilot_test!B3</f>
        <v>0.29599999999999999</v>
      </c>
      <c r="C23">
        <f>pilot_test!C3</f>
        <v>0.20100000000000001</v>
      </c>
      <c r="D23">
        <f>pilot_test!D3</f>
        <v>9.5000000000000001E-2</v>
      </c>
      <c r="E23">
        <f>pilot_test!E3</f>
        <v>0.23799999999999999</v>
      </c>
      <c r="F23">
        <f>pilot_test!F3</f>
        <v>2</v>
      </c>
      <c r="H23" s="2" t="s">
        <v>7</v>
      </c>
      <c r="I23" s="3">
        <v>1</v>
      </c>
    </row>
    <row r="24" spans="1:9">
      <c r="A24" t="str">
        <f>pilot_test!A4</f>
        <v>ft21fin_SGD_finloop.pt_feval.csv</v>
      </c>
      <c r="B24">
        <f>pilot_test!B4</f>
        <v>0.249</v>
      </c>
      <c r="C24">
        <f>pilot_test!C4</f>
        <v>0.156</v>
      </c>
      <c r="D24">
        <f>pilot_test!D4</f>
        <v>6.2E-2</v>
      </c>
      <c r="E24">
        <f>pilot_test!E4</f>
        <v>0.23</v>
      </c>
      <c r="F24">
        <f>pilot_test!F4</f>
        <v>3</v>
      </c>
      <c r="H24" s="2" t="s">
        <v>5</v>
      </c>
      <c r="I24" s="3">
        <v>1</v>
      </c>
    </row>
    <row r="25" spans="1:9">
      <c r="A25" t="str">
        <f>pilot_test!A5</f>
        <v>ft27_SGD_finloop.pt_feval.csv</v>
      </c>
      <c r="B25">
        <f>pilot_test!B5</f>
        <v>0.25</v>
      </c>
      <c r="C25">
        <f>pilot_test!C5</f>
        <v>0.16</v>
      </c>
      <c r="D25">
        <f>pilot_test!D5</f>
        <v>6.4000000000000001E-2</v>
      </c>
      <c r="E25">
        <f>pilot_test!E5</f>
        <v>0.22900000000000001</v>
      </c>
      <c r="F25">
        <f>pilot_test!F5</f>
        <v>4</v>
      </c>
      <c r="H25" s="2" t="s">
        <v>96</v>
      </c>
      <c r="I25" s="3">
        <v>1</v>
      </c>
    </row>
    <row r="26" spans="1:9">
      <c r="A26" t="str">
        <f>pilot_test!A6</f>
        <v>ft28_AdamW_finloop.pt_feval.csv</v>
      </c>
      <c r="B26">
        <f>pilot_test!B6</f>
        <v>0.22700000000000001</v>
      </c>
      <c r="C26">
        <f>pilot_test!C6</f>
        <v>0.13100000000000001</v>
      </c>
      <c r="D26">
        <f>pilot_test!D6</f>
        <v>4.5999999999999999E-2</v>
      </c>
      <c r="E26">
        <f>pilot_test!E6</f>
        <v>0.22800000000000001</v>
      </c>
      <c r="F26">
        <f>pilot_test!F6</f>
        <v>5</v>
      </c>
      <c r="H26" s="2" t="s">
        <v>62</v>
      </c>
      <c r="I26" s="3">
        <v>40</v>
      </c>
    </row>
    <row r="27" spans="1:9">
      <c r="A27" t="str">
        <f>rzeszow_test!A2</f>
        <v>ft27_SGD_finloop.pt_feval.csv</v>
      </c>
      <c r="B27">
        <f>rzeszow_test!B2</f>
        <v>0.92100000000000004</v>
      </c>
      <c r="C27">
        <f>rzeszow_test!C2</f>
        <v>0.94699999999999995</v>
      </c>
      <c r="D27">
        <f>rzeszow_test!D2</f>
        <v>0.621</v>
      </c>
      <c r="E27">
        <f>rzeszow_test!E2</f>
        <v>0.89300000000000002</v>
      </c>
      <c r="F27">
        <f>rzeszow_test!F2</f>
        <v>1</v>
      </c>
    </row>
    <row r="28" spans="1:9">
      <c r="A28" t="str">
        <f>rzeszow_test!A3</f>
        <v>ft21fin_SGD_finloop.pt_feval.csv</v>
      </c>
      <c r="B28">
        <f>rzeszow_test!B3</f>
        <v>0.91800000000000004</v>
      </c>
      <c r="C28">
        <f>rzeszow_test!C3</f>
        <v>0.94599999999999995</v>
      </c>
      <c r="D28">
        <f>rzeszow_test!D3</f>
        <v>0.61799999999999999</v>
      </c>
      <c r="E28">
        <f>rzeszow_test!E3</f>
        <v>0.89</v>
      </c>
      <c r="F28">
        <f>rzeszow_test!F3</f>
        <v>2</v>
      </c>
    </row>
    <row r="29" spans="1:9">
      <c r="A29" t="str">
        <f>rzeszow_test!A4</f>
        <v>ft28_SGD_finloop.pt_feval.csv</v>
      </c>
      <c r="B29">
        <f>rzeszow_test!B4</f>
        <v>0.91900000000000004</v>
      </c>
      <c r="C29">
        <f>rzeszow_test!C4</f>
        <v>0.94599999999999995</v>
      </c>
      <c r="D29">
        <f>rzeszow_test!D4</f>
        <v>0.624</v>
      </c>
      <c r="E29">
        <f>rzeszow_test!E4</f>
        <v>0.89</v>
      </c>
      <c r="F29">
        <f>rzeszow_test!F4</f>
        <v>3</v>
      </c>
    </row>
    <row r="30" spans="1:9">
      <c r="A30" t="str">
        <f>rzeszow_test!A5</f>
        <v>ft26_SGD_finloop.pt_feval.csv</v>
      </c>
      <c r="B30">
        <f>rzeszow_test!B5</f>
        <v>0.91800000000000004</v>
      </c>
      <c r="C30">
        <f>rzeszow_test!C5</f>
        <v>0.94499999999999995</v>
      </c>
      <c r="D30">
        <f>rzeszow_test!D5</f>
        <v>0.625</v>
      </c>
      <c r="E30">
        <f>rzeszow_test!E5</f>
        <v>0.88800000000000001</v>
      </c>
      <c r="F30">
        <f>rzeszow_test!F5</f>
        <v>4</v>
      </c>
    </row>
    <row r="31" spans="1:9">
      <c r="A31" t="str">
        <f>rzeszow_test!A6</f>
        <v>ft27_AdamW_finloop.pt_feval.csv</v>
      </c>
      <c r="B31">
        <f>rzeszow_test!B6</f>
        <v>0.85499999999999998</v>
      </c>
      <c r="C31">
        <f>rzeszow_test!C6</f>
        <v>0.89200000000000002</v>
      </c>
      <c r="D31">
        <f>rzeszow_test!D6</f>
        <v>0.59499999999999997</v>
      </c>
      <c r="E31">
        <f>rzeszow_test!E6</f>
        <v>0.82399999999999995</v>
      </c>
      <c r="F31">
        <f>rzeszow_test!F6</f>
        <v>5</v>
      </c>
    </row>
    <row r="32" spans="1:9">
      <c r="A32" t="str">
        <f>rzeszow_train!A2</f>
        <v>ft26_AdamW_finloop.pt_feval.csv</v>
      </c>
      <c r="B32">
        <f>rzeszow_train!B2</f>
        <v>0.94199999999999995</v>
      </c>
      <c r="C32">
        <f>rzeszow_train!C2</f>
        <v>0.97199999999999998</v>
      </c>
      <c r="D32">
        <f>rzeszow_train!D2</f>
        <v>0.79400000000000004</v>
      </c>
      <c r="E32">
        <f>rzeszow_train!E2</f>
        <v>0.90800000000000003</v>
      </c>
      <c r="F32">
        <f>rzeszow_train!F2</f>
        <v>1</v>
      </c>
    </row>
    <row r="33" spans="1:6">
      <c r="A33" t="str">
        <f>rzeszow_train!A3</f>
        <v>ft27_AdamW_finloop.pt_feval.csv</v>
      </c>
      <c r="B33">
        <f>rzeszow_train!B3</f>
        <v>0.94699999999999995</v>
      </c>
      <c r="C33">
        <f>rzeszow_train!C3</f>
        <v>0.97299999999999998</v>
      </c>
      <c r="D33">
        <f>rzeszow_train!D3</f>
        <v>0.80500000000000005</v>
      </c>
      <c r="E33">
        <f>rzeszow_train!E3</f>
        <v>0.90700000000000003</v>
      </c>
      <c r="F33">
        <f>rzeszow_train!F3</f>
        <v>2</v>
      </c>
    </row>
    <row r="34" spans="1:6">
      <c r="A34" t="str">
        <f>rzeszow_train!A4</f>
        <v>ft28_AdamW_finloop.pt_feval.csv</v>
      </c>
      <c r="B34">
        <f>rzeszow_train!B4</f>
        <v>0.94499999999999995</v>
      </c>
      <c r="C34">
        <f>rzeszow_train!C4</f>
        <v>0.97399999999999998</v>
      </c>
      <c r="D34">
        <f>rzeszow_train!D4</f>
        <v>0.80800000000000005</v>
      </c>
      <c r="E34">
        <f>rzeszow_train!E4</f>
        <v>0.90500000000000003</v>
      </c>
      <c r="F34">
        <f>rzeszow_train!F4</f>
        <v>3</v>
      </c>
    </row>
    <row r="35" spans="1:6">
      <c r="A35" t="str">
        <f>rzeszow_train!A5</f>
        <v>ft26_SGD_finloop.pt_feval.csv</v>
      </c>
      <c r="B35">
        <f>rzeszow_train!B5</f>
        <v>0.93600000000000005</v>
      </c>
      <c r="C35">
        <f>rzeszow_train!C5</f>
        <v>0.95599999999999996</v>
      </c>
      <c r="D35">
        <f>rzeszow_train!D5</f>
        <v>0.74299999999999999</v>
      </c>
      <c r="E35">
        <f>rzeszow_train!E5</f>
        <v>0.89200000000000002</v>
      </c>
      <c r="F35">
        <f>rzeszow_train!F5</f>
        <v>4</v>
      </c>
    </row>
    <row r="36" spans="1:6">
      <c r="A36" t="str">
        <f>rzeszow_train!A6</f>
        <v>ft28_SGD_finloop.pt_feval.csv</v>
      </c>
      <c r="B36">
        <f>rzeszow_train!B6</f>
        <v>0.92500000000000004</v>
      </c>
      <c r="C36">
        <f>rzeszow_train!C6</f>
        <v>0.94899999999999995</v>
      </c>
      <c r="D36">
        <f>rzeszow_train!D6</f>
        <v>0.72699999999999998</v>
      </c>
      <c r="E36">
        <f>rzeszow_train!E6</f>
        <v>0.88300000000000001</v>
      </c>
      <c r="F36">
        <f>rzeszow_train!F6</f>
        <v>5</v>
      </c>
    </row>
    <row r="37" spans="1:6">
      <c r="A37" t="str">
        <f>rzeszow_val!A2</f>
        <v>ft12c_AdamW_feval.csv</v>
      </c>
      <c r="B37">
        <f>rzeszow_val!B2</f>
        <v>0.85</v>
      </c>
      <c r="C37">
        <f>rzeszow_val!C2</f>
        <v>0.85499999999999998</v>
      </c>
      <c r="D37">
        <f>rzeszow_val!D2</f>
        <v>0.67</v>
      </c>
      <c r="E37">
        <f>rzeszow_val!E2</f>
        <v>0.84199999999999997</v>
      </c>
      <c r="F37">
        <f>rzeszow_val!F2</f>
        <v>1</v>
      </c>
    </row>
    <row r="38" spans="1:6">
      <c r="A38" t="str">
        <f>rzeszow_val!A3</f>
        <v>ft12_AdamW_feval.csv</v>
      </c>
      <c r="B38">
        <f>rzeszow_val!B3</f>
        <v>0.84599999999999997</v>
      </c>
      <c r="C38">
        <f>rzeszow_val!C3</f>
        <v>0.84799999999999998</v>
      </c>
      <c r="D38">
        <f>rzeszow_val!D3</f>
        <v>0.65700000000000003</v>
      </c>
      <c r="E38">
        <f>rzeszow_val!E3</f>
        <v>0.83299999999999996</v>
      </c>
      <c r="F38">
        <f>rzeszow_val!F3</f>
        <v>2</v>
      </c>
    </row>
    <row r="39" spans="1:6">
      <c r="A39" t="str">
        <f>rzeszow_val!A4</f>
        <v>ft12b_AdamW_feval.csv</v>
      </c>
      <c r="B39">
        <f>rzeszow_val!B4</f>
        <v>0.83699999999999997</v>
      </c>
      <c r="C39">
        <f>rzeszow_val!C4</f>
        <v>0.84199999999999997</v>
      </c>
      <c r="D39">
        <f>rzeszow_val!D4</f>
        <v>0.65100000000000002</v>
      </c>
      <c r="E39">
        <f>rzeszow_val!E4</f>
        <v>0.82099999999999995</v>
      </c>
      <c r="F39">
        <f>rzeszow_val!F4</f>
        <v>3</v>
      </c>
    </row>
    <row r="40" spans="1:6">
      <c r="A40" t="str">
        <f>rzeszow_val!A5</f>
        <v>ft10_SGD_feval.csv</v>
      </c>
      <c r="B40">
        <f>rzeszow_val!B5</f>
        <v>0.82299999999999995</v>
      </c>
      <c r="C40">
        <f>rzeszow_val!C5</f>
        <v>0.82299999999999995</v>
      </c>
      <c r="D40">
        <f>rzeszow_val!D5</f>
        <v>0.624</v>
      </c>
      <c r="E40">
        <f>rzeszow_val!E5</f>
        <v>0.81</v>
      </c>
      <c r="F40">
        <f>rzeszow_val!F5</f>
        <v>4</v>
      </c>
    </row>
    <row r="41" spans="1:6">
      <c r="A41" t="str">
        <f>rzeszow_val!A6</f>
        <v>ft7_feval_SGD.csv</v>
      </c>
      <c r="B41">
        <f>rzeszow_val!B6</f>
        <v>0.81799999999999995</v>
      </c>
      <c r="C41">
        <f>rzeszow_val!C6</f>
        <v>0.82599999999999996</v>
      </c>
      <c r="D41">
        <f>rzeszow_val!D6</f>
        <v>0.624</v>
      </c>
      <c r="E41">
        <f>rzeszow_val!E6</f>
        <v>0.80500000000000005</v>
      </c>
      <c r="F41">
        <f>rzeszow_val!F6</f>
        <v>5</v>
      </c>
    </row>
  </sheetData>
  <conditionalFormatting sqref="E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495"/>
  <sheetViews>
    <sheetView workbookViewId="0">
      <selection activeCell="E5" sqref="E5"/>
    </sheetView>
  </sheetViews>
  <sheetFormatPr defaultRowHeight="13.8"/>
  <cols>
    <col min="1" max="1" width="31.296875" bestFit="1" customWidth="1"/>
    <col min="2" max="2" width="4.09765625" bestFit="1" customWidth="1"/>
    <col min="5" max="5" width="31.296875" customWidth="1"/>
    <col min="6" max="6" width="11.5" customWidth="1"/>
    <col min="7" max="21" width="2.8984375" customWidth="1"/>
    <col min="22" max="61" width="3.8984375" customWidth="1"/>
    <col min="62" max="62" width="14.296875" bestFit="1" customWidth="1"/>
  </cols>
  <sheetData>
    <row r="1" spans="1:6">
      <c r="A1" t="str">
        <f>synth_old_test!A1</f>
        <v>setting</v>
      </c>
      <c r="B1" t="str">
        <f>synth_old_test!F1</f>
        <v>msc</v>
      </c>
      <c r="E1" s="1" t="s">
        <v>61</v>
      </c>
      <c r="F1" t="s">
        <v>65</v>
      </c>
    </row>
    <row r="2" spans="1:6">
      <c r="A2" t="str">
        <f>synth_old_test!A2</f>
        <v>ft26_SGD_feval.csv</v>
      </c>
      <c r="B2">
        <f>synth_old_test!F2</f>
        <v>1</v>
      </c>
      <c r="E2" s="2" t="s">
        <v>60</v>
      </c>
      <c r="F2" s="3">
        <v>80</v>
      </c>
    </row>
    <row r="3" spans="1:6">
      <c r="A3" t="str">
        <f>synth_old_test!A3</f>
        <v>ft21v8_SGD_feval.csv</v>
      </c>
      <c r="B3">
        <f>synth_old_test!F3</f>
        <v>2</v>
      </c>
      <c r="E3" s="2" t="s">
        <v>13</v>
      </c>
      <c r="F3" s="3">
        <v>109</v>
      </c>
    </row>
    <row r="4" spans="1:6">
      <c r="A4" t="str">
        <f>synth_old_test!A4</f>
        <v>ft21_SGD_feval.csv</v>
      </c>
      <c r="B4">
        <f>synth_old_test!F4</f>
        <v>3</v>
      </c>
      <c r="E4" s="2" t="s">
        <v>92</v>
      </c>
      <c r="F4" s="3">
        <v>118</v>
      </c>
    </row>
    <row r="5" spans="1:6">
      <c r="A5" t="str">
        <f>synth_old_test!A5</f>
        <v>ft27_SGD_feval.csv</v>
      </c>
      <c r="B5">
        <f>synth_old_test!F5</f>
        <v>4</v>
      </c>
      <c r="E5" s="2" t="s">
        <v>101</v>
      </c>
      <c r="F5" s="3">
        <v>121</v>
      </c>
    </row>
    <row r="6" spans="1:6">
      <c r="A6" t="str">
        <f>synth_old_test!A6</f>
        <v>ft28_SGD_feval.csv</v>
      </c>
      <c r="B6">
        <f>synth_old_test!F6</f>
        <v>5</v>
      </c>
      <c r="E6" s="2" t="s">
        <v>20</v>
      </c>
      <c r="F6" s="3">
        <v>123</v>
      </c>
    </row>
    <row r="7" spans="1:6">
      <c r="A7" t="str">
        <f>synth_old_test!A7</f>
        <v>ft23_SGD_feval.csv</v>
      </c>
      <c r="B7">
        <f>synth_old_test!F7</f>
        <v>6</v>
      </c>
      <c r="E7" s="2" t="s">
        <v>26</v>
      </c>
      <c r="F7" s="3">
        <v>125</v>
      </c>
    </row>
    <row r="8" spans="1:6">
      <c r="A8" t="str">
        <f>synth_old_test!A8</f>
        <v>ft22_AdamW_feval.csv</v>
      </c>
      <c r="B8">
        <f>synth_old_test!F8</f>
        <v>7</v>
      </c>
      <c r="E8" s="2" t="s">
        <v>105</v>
      </c>
      <c r="F8" s="3">
        <v>125</v>
      </c>
    </row>
    <row r="9" spans="1:6">
      <c r="A9" t="str">
        <f>synth_old_test!A9</f>
        <v>ft22_SGD_feval.csv</v>
      </c>
      <c r="B9">
        <f>synth_old_test!F9</f>
        <v>8</v>
      </c>
      <c r="E9" s="2" t="s">
        <v>93</v>
      </c>
      <c r="F9" s="3">
        <v>125</v>
      </c>
    </row>
    <row r="10" spans="1:6">
      <c r="A10" t="str">
        <f>synth_old_test!A10</f>
        <v>ft27_AdamW_feval.csv</v>
      </c>
      <c r="B10">
        <f>synth_old_test!F10</f>
        <v>9</v>
      </c>
      <c r="E10" s="2" t="s">
        <v>97</v>
      </c>
      <c r="F10" s="3">
        <v>126</v>
      </c>
    </row>
    <row r="11" spans="1:6">
      <c r="A11" t="str">
        <f>synth_old_test!A11</f>
        <v>ft9_feval_SGD.csv</v>
      </c>
      <c r="B11">
        <f>synth_old_test!F11</f>
        <v>10</v>
      </c>
      <c r="E11" s="2" t="s">
        <v>91</v>
      </c>
      <c r="F11" s="3">
        <v>127</v>
      </c>
    </row>
    <row r="12" spans="1:6">
      <c r="A12" t="str">
        <f>synth_old_test!A12</f>
        <v>ft20_SGD_feval.csv</v>
      </c>
      <c r="B12">
        <f>synth_old_test!F12</f>
        <v>11</v>
      </c>
      <c r="E12" s="2" t="s">
        <v>104</v>
      </c>
      <c r="F12" s="3">
        <v>137</v>
      </c>
    </row>
    <row r="13" spans="1:6">
      <c r="A13" t="str">
        <f>synth_old_test!A13</f>
        <v>ft10_AdamW_feval.csv</v>
      </c>
      <c r="B13">
        <f>synth_old_test!F13</f>
        <v>12</v>
      </c>
      <c r="E13" s="2" t="s">
        <v>14</v>
      </c>
      <c r="F13" s="3">
        <v>139</v>
      </c>
    </row>
    <row r="14" spans="1:6">
      <c r="A14" t="str">
        <f>synth_old_test!A14</f>
        <v>ft11_SGD_feval.csv</v>
      </c>
      <c r="B14">
        <f>synth_old_test!F14</f>
        <v>13</v>
      </c>
      <c r="E14" s="2" t="s">
        <v>10</v>
      </c>
      <c r="F14" s="3">
        <v>139</v>
      </c>
    </row>
    <row r="15" spans="1:6">
      <c r="A15" t="str">
        <f>synth_old_test!A15</f>
        <v>ft12c_SGD_feval.csv</v>
      </c>
      <c r="B15">
        <f>synth_old_test!F15</f>
        <v>14</v>
      </c>
      <c r="E15" s="2" t="s">
        <v>12</v>
      </c>
      <c r="F15" s="3">
        <v>140</v>
      </c>
    </row>
    <row r="16" spans="1:6">
      <c r="A16" t="str">
        <f>synth_old_test!A16</f>
        <v>ft24_SGD_feval.csv</v>
      </c>
      <c r="B16">
        <f>synth_old_test!F16</f>
        <v>15</v>
      </c>
      <c r="E16" s="2" t="s">
        <v>99</v>
      </c>
      <c r="F16" s="3">
        <v>140</v>
      </c>
    </row>
    <row r="17" spans="1:6">
      <c r="A17" t="str">
        <f>synth_old_test!A17</f>
        <v>ft12b_SGD_feval.csv</v>
      </c>
      <c r="B17">
        <f>synth_old_test!F17</f>
        <v>16</v>
      </c>
      <c r="E17" s="2" t="s">
        <v>38</v>
      </c>
      <c r="F17" s="3">
        <v>141</v>
      </c>
    </row>
    <row r="18" spans="1:6">
      <c r="A18" t="str">
        <f>synth_old_test!A18</f>
        <v>ft12_AdamW_feval.csv</v>
      </c>
      <c r="B18">
        <f>synth_old_test!F18</f>
        <v>17</v>
      </c>
      <c r="E18" s="2" t="s">
        <v>56</v>
      </c>
      <c r="F18" s="3">
        <v>145</v>
      </c>
    </row>
    <row r="19" spans="1:6">
      <c r="A19" t="str">
        <f>synth_old_test!A19</f>
        <v>ft7_feval_auto.csv</v>
      </c>
      <c r="B19">
        <f>synth_old_test!F19</f>
        <v>18</v>
      </c>
      <c r="E19" s="2" t="s">
        <v>8</v>
      </c>
      <c r="F19" s="3">
        <v>145</v>
      </c>
    </row>
    <row r="20" spans="1:6">
      <c r="A20" t="str">
        <f>synth_old_test!A20</f>
        <v>ft8_feval_auto.csv</v>
      </c>
      <c r="B20">
        <f>synth_old_test!F20</f>
        <v>19</v>
      </c>
      <c r="E20" s="2" t="s">
        <v>32</v>
      </c>
      <c r="F20" s="3">
        <v>147</v>
      </c>
    </row>
    <row r="21" spans="1:6">
      <c r="A21" t="str">
        <f>synth_old_test!A21</f>
        <v>ft9_feval_auto.csv</v>
      </c>
      <c r="B21">
        <f>synth_old_test!F21</f>
        <v>20</v>
      </c>
      <c r="E21" s="2" t="s">
        <v>95</v>
      </c>
      <c r="F21" s="3">
        <v>149</v>
      </c>
    </row>
    <row r="22" spans="1:6">
      <c r="A22" t="str">
        <f>synth_old_test!A22</f>
        <v>ft12_SGD_feval.csv</v>
      </c>
      <c r="B22">
        <f>synth_old_test!F22</f>
        <v>21</v>
      </c>
      <c r="E22" s="2" t="s">
        <v>103</v>
      </c>
      <c r="F22" s="3">
        <v>150</v>
      </c>
    </row>
    <row r="23" spans="1:6">
      <c r="A23" t="str">
        <f>synth_old_test!A23</f>
        <v>ft21v8_SGD_yolov8l-seg.pt_feval.csv</v>
      </c>
      <c r="B23">
        <f>synth_old_test!F23</f>
        <v>22</v>
      </c>
      <c r="E23" s="2" t="s">
        <v>100</v>
      </c>
      <c r="F23" s="3">
        <v>152</v>
      </c>
    </row>
    <row r="24" spans="1:6">
      <c r="A24" t="str">
        <f>synth_old_test!A24</f>
        <v>ft28_AdamW_feval.csv</v>
      </c>
      <c r="B24">
        <f>synth_old_test!F24</f>
        <v>23</v>
      </c>
      <c r="E24" s="2" t="s">
        <v>11</v>
      </c>
      <c r="F24" s="3">
        <v>155</v>
      </c>
    </row>
    <row r="25" spans="1:6">
      <c r="A25" t="str">
        <f>synth_old_test!A25</f>
        <v>ft12c_AdamW_feval.csv</v>
      </c>
      <c r="B25">
        <f>synth_old_test!F25</f>
        <v>24</v>
      </c>
      <c r="E25" s="2" t="s">
        <v>96</v>
      </c>
      <c r="F25" s="3">
        <v>155</v>
      </c>
    </row>
    <row r="26" spans="1:6">
      <c r="A26" t="str">
        <f>synth_old_test!A26</f>
        <v>ft25_SGD_feval.csv</v>
      </c>
      <c r="B26">
        <f>synth_old_test!F26</f>
        <v>25</v>
      </c>
      <c r="E26" s="2" t="s">
        <v>9</v>
      </c>
      <c r="F26" s="3">
        <v>159</v>
      </c>
    </row>
    <row r="27" spans="1:6">
      <c r="A27" t="str">
        <f>synth_old_test!A27</f>
        <v>ft8_feval_AdamW.csv</v>
      </c>
      <c r="B27">
        <f>synth_old_test!F27</f>
        <v>26</v>
      </c>
      <c r="E27" s="2" t="s">
        <v>6</v>
      </c>
      <c r="F27" s="3">
        <v>161</v>
      </c>
    </row>
    <row r="28" spans="1:6">
      <c r="A28" t="str">
        <f>synth_old_test!A28</f>
        <v>ft21_AdamW_feval.csv</v>
      </c>
      <c r="B28">
        <f>synth_old_test!F28</f>
        <v>27</v>
      </c>
      <c r="E28" s="2" t="s">
        <v>59</v>
      </c>
      <c r="F28" s="3">
        <v>161</v>
      </c>
    </row>
    <row r="29" spans="1:6">
      <c r="A29" t="str">
        <f>synth_old_test!A29</f>
        <v>ft23_AdamW_feval.csv</v>
      </c>
      <c r="B29">
        <f>synth_old_test!F29</f>
        <v>28</v>
      </c>
      <c r="E29" s="2" t="s">
        <v>57</v>
      </c>
      <c r="F29" s="3">
        <v>168</v>
      </c>
    </row>
    <row r="30" spans="1:6">
      <c r="A30" t="str">
        <f>synth_old_test!A30</f>
        <v>ft8_feval_SGD.csv</v>
      </c>
      <c r="B30">
        <f>synth_old_test!F30</f>
        <v>29</v>
      </c>
      <c r="E30" s="2" t="s">
        <v>53</v>
      </c>
      <c r="F30" s="3">
        <v>175</v>
      </c>
    </row>
    <row r="31" spans="1:6">
      <c r="A31" t="str">
        <f>synth_old_test!A31</f>
        <v>ft7_feval_AdamW.csv</v>
      </c>
      <c r="B31">
        <f>synth_old_test!F31</f>
        <v>30</v>
      </c>
      <c r="E31" s="2" t="s">
        <v>40</v>
      </c>
      <c r="F31" s="3">
        <v>178</v>
      </c>
    </row>
    <row r="32" spans="1:6">
      <c r="A32" t="str">
        <f>synth_old_test!A32</f>
        <v>ft4_feval_SGD.csv</v>
      </c>
      <c r="B32">
        <f>synth_old_test!F32</f>
        <v>31</v>
      </c>
      <c r="E32" s="2" t="s">
        <v>98</v>
      </c>
      <c r="F32" s="3">
        <v>178</v>
      </c>
    </row>
    <row r="33" spans="1:6">
      <c r="A33" t="str">
        <f>synth_old_test!A33</f>
        <v>ft25_AdamW_feval.csv</v>
      </c>
      <c r="B33">
        <f>synth_old_test!F33</f>
        <v>32</v>
      </c>
      <c r="E33" s="2" t="s">
        <v>34</v>
      </c>
      <c r="F33" s="3">
        <v>182</v>
      </c>
    </row>
    <row r="34" spans="1:6">
      <c r="A34" t="str">
        <f>synth_old_test!A34</f>
        <v>ft24_AdamW_feval.csv</v>
      </c>
      <c r="B34">
        <f>synth_old_test!F34</f>
        <v>33</v>
      </c>
      <c r="E34" s="2" t="s">
        <v>44</v>
      </c>
      <c r="F34" s="3">
        <v>185</v>
      </c>
    </row>
    <row r="35" spans="1:6">
      <c r="A35" t="str">
        <f>synth_old_test!A35</f>
        <v>ft10_SGD_feval.csv</v>
      </c>
      <c r="B35">
        <f>synth_old_test!F35</f>
        <v>34</v>
      </c>
      <c r="E35" s="2" t="s">
        <v>5</v>
      </c>
      <c r="F35" s="3">
        <v>187</v>
      </c>
    </row>
    <row r="36" spans="1:6">
      <c r="A36" t="str">
        <f>synth_old_test!A36</f>
        <v>ft21fin_SGD_finloop.pt_feval.csv</v>
      </c>
      <c r="B36">
        <f>synth_old_test!F36</f>
        <v>35</v>
      </c>
      <c r="E36" s="2" t="s">
        <v>50</v>
      </c>
      <c r="F36" s="3">
        <v>189</v>
      </c>
    </row>
    <row r="37" spans="1:6">
      <c r="A37" t="str">
        <f>synth_old_test!A37</f>
        <v>ft26_AdamW_feval.csv</v>
      </c>
      <c r="B37">
        <f>synth_old_test!F37</f>
        <v>36</v>
      </c>
      <c r="E37" s="2" t="s">
        <v>7</v>
      </c>
      <c r="F37" s="3">
        <v>197</v>
      </c>
    </row>
    <row r="38" spans="1:6">
      <c r="A38" t="str">
        <f>synth_old_test!A38</f>
        <v>ft26_SGD_finloop.pt_feval.csv</v>
      </c>
      <c r="B38">
        <f>synth_old_test!F38</f>
        <v>37</v>
      </c>
      <c r="E38" s="2" t="s">
        <v>28</v>
      </c>
      <c r="F38" s="3">
        <v>200</v>
      </c>
    </row>
    <row r="39" spans="1:6">
      <c r="A39" t="str">
        <f>synth_old_test!A39</f>
        <v>ft27_SGD_finloop.pt_feval.csv</v>
      </c>
      <c r="B39">
        <f>synth_old_test!F39</f>
        <v>38</v>
      </c>
      <c r="E39" s="2" t="s">
        <v>102</v>
      </c>
      <c r="F39" s="3">
        <v>205</v>
      </c>
    </row>
    <row r="40" spans="1:6">
      <c r="A40" t="str">
        <f>synth_old_test!A40</f>
        <v>ft20_AdamW_feval.csv</v>
      </c>
      <c r="B40">
        <f>synth_old_test!F40</f>
        <v>39</v>
      </c>
      <c r="E40" s="2" t="s">
        <v>94</v>
      </c>
      <c r="F40" s="3">
        <v>207</v>
      </c>
    </row>
    <row r="41" spans="1:6">
      <c r="A41" t="str">
        <f>synth_old_test!A41</f>
        <v>ft28_SGD_finloop.pt_feval.csv</v>
      </c>
      <c r="B41">
        <f>synth_old_test!F41</f>
        <v>40</v>
      </c>
      <c r="E41" s="2" t="s">
        <v>52</v>
      </c>
      <c r="F41" s="3">
        <v>211</v>
      </c>
    </row>
    <row r="42" spans="1:6">
      <c r="A42" t="str">
        <f>synth_old_test!A42</f>
        <v>ft9_feval_AdamW.csv</v>
      </c>
      <c r="B42">
        <f>synth_old_test!F42</f>
        <v>41</v>
      </c>
      <c r="E42" s="2" t="s">
        <v>46</v>
      </c>
      <c r="F42" s="3">
        <v>213</v>
      </c>
    </row>
    <row r="43" spans="1:6">
      <c r="A43" t="str">
        <f>synth_old_test!A43</f>
        <v>ft12b_AdamW_feval.csv</v>
      </c>
      <c r="B43">
        <f>synth_old_test!F43</f>
        <v>42</v>
      </c>
      <c r="E43" s="2" t="s">
        <v>55</v>
      </c>
      <c r="F43" s="3">
        <v>218</v>
      </c>
    </row>
    <row r="44" spans="1:6">
      <c r="A44" t="str">
        <f>synth_old_test!A44</f>
        <v>ft27_AdamW_finloop.pt_feval.csv</v>
      </c>
      <c r="B44">
        <f>synth_old_test!F44</f>
        <v>43</v>
      </c>
      <c r="E44" s="2" t="s">
        <v>54</v>
      </c>
      <c r="F44" s="3">
        <v>221</v>
      </c>
    </row>
    <row r="45" spans="1:6">
      <c r="A45" t="str">
        <f>synth_old_test!A45</f>
        <v>ft28_AdamW_finloop.pt_feval.csv</v>
      </c>
      <c r="B45">
        <f>synth_old_test!F45</f>
        <v>44</v>
      </c>
      <c r="E45" s="2" t="s">
        <v>22</v>
      </c>
      <c r="F45" s="3">
        <v>224</v>
      </c>
    </row>
    <row r="46" spans="1:6">
      <c r="A46" t="str">
        <f>synth_old_test!A46</f>
        <v>ft7_feval_SGD.csv</v>
      </c>
      <c r="B46">
        <f>synth_old_test!F46</f>
        <v>45</v>
      </c>
      <c r="E46" s="2" t="s">
        <v>58</v>
      </c>
      <c r="F46" s="3">
        <v>225</v>
      </c>
    </row>
    <row r="47" spans="1:6">
      <c r="A47" t="str">
        <f>synth_old_test!A47</f>
        <v>ft11_AdamW_feval.csv</v>
      </c>
      <c r="B47">
        <f>synth_old_test!F47</f>
        <v>46</v>
      </c>
      <c r="E47" s="2" t="s">
        <v>51</v>
      </c>
      <c r="F47" s="3">
        <v>235</v>
      </c>
    </row>
    <row r="48" spans="1:6">
      <c r="A48" t="str">
        <f>synth_old_test!A48</f>
        <v>ft26_AdamW_finloop.pt_feval.csv</v>
      </c>
      <c r="B48">
        <f>synth_old_test!F48</f>
        <v>47</v>
      </c>
      <c r="E48" s="2" t="s">
        <v>16</v>
      </c>
      <c r="F48" s="3">
        <v>263</v>
      </c>
    </row>
    <row r="49" spans="1:6">
      <c r="A49" t="str">
        <f>synth_old_test!A49</f>
        <v>ft25_RMSProp_feval.csv</v>
      </c>
      <c r="B49">
        <f>synth_old_test!F49</f>
        <v>48</v>
      </c>
      <c r="E49" s="2" t="s">
        <v>48</v>
      </c>
      <c r="F49" s="3">
        <v>333</v>
      </c>
    </row>
    <row r="50" spans="1:6">
      <c r="A50" t="str">
        <f>synth_old_test!A50</f>
        <v>ft21_RMSProp_feval.csv</v>
      </c>
      <c r="B50">
        <f>synth_old_test!F50</f>
        <v>49</v>
      </c>
      <c r="E50" s="2" t="s">
        <v>24</v>
      </c>
      <c r="F50" s="3">
        <v>346</v>
      </c>
    </row>
    <row r="51" spans="1:6">
      <c r="A51" t="str">
        <f>synth_old_test!A51</f>
        <v>ft20_AdamW_ariel.pt_feval.csv</v>
      </c>
      <c r="B51">
        <f>synth_old_test!F51</f>
        <v>50</v>
      </c>
      <c r="E51" s="2" t="s">
        <v>15</v>
      </c>
      <c r="F51" s="3">
        <v>346</v>
      </c>
    </row>
    <row r="52" spans="1:6">
      <c r="A52" t="str">
        <f>synth_old_test!A52</f>
        <v>ft20_RMSProp_ariel.pt_feval.csv</v>
      </c>
      <c r="B52">
        <f>synth_old_test!F52</f>
        <v>51</v>
      </c>
      <c r="E52" s="2" t="s">
        <v>17</v>
      </c>
      <c r="F52" s="3">
        <v>353</v>
      </c>
    </row>
    <row r="53" spans="1:6">
      <c r="A53" t="str">
        <f>synth_old_test!A53</f>
        <v>ft20_RMSProp_feval.csv</v>
      </c>
      <c r="B53">
        <f>synth_old_test!F53</f>
        <v>52</v>
      </c>
      <c r="E53" s="2" t="s">
        <v>18</v>
      </c>
      <c r="F53" s="3">
        <v>360</v>
      </c>
    </row>
    <row r="54" spans="1:6">
      <c r="A54" t="str">
        <f>synth_old_test!A54</f>
        <v>ft20_SGD_ariel.pt_feval.csv</v>
      </c>
      <c r="B54">
        <f>synth_old_test!F54</f>
        <v>53</v>
      </c>
      <c r="E54" s="2" t="s">
        <v>19</v>
      </c>
      <c r="F54" s="3">
        <v>367</v>
      </c>
    </row>
    <row r="55" spans="1:6">
      <c r="A55" t="str">
        <f>synth_old_test!A55</f>
        <v>ft21_AdamW_ariel.pt_feval.csv</v>
      </c>
      <c r="B55">
        <f>synth_old_test!F55</f>
        <v>54</v>
      </c>
      <c r="E55" s="2" t="s">
        <v>21</v>
      </c>
      <c r="F55" s="3">
        <v>374</v>
      </c>
    </row>
    <row r="56" spans="1:6">
      <c r="A56" t="str">
        <f>synth_old_test!A56</f>
        <v>ft21_RMSProp_ariel.pt_feval.csv</v>
      </c>
      <c r="B56">
        <f>synth_old_test!F56</f>
        <v>55</v>
      </c>
      <c r="E56" s="2" t="s">
        <v>23</v>
      </c>
      <c r="F56" s="3">
        <v>381</v>
      </c>
    </row>
    <row r="57" spans="1:6">
      <c r="A57" t="str">
        <f>synth_old_test!A72</f>
        <v>ft25_SGD_ariel.pt_feval.csv</v>
      </c>
      <c r="B57">
        <f>synth_old_test!F57</f>
        <v>56</v>
      </c>
      <c r="E57" s="2" t="s">
        <v>27</v>
      </c>
      <c r="F57" s="3">
        <v>396</v>
      </c>
    </row>
    <row r="58" spans="1:6">
      <c r="A58" t="str">
        <f>synth_old_test!A58</f>
        <v>ft22_AdamW_ariel.pt_feval.csv</v>
      </c>
      <c r="B58">
        <f>synth_old_test!F58</f>
        <v>57</v>
      </c>
      <c r="E58" s="2" t="s">
        <v>29</v>
      </c>
      <c r="F58" s="3">
        <v>403</v>
      </c>
    </row>
    <row r="59" spans="1:6">
      <c r="A59" t="str">
        <f>synth_old_test!A59</f>
        <v>ft22_RMSProp_ariel.pt_feval.csv</v>
      </c>
      <c r="B59">
        <f>synth_old_test!F59</f>
        <v>58</v>
      </c>
      <c r="E59" s="2" t="s">
        <v>30</v>
      </c>
      <c r="F59" s="3">
        <v>410</v>
      </c>
    </row>
    <row r="60" spans="1:6">
      <c r="A60" t="str">
        <f>synth_old_test!A60</f>
        <v>ft22_RMSProp_feval.csv</v>
      </c>
      <c r="B60">
        <f>synth_old_test!F60</f>
        <v>59</v>
      </c>
      <c r="E60" s="2" t="s">
        <v>31</v>
      </c>
      <c r="F60" s="3">
        <v>417</v>
      </c>
    </row>
    <row r="61" spans="1:6">
      <c r="A61" t="str">
        <f>synth_old_test!A61</f>
        <v>ft22_SGD_ariel.pt_feval.csv</v>
      </c>
      <c r="B61">
        <f>synth_old_test!F61</f>
        <v>60</v>
      </c>
      <c r="E61" s="2" t="s">
        <v>33</v>
      </c>
      <c r="F61" s="3">
        <v>424</v>
      </c>
    </row>
    <row r="62" spans="1:6">
      <c r="A62" t="str">
        <f>synth_old_test!A62</f>
        <v>ft23_AdamW_ariel.pt_feval.csv</v>
      </c>
      <c r="B62">
        <f>synth_old_test!F62</f>
        <v>61</v>
      </c>
      <c r="E62" s="2" t="s">
        <v>35</v>
      </c>
      <c r="F62" s="3">
        <v>431</v>
      </c>
    </row>
    <row r="63" spans="1:6">
      <c r="A63" t="str">
        <f>synth_old_test!A63</f>
        <v>ft23_RMSProp_ariel.pt_feval.csv</v>
      </c>
      <c r="B63">
        <f>synth_old_test!F63</f>
        <v>62</v>
      </c>
      <c r="E63" s="2" t="s">
        <v>36</v>
      </c>
      <c r="F63" s="3">
        <v>438</v>
      </c>
    </row>
    <row r="64" spans="1:6">
      <c r="A64" t="str">
        <f>synth_old_test!A64</f>
        <v>ft23_RMSProp_feval.csv</v>
      </c>
      <c r="B64">
        <f>synth_old_test!F64</f>
        <v>63</v>
      </c>
      <c r="E64" s="2" t="s">
        <v>37</v>
      </c>
      <c r="F64" s="3">
        <v>445</v>
      </c>
    </row>
    <row r="65" spans="1:6">
      <c r="A65" t="str">
        <f>synth_old_test!A65</f>
        <v>ft23_SGD_ariel.pt_feval.csv</v>
      </c>
      <c r="B65">
        <f>synth_old_test!F65</f>
        <v>64</v>
      </c>
      <c r="E65" s="2" t="s">
        <v>39</v>
      </c>
      <c r="F65" s="3">
        <v>452</v>
      </c>
    </row>
    <row r="66" spans="1:6">
      <c r="A66" t="str">
        <f>synth_old_test!A66</f>
        <v>ft24_AdamW_ariel.pt_feval.csv</v>
      </c>
      <c r="B66">
        <f>synth_old_test!F66</f>
        <v>65</v>
      </c>
      <c r="E66" s="2" t="s">
        <v>41</v>
      </c>
      <c r="F66" s="3">
        <v>459</v>
      </c>
    </row>
    <row r="67" spans="1:6">
      <c r="A67" t="str">
        <f>synth_old_test!A67</f>
        <v>ft24_RMSProp_ariel.pt_feval.csv</v>
      </c>
      <c r="B67">
        <f>synth_old_test!F67</f>
        <v>66</v>
      </c>
      <c r="E67" s="2" t="s">
        <v>42</v>
      </c>
      <c r="F67" s="3">
        <v>466</v>
      </c>
    </row>
    <row r="68" spans="1:6">
      <c r="A68" t="str">
        <f>synth_old_test!A68</f>
        <v>ft24_RMSProp_feval.csv</v>
      </c>
      <c r="B68">
        <f>synth_old_test!F68</f>
        <v>67</v>
      </c>
      <c r="E68" s="2" t="s">
        <v>43</v>
      </c>
      <c r="F68" s="3">
        <v>473</v>
      </c>
    </row>
    <row r="69" spans="1:6">
      <c r="A69" t="str">
        <f>synth_old_test!A69</f>
        <v>ft24_SGD_ariel.pt_feval.csv</v>
      </c>
      <c r="B69">
        <f>synth_old_test!F69</f>
        <v>68</v>
      </c>
      <c r="E69" s="2" t="s">
        <v>45</v>
      </c>
      <c r="F69" s="3">
        <v>480</v>
      </c>
    </row>
    <row r="70" spans="1:6">
      <c r="A70" t="str">
        <f>synth_old_test!A70</f>
        <v>ft25_AdamW_ariel.pt_feval.csv</v>
      </c>
      <c r="B70">
        <f>synth_old_test!F70</f>
        <v>69</v>
      </c>
      <c r="E70" s="2" t="s">
        <v>47</v>
      </c>
      <c r="F70" s="3">
        <v>487</v>
      </c>
    </row>
    <row r="71" spans="1:6">
      <c r="A71" t="str">
        <f>synth_old_test!A71</f>
        <v>ft25_RMSProp_ariel.pt_feval.csv</v>
      </c>
      <c r="B71">
        <f>synth_old_test!F71</f>
        <v>70</v>
      </c>
      <c r="E71" s="2" t="s">
        <v>49</v>
      </c>
      <c r="F71" s="3">
        <v>883</v>
      </c>
    </row>
    <row r="72" spans="1:6">
      <c r="A72" t="str">
        <f>synth_old_test!A72</f>
        <v>ft25_SGD_ariel.pt_feval.csv</v>
      </c>
      <c r="B72">
        <f>synth_old_test!F72</f>
        <v>71</v>
      </c>
      <c r="E72" s="2" t="s">
        <v>62</v>
      </c>
      <c r="F72" s="3">
        <v>17679</v>
      </c>
    </row>
    <row r="73" spans="1:6">
      <c r="A73" t="str">
        <f>synth_old_train!A2</f>
        <v>ft21v8_SGD_yolov8l-seg.pt_feval.csv</v>
      </c>
      <c r="B73">
        <f>synth_old_train!F2</f>
        <v>1</v>
      </c>
    </row>
    <row r="74" spans="1:6">
      <c r="A74" t="str">
        <f>synth_old_train!A3</f>
        <v>ft4_feval_SGD.csv</v>
      </c>
      <c r="B74">
        <f>synth_old_train!F3</f>
        <v>2</v>
      </c>
    </row>
    <row r="75" spans="1:6">
      <c r="A75" t="str">
        <f>synth_old_train!A4</f>
        <v>ft27_SGD_feval.csv</v>
      </c>
      <c r="B75">
        <f>synth_old_train!F4</f>
        <v>3</v>
      </c>
    </row>
    <row r="76" spans="1:6">
      <c r="A76" t="str">
        <f>synth_old_train!A5</f>
        <v>ft21v8_SGD_feval.csv</v>
      </c>
      <c r="B76">
        <f>synth_old_train!F5</f>
        <v>4</v>
      </c>
    </row>
    <row r="77" spans="1:6">
      <c r="A77" t="str">
        <f>synth_old_train!A6</f>
        <v>ft21_SGD_feval.csv</v>
      </c>
      <c r="B77">
        <f>synth_old_train!F6</f>
        <v>5</v>
      </c>
    </row>
    <row r="78" spans="1:6">
      <c r="A78" t="str">
        <f>synth_old_train!A7</f>
        <v>ft24_SGD_feval.csv</v>
      </c>
      <c r="B78">
        <f>synth_old_train!F7</f>
        <v>6</v>
      </c>
    </row>
    <row r="79" spans="1:6">
      <c r="A79" t="str">
        <f>synth_old_train!A8</f>
        <v>ft26_SGD_feval.csv</v>
      </c>
      <c r="B79">
        <f>synth_old_train!F8</f>
        <v>7</v>
      </c>
    </row>
    <row r="80" spans="1:6">
      <c r="A80" t="str">
        <f>synth_old_train!A9</f>
        <v>ft12b_SGD_feval.csv</v>
      </c>
      <c r="B80">
        <f>synth_old_train!F9</f>
        <v>8</v>
      </c>
    </row>
    <row r="81" spans="1:2">
      <c r="A81" t="str">
        <f>synth_old_train!A10</f>
        <v>ft25_SGD_feval.csv</v>
      </c>
      <c r="B81">
        <f>synth_old_train!F10</f>
        <v>9</v>
      </c>
    </row>
    <row r="82" spans="1:2">
      <c r="A82" t="str">
        <f>synth_old_train!A11</f>
        <v>ft20_SGD_feval.csv</v>
      </c>
      <c r="B82">
        <f>synth_old_train!F11</f>
        <v>10</v>
      </c>
    </row>
    <row r="83" spans="1:2">
      <c r="A83" t="str">
        <f>synth_old_train!A12</f>
        <v>ft23_SGD_feval.csv</v>
      </c>
      <c r="B83">
        <f>synth_old_train!F12</f>
        <v>11</v>
      </c>
    </row>
    <row r="84" spans="1:2">
      <c r="A84" t="str">
        <f>synth_old_train!A13</f>
        <v>ft12c_SGD_feval.csv</v>
      </c>
      <c r="B84">
        <f>synth_old_train!F13</f>
        <v>12</v>
      </c>
    </row>
    <row r="85" spans="1:2">
      <c r="A85" t="str">
        <f>synth_old_train!A14</f>
        <v>ft28_SGD_feval.csv</v>
      </c>
      <c r="B85">
        <f>synth_old_train!F14</f>
        <v>13</v>
      </c>
    </row>
    <row r="86" spans="1:2">
      <c r="A86" t="str">
        <f>synth_old_train!A15</f>
        <v>ft8_feval_SGD.csv</v>
      </c>
      <c r="B86">
        <f>synth_old_train!F15</f>
        <v>14</v>
      </c>
    </row>
    <row r="87" spans="1:2">
      <c r="A87" t="str">
        <f>synth_old_train!A16</f>
        <v>ft12_SGD_feval.csv</v>
      </c>
      <c r="B87">
        <f>synth_old_train!F16</f>
        <v>15</v>
      </c>
    </row>
    <row r="88" spans="1:2">
      <c r="A88" t="str">
        <f>synth_old_train!A17</f>
        <v>ft7_feval_SGD.csv</v>
      </c>
      <c r="B88">
        <f>synth_old_train!F17</f>
        <v>16</v>
      </c>
    </row>
    <row r="89" spans="1:2">
      <c r="A89" t="str">
        <f>synth_old_train!A18</f>
        <v>ft12_AdamW_feval.csv</v>
      </c>
      <c r="B89">
        <f>synth_old_train!F18</f>
        <v>17</v>
      </c>
    </row>
    <row r="90" spans="1:2">
      <c r="A90" t="str">
        <f>synth_old_train!A19</f>
        <v>ft10_SGD_feval.csv</v>
      </c>
      <c r="B90">
        <f>synth_old_train!F19</f>
        <v>18</v>
      </c>
    </row>
    <row r="91" spans="1:2">
      <c r="A91" t="str">
        <f>synth_old_train!A20</f>
        <v>ft9_feval_SGD.csv</v>
      </c>
      <c r="B91">
        <f>synth_old_train!F20</f>
        <v>19</v>
      </c>
    </row>
    <row r="92" spans="1:2">
      <c r="A92" t="str">
        <f>synth_old_train!A21</f>
        <v>ft11_SGD_feval.csv</v>
      </c>
      <c r="B92">
        <f>synth_old_train!F21</f>
        <v>20</v>
      </c>
    </row>
    <row r="93" spans="1:2">
      <c r="A93" t="str">
        <f>synth_old_train!A22</f>
        <v>ft22_SGD_feval.csv</v>
      </c>
      <c r="B93">
        <f>synth_old_train!F22</f>
        <v>21</v>
      </c>
    </row>
    <row r="94" spans="1:2">
      <c r="A94" t="str">
        <f>synth_old_train!A23</f>
        <v>ft23_AdamW_feval.csv</v>
      </c>
      <c r="B94">
        <f>synth_old_train!F23</f>
        <v>22</v>
      </c>
    </row>
    <row r="95" spans="1:2">
      <c r="A95" t="str">
        <f>synth_old_train!A24</f>
        <v>ft26_AdamW_finloop.pt_feval.csv</v>
      </c>
      <c r="B95">
        <f>synth_old_train!F24</f>
        <v>23</v>
      </c>
    </row>
    <row r="96" spans="1:2">
      <c r="A96" t="str">
        <f>synth_old_train!A25</f>
        <v>ft12b_AdamW_feval.csv</v>
      </c>
      <c r="B96">
        <f>synth_old_train!F25</f>
        <v>24</v>
      </c>
    </row>
    <row r="97" spans="1:2">
      <c r="A97" t="str">
        <f>synth_old_train!A26</f>
        <v>ft26_AdamW_feval.csv</v>
      </c>
      <c r="B97">
        <f>synth_old_train!F26</f>
        <v>25</v>
      </c>
    </row>
    <row r="98" spans="1:2">
      <c r="A98" t="str">
        <f>synth_old_train!A27</f>
        <v>ft9_feval_AdamW.csv</v>
      </c>
      <c r="B98">
        <f>synth_old_train!F27</f>
        <v>26</v>
      </c>
    </row>
    <row r="99" spans="1:2">
      <c r="A99" t="str">
        <f>synth_old_train!A28</f>
        <v>ft28_SGD_finloop.pt_feval.csv</v>
      </c>
      <c r="B99">
        <f>synth_old_train!F28</f>
        <v>27</v>
      </c>
    </row>
    <row r="100" spans="1:2">
      <c r="A100" t="str">
        <f>synth_old_train!A29</f>
        <v>ft25_AdamW_feval.csv</v>
      </c>
      <c r="B100">
        <f>synth_old_train!F29</f>
        <v>28</v>
      </c>
    </row>
    <row r="101" spans="1:2">
      <c r="A101" t="str">
        <f>synth_old_train!A30</f>
        <v>ft26_SGD_finloop.pt_feval.csv</v>
      </c>
      <c r="B101">
        <f>synth_old_train!F30</f>
        <v>29</v>
      </c>
    </row>
    <row r="102" spans="1:2">
      <c r="A102" t="str">
        <f>synth_old_train!A31</f>
        <v>ft28_AdamW_finloop.pt_feval.csv</v>
      </c>
      <c r="B102">
        <f>synth_old_train!F31</f>
        <v>30</v>
      </c>
    </row>
    <row r="103" spans="1:2">
      <c r="A103" t="str">
        <f>synth_old_train!A32</f>
        <v>ft12c_AdamW_feval.csv</v>
      </c>
      <c r="B103">
        <f>synth_old_train!F32</f>
        <v>31</v>
      </c>
    </row>
    <row r="104" spans="1:2">
      <c r="A104" t="str">
        <f>synth_old_train!A33</f>
        <v>ft27_SGD_finloop.pt_feval.csv</v>
      </c>
      <c r="B104">
        <f>synth_old_train!F33</f>
        <v>32</v>
      </c>
    </row>
    <row r="105" spans="1:2">
      <c r="A105" t="str">
        <f>synth_old_train!A34</f>
        <v>ft22_AdamW_feval.csv</v>
      </c>
      <c r="B105">
        <f>synth_old_train!F34</f>
        <v>33</v>
      </c>
    </row>
    <row r="106" spans="1:2">
      <c r="A106" t="str">
        <f>synth_old_train!A35</f>
        <v>ft27_AdamW_finloop.pt_feval.csv</v>
      </c>
      <c r="B106">
        <f>synth_old_train!F35</f>
        <v>34</v>
      </c>
    </row>
    <row r="107" spans="1:2">
      <c r="A107" t="str">
        <f>synth_old_train!A36</f>
        <v>ft21fin_SGD_finloop.pt_feval.csv</v>
      </c>
      <c r="B107">
        <f>synth_old_train!F36</f>
        <v>35</v>
      </c>
    </row>
    <row r="108" spans="1:2">
      <c r="A108" t="str">
        <f>synth_old_train!A37</f>
        <v>ft11_AdamW_feval.csv</v>
      </c>
      <c r="B108">
        <f>synth_old_train!F37</f>
        <v>36</v>
      </c>
    </row>
    <row r="109" spans="1:2">
      <c r="A109" t="str">
        <f>synth_old_train!A38</f>
        <v>ft27_AdamW_feval.csv</v>
      </c>
      <c r="B109">
        <f>synth_old_train!F38</f>
        <v>37</v>
      </c>
    </row>
    <row r="110" spans="1:2">
      <c r="A110" t="str">
        <f>synth_old_train!A39</f>
        <v>ft28_AdamW_feval.csv</v>
      </c>
      <c r="B110">
        <f>synth_old_train!F39</f>
        <v>38</v>
      </c>
    </row>
    <row r="111" spans="1:2">
      <c r="A111" t="str">
        <f>synth_old_train!A40</f>
        <v>ft21_AdamW_feval.csv</v>
      </c>
      <c r="B111">
        <f>synth_old_train!F40</f>
        <v>39</v>
      </c>
    </row>
    <row r="112" spans="1:2">
      <c r="A112" t="str">
        <f>synth_old_train!A41</f>
        <v>ft10_AdamW_feval.csv</v>
      </c>
      <c r="B112">
        <f>synth_old_train!F41</f>
        <v>40</v>
      </c>
    </row>
    <row r="113" spans="1:2">
      <c r="A113" t="str">
        <f>synth_old_train!A42</f>
        <v>ft7_feval_auto.csv</v>
      </c>
      <c r="B113">
        <f>synth_old_train!F42</f>
        <v>41</v>
      </c>
    </row>
    <row r="114" spans="1:2">
      <c r="A114" t="str">
        <f>synth_old_train!A43</f>
        <v>ft8_feval_auto.csv</v>
      </c>
      <c r="B114">
        <f>synth_old_train!F43</f>
        <v>42</v>
      </c>
    </row>
    <row r="115" spans="1:2">
      <c r="A115" t="str">
        <f>synth_old_train!A44</f>
        <v>ft9_feval_auto.csv</v>
      </c>
      <c r="B115">
        <f>synth_old_train!F44</f>
        <v>43</v>
      </c>
    </row>
    <row r="116" spans="1:2">
      <c r="A116" t="str">
        <f>synth_old_train!A45</f>
        <v>ft8_feval_AdamW.csv</v>
      </c>
      <c r="B116">
        <f>synth_old_train!F45</f>
        <v>44</v>
      </c>
    </row>
    <row r="117" spans="1:2">
      <c r="A117" t="str">
        <f>synth_old_train!A46</f>
        <v>ft20_AdamW_feval.csv</v>
      </c>
      <c r="B117">
        <f>synth_old_train!F46</f>
        <v>45</v>
      </c>
    </row>
    <row r="118" spans="1:2">
      <c r="A118" t="str">
        <f>synth_old_train!A47</f>
        <v>ft24_AdamW_feval.csv</v>
      </c>
      <c r="B118">
        <f>synth_old_train!F47</f>
        <v>46</v>
      </c>
    </row>
    <row r="119" spans="1:2">
      <c r="A119" t="str">
        <f>synth_old_train!A48</f>
        <v>ft7_feval_AdamW.csv</v>
      </c>
      <c r="B119">
        <f>synth_old_train!F48</f>
        <v>47</v>
      </c>
    </row>
    <row r="120" spans="1:2">
      <c r="A120" t="str">
        <f>synth_old_train!A49</f>
        <v>ft25_RMSProp_feval.csv</v>
      </c>
      <c r="B120">
        <f>synth_old_train!F49</f>
        <v>48</v>
      </c>
    </row>
    <row r="121" spans="1:2">
      <c r="A121" t="str">
        <f>synth_old_train!A50</f>
        <v>ft21_RMSProp_feval.csv</v>
      </c>
      <c r="B121">
        <f>synth_old_train!F50</f>
        <v>49</v>
      </c>
    </row>
    <row r="122" spans="1:2">
      <c r="A122" t="str">
        <f>synth_old_train!A51</f>
        <v>ft20_AdamW_ariel.pt_feval.csv</v>
      </c>
      <c r="B122">
        <f>synth_old_train!F51</f>
        <v>50</v>
      </c>
    </row>
    <row r="123" spans="1:2">
      <c r="A123" t="str">
        <f>synth_old_train!A52</f>
        <v>ft20_RMSProp_ariel.pt_feval.csv</v>
      </c>
      <c r="B123">
        <f>synth_old_train!F52</f>
        <v>51</v>
      </c>
    </row>
    <row r="124" spans="1:2">
      <c r="A124" t="str">
        <f>synth_old_train!A53</f>
        <v>ft20_RMSProp_feval.csv</v>
      </c>
      <c r="B124">
        <f>synth_old_train!F53</f>
        <v>52</v>
      </c>
    </row>
    <row r="125" spans="1:2">
      <c r="A125" t="str">
        <f>synth_old_train!A54</f>
        <v>ft20_SGD_ariel.pt_feval.csv</v>
      </c>
      <c r="B125">
        <f>synth_old_train!F54</f>
        <v>53</v>
      </c>
    </row>
    <row r="126" spans="1:2">
      <c r="A126" t="str">
        <f>synth_old_train!A55</f>
        <v>ft21_AdamW_ariel.pt_feval.csv</v>
      </c>
      <c r="B126">
        <f>synth_old_train!F55</f>
        <v>54</v>
      </c>
    </row>
    <row r="127" spans="1:2">
      <c r="A127" t="str">
        <f>synth_old_train!A56</f>
        <v>ft21_RMSProp_ariel.pt_feval.csv</v>
      </c>
      <c r="B127">
        <f>synth_old_train!F56</f>
        <v>55</v>
      </c>
    </row>
    <row r="128" spans="1:2">
      <c r="A128" t="str">
        <f>synth_old_train!A72</f>
        <v>ft25_SGD_ariel.pt_feval.csv</v>
      </c>
      <c r="B128">
        <f>synth_old_train!F57</f>
        <v>56</v>
      </c>
    </row>
    <row r="129" spans="1:2">
      <c r="A129" t="str">
        <f>synth_old_train!A58</f>
        <v>ft22_AdamW_ariel.pt_feval.csv</v>
      </c>
      <c r="B129">
        <f>synth_old_train!F58</f>
        <v>57</v>
      </c>
    </row>
    <row r="130" spans="1:2">
      <c r="A130" t="str">
        <f>synth_old_train!A59</f>
        <v>ft22_RMSProp_ariel.pt_feval.csv</v>
      </c>
      <c r="B130">
        <f>synth_old_train!F59</f>
        <v>58</v>
      </c>
    </row>
    <row r="131" spans="1:2">
      <c r="A131" t="str">
        <f>synth_old_train!A60</f>
        <v>ft22_RMSProp_feval.csv</v>
      </c>
      <c r="B131">
        <f>synth_old_train!F60</f>
        <v>59</v>
      </c>
    </row>
    <row r="132" spans="1:2">
      <c r="A132" t="str">
        <f>synth_old_train!A61</f>
        <v>ft22_SGD_ariel.pt_feval.csv</v>
      </c>
      <c r="B132">
        <f>synth_old_train!F61</f>
        <v>60</v>
      </c>
    </row>
    <row r="133" spans="1:2">
      <c r="A133" t="str">
        <f>synth_old_train!A62</f>
        <v>ft23_AdamW_ariel.pt_feval.csv</v>
      </c>
      <c r="B133">
        <f>synth_old_train!F62</f>
        <v>61</v>
      </c>
    </row>
    <row r="134" spans="1:2">
      <c r="A134" t="str">
        <f>synth_old_train!A63</f>
        <v>ft23_RMSProp_ariel.pt_feval.csv</v>
      </c>
      <c r="B134">
        <f>synth_old_train!F63</f>
        <v>62</v>
      </c>
    </row>
    <row r="135" spans="1:2">
      <c r="A135" t="str">
        <f>synth_old_train!A64</f>
        <v>ft23_RMSProp_feval.csv</v>
      </c>
      <c r="B135">
        <f>synth_old_train!F64</f>
        <v>63</v>
      </c>
    </row>
    <row r="136" spans="1:2">
      <c r="A136" t="str">
        <f>synth_old_train!A65</f>
        <v>ft23_SGD_ariel.pt_feval.csv</v>
      </c>
      <c r="B136">
        <f>synth_old_train!F65</f>
        <v>64</v>
      </c>
    </row>
    <row r="137" spans="1:2">
      <c r="A137" t="str">
        <f>synth_old_train!A66</f>
        <v>ft24_AdamW_ariel.pt_feval.csv</v>
      </c>
      <c r="B137">
        <f>synth_old_train!F66</f>
        <v>65</v>
      </c>
    </row>
    <row r="138" spans="1:2">
      <c r="A138" t="str">
        <f>synth_old_train!A67</f>
        <v>ft24_RMSProp_ariel.pt_feval.csv</v>
      </c>
      <c r="B138">
        <f>synth_old_train!F67</f>
        <v>66</v>
      </c>
    </row>
    <row r="139" spans="1:2">
      <c r="A139" t="str">
        <f>synth_old_train!A68</f>
        <v>ft24_RMSProp_feval.csv</v>
      </c>
      <c r="B139">
        <f>synth_old_train!F68</f>
        <v>67</v>
      </c>
    </row>
    <row r="140" spans="1:2">
      <c r="A140" t="str">
        <f>synth_old_train!A69</f>
        <v>ft24_SGD_ariel.pt_feval.csv</v>
      </c>
      <c r="B140">
        <f>synth_old_train!F69</f>
        <v>68</v>
      </c>
    </row>
    <row r="141" spans="1:2">
      <c r="A141" t="str">
        <f>synth_old_train!A70</f>
        <v>ft25_AdamW_ariel.pt_feval.csv</v>
      </c>
      <c r="B141">
        <f>synth_old_train!F70</f>
        <v>69</v>
      </c>
    </row>
    <row r="142" spans="1:2">
      <c r="A142" t="str">
        <f>synth_old_train!A71</f>
        <v>ft25_RMSProp_ariel.pt_feval.csv</v>
      </c>
      <c r="B142">
        <f>synth_old_train!F71</f>
        <v>70</v>
      </c>
    </row>
    <row r="143" spans="1:2">
      <c r="A143" t="str">
        <f>synth_old_train!A72</f>
        <v>ft25_SGD_ariel.pt_feval.csv</v>
      </c>
      <c r="B143">
        <f>synth_old_train!F72</f>
        <v>71</v>
      </c>
    </row>
    <row r="144" spans="1:2">
      <c r="A144" t="str">
        <f>synth_old_val!A2</f>
        <v>ft23_SGD_feval.csv</v>
      </c>
      <c r="B144">
        <f>synth_old_val!F2</f>
        <v>1</v>
      </c>
    </row>
    <row r="145" spans="1:2">
      <c r="A145" t="str">
        <f>synth_old_val!A3</f>
        <v>ft12_AdamW_feval.csv</v>
      </c>
      <c r="B145">
        <f>synth_old_val!F3</f>
        <v>2</v>
      </c>
    </row>
    <row r="146" spans="1:2">
      <c r="A146" t="str">
        <f>synth_old_val!A4</f>
        <v>ft24_AdamW_feval.csv</v>
      </c>
      <c r="B146">
        <f>synth_old_val!F4</f>
        <v>3</v>
      </c>
    </row>
    <row r="147" spans="1:2">
      <c r="A147" t="str">
        <f>synth_old_val!A5</f>
        <v>ft28_SGD_feval.csv</v>
      </c>
      <c r="B147">
        <f>synth_old_val!F5</f>
        <v>4</v>
      </c>
    </row>
    <row r="148" spans="1:2">
      <c r="A148" t="str">
        <f>synth_old_val!A6</f>
        <v>ft21v8_SGD_feval.csv</v>
      </c>
      <c r="B148">
        <f>synth_old_val!F6</f>
        <v>5</v>
      </c>
    </row>
    <row r="149" spans="1:2">
      <c r="A149" t="str">
        <f>synth_old_val!A7</f>
        <v>ft21_SGD_feval.csv</v>
      </c>
      <c r="B149">
        <f>synth_old_val!F7</f>
        <v>6</v>
      </c>
    </row>
    <row r="150" spans="1:2">
      <c r="A150" t="str">
        <f>synth_old_val!A8</f>
        <v>ft4_feval_SGD.csv</v>
      </c>
      <c r="B150">
        <f>synth_old_val!F8</f>
        <v>7</v>
      </c>
    </row>
    <row r="151" spans="1:2">
      <c r="A151" t="str">
        <f>synth_old_val!A9</f>
        <v>ft20_SGD_feval.csv</v>
      </c>
      <c r="B151">
        <f>synth_old_val!F9</f>
        <v>8</v>
      </c>
    </row>
    <row r="152" spans="1:2">
      <c r="A152" t="str">
        <f>synth_old_val!A10</f>
        <v>ft27_SGD_feval.csv</v>
      </c>
      <c r="B152">
        <f>synth_old_val!F10</f>
        <v>9</v>
      </c>
    </row>
    <row r="153" spans="1:2">
      <c r="A153" t="str">
        <f>synth_old_val!A11</f>
        <v>ft8_feval_SGD.csv</v>
      </c>
      <c r="B153">
        <f>synth_old_val!F11</f>
        <v>10</v>
      </c>
    </row>
    <row r="154" spans="1:2">
      <c r="A154" t="str">
        <f>synth_old_val!A12</f>
        <v>ft12b_AdamW_feval.csv</v>
      </c>
      <c r="B154">
        <f>synth_old_val!F12</f>
        <v>11</v>
      </c>
    </row>
    <row r="155" spans="1:2">
      <c r="A155" t="str">
        <f>synth_old_val!A13</f>
        <v>ft22_SGD_feval.csv</v>
      </c>
      <c r="B155">
        <f>synth_old_val!F13</f>
        <v>12</v>
      </c>
    </row>
    <row r="156" spans="1:2">
      <c r="A156" t="str">
        <f>synth_old_val!A14</f>
        <v>ft11_SGD_feval.csv</v>
      </c>
      <c r="B156">
        <f>synth_old_val!F14</f>
        <v>13</v>
      </c>
    </row>
    <row r="157" spans="1:2">
      <c r="A157" t="str">
        <f>synth_old_val!A15</f>
        <v>ft9_feval_AdamW.csv</v>
      </c>
      <c r="B157">
        <f>synth_old_val!F15</f>
        <v>14</v>
      </c>
    </row>
    <row r="158" spans="1:2">
      <c r="A158" t="str">
        <f>synth_old_val!A16</f>
        <v>ft10_SGD_feval.csv</v>
      </c>
      <c r="B158">
        <f>synth_old_val!F16</f>
        <v>15</v>
      </c>
    </row>
    <row r="159" spans="1:2">
      <c r="A159" t="str">
        <f>synth_old_val!A17</f>
        <v>ft21v8_SGD_yolov8l-seg.pt_feval.csv</v>
      </c>
      <c r="B159">
        <f>synth_old_val!F17</f>
        <v>16</v>
      </c>
    </row>
    <row r="160" spans="1:2">
      <c r="A160" t="str">
        <f>synth_old_val!A18</f>
        <v>ft12_SGD_feval.csv</v>
      </c>
      <c r="B160">
        <f>synth_old_val!F18</f>
        <v>17</v>
      </c>
    </row>
    <row r="161" spans="1:2">
      <c r="A161" t="str">
        <f>synth_old_val!A19</f>
        <v>ft10_AdamW_feval.csv</v>
      </c>
      <c r="B161">
        <f>synth_old_val!F19</f>
        <v>18</v>
      </c>
    </row>
    <row r="162" spans="1:2">
      <c r="A162" t="str">
        <f>synth_old_val!A20</f>
        <v>ft23_AdamW_feval.csv</v>
      </c>
      <c r="B162">
        <f>synth_old_val!F20</f>
        <v>19</v>
      </c>
    </row>
    <row r="163" spans="1:2">
      <c r="A163" t="str">
        <f>synth_old_val!A21</f>
        <v>ft12c_SGD_feval.csv</v>
      </c>
      <c r="B163">
        <f>synth_old_val!F21</f>
        <v>20</v>
      </c>
    </row>
    <row r="164" spans="1:2">
      <c r="A164" t="str">
        <f>synth_old_val!A22</f>
        <v>ft12b_SGD_feval.csv</v>
      </c>
      <c r="B164">
        <f>synth_old_val!F22</f>
        <v>21</v>
      </c>
    </row>
    <row r="165" spans="1:2">
      <c r="A165" t="str">
        <f>synth_old_val!A23</f>
        <v>ft8_feval_AdamW.csv</v>
      </c>
      <c r="B165">
        <f>synth_old_val!F23</f>
        <v>22</v>
      </c>
    </row>
    <row r="166" spans="1:2">
      <c r="A166" t="str">
        <f>synth_old_val!A24</f>
        <v>ft12c_AdamW_feval.csv</v>
      </c>
      <c r="B166">
        <f>synth_old_val!F24</f>
        <v>23</v>
      </c>
    </row>
    <row r="167" spans="1:2">
      <c r="A167" t="str">
        <f>synth_old_val!A25</f>
        <v>ft26_AdamW_feval.csv</v>
      </c>
      <c r="B167">
        <f>synth_old_val!F25</f>
        <v>24</v>
      </c>
    </row>
    <row r="168" spans="1:2">
      <c r="A168" t="str">
        <f>synth_old_val!A26</f>
        <v>ft21_AdamW_feval.csv</v>
      </c>
      <c r="B168">
        <f>synth_old_val!F26</f>
        <v>25</v>
      </c>
    </row>
    <row r="169" spans="1:2">
      <c r="A169" t="str">
        <f>synth_old_val!A27</f>
        <v>ft9_feval_SGD.csv</v>
      </c>
      <c r="B169">
        <f>synth_old_val!F27</f>
        <v>26</v>
      </c>
    </row>
    <row r="170" spans="1:2">
      <c r="A170" t="str">
        <f>synth_old_val!A28</f>
        <v>ft7_feval_SGD.csv</v>
      </c>
      <c r="B170">
        <f>synth_old_val!F28</f>
        <v>27</v>
      </c>
    </row>
    <row r="171" spans="1:2">
      <c r="A171" t="str">
        <f>synth_old_val!A29</f>
        <v>ft11_AdamW_feval.csv</v>
      </c>
      <c r="B171">
        <f>synth_old_val!F29</f>
        <v>28</v>
      </c>
    </row>
    <row r="172" spans="1:2">
      <c r="A172" t="str">
        <f>synth_old_val!A30</f>
        <v>ft25_SGD_feval.csv</v>
      </c>
      <c r="B172">
        <f>synth_old_val!F30</f>
        <v>29</v>
      </c>
    </row>
    <row r="173" spans="1:2">
      <c r="A173" t="str">
        <f>synth_old_val!A31</f>
        <v>ft27_SGD_finloop.pt_feval.csv</v>
      </c>
      <c r="B173">
        <f>synth_old_val!F31</f>
        <v>30</v>
      </c>
    </row>
    <row r="174" spans="1:2">
      <c r="A174" t="str">
        <f>synth_old_val!A32</f>
        <v>ft27_AdamW_feval.csv</v>
      </c>
      <c r="B174">
        <f>synth_old_val!F32</f>
        <v>31</v>
      </c>
    </row>
    <row r="175" spans="1:2">
      <c r="A175" t="str">
        <f>synth_old_val!A33</f>
        <v>ft28_AdamW_feval.csv</v>
      </c>
      <c r="B175">
        <f>synth_old_val!F33</f>
        <v>32</v>
      </c>
    </row>
    <row r="176" spans="1:2">
      <c r="A176" t="str">
        <f>synth_old_val!A34</f>
        <v>ft26_SGD_feval.csv</v>
      </c>
      <c r="B176">
        <f>synth_old_val!F34</f>
        <v>33</v>
      </c>
    </row>
    <row r="177" spans="1:2">
      <c r="A177" t="str">
        <f>synth_old_val!A35</f>
        <v>ft28_SGD_finloop.pt_feval.csv</v>
      </c>
      <c r="B177">
        <f>synth_old_val!F35</f>
        <v>34</v>
      </c>
    </row>
    <row r="178" spans="1:2">
      <c r="A178" t="str">
        <f>synth_old_val!A36</f>
        <v>ft25_AdamW_feval.csv</v>
      </c>
      <c r="B178">
        <f>synth_old_val!F36</f>
        <v>35</v>
      </c>
    </row>
    <row r="179" spans="1:2">
      <c r="A179" t="str">
        <f>synth_old_val!A37</f>
        <v>ft26_SGD_finloop.pt_feval.csv</v>
      </c>
      <c r="B179">
        <f>synth_old_val!F37</f>
        <v>36</v>
      </c>
    </row>
    <row r="180" spans="1:2">
      <c r="A180" t="str">
        <f>synth_old_val!A38</f>
        <v>ft7_feval_AdamW.csv</v>
      </c>
      <c r="B180">
        <f>synth_old_val!F38</f>
        <v>37</v>
      </c>
    </row>
    <row r="181" spans="1:2">
      <c r="A181" t="str">
        <f>synth_old_val!A39</f>
        <v>ft21fin_SGD_finloop.pt_feval.csv</v>
      </c>
      <c r="B181">
        <f>synth_old_val!F39</f>
        <v>38</v>
      </c>
    </row>
    <row r="182" spans="1:2">
      <c r="A182" t="str">
        <f>synth_old_val!A40</f>
        <v>ft24_SGD_feval.csv</v>
      </c>
      <c r="B182">
        <f>synth_old_val!F40</f>
        <v>39</v>
      </c>
    </row>
    <row r="183" spans="1:2">
      <c r="A183" t="str">
        <f>synth_old_val!A41</f>
        <v>ft27_AdamW_finloop.pt_feval.csv</v>
      </c>
      <c r="B183">
        <f>synth_old_val!F41</f>
        <v>40</v>
      </c>
    </row>
    <row r="184" spans="1:2">
      <c r="A184" t="str">
        <f>synth_old_val!A42</f>
        <v>ft20_AdamW_feval.csv</v>
      </c>
      <c r="B184">
        <f>synth_old_val!F42</f>
        <v>41</v>
      </c>
    </row>
    <row r="185" spans="1:2">
      <c r="A185" t="str">
        <f>synth_old_val!A43</f>
        <v>ft7_feval_auto.csv</v>
      </c>
      <c r="B185">
        <f>synth_old_val!F43</f>
        <v>42</v>
      </c>
    </row>
    <row r="186" spans="1:2">
      <c r="A186" t="str">
        <f>synth_old_val!A44</f>
        <v>ft8_feval_auto.csv</v>
      </c>
      <c r="B186">
        <f>synth_old_val!F44</f>
        <v>43</v>
      </c>
    </row>
    <row r="187" spans="1:2">
      <c r="A187" t="str">
        <f>synth_old_val!A45</f>
        <v>ft9_feval_auto.csv</v>
      </c>
      <c r="B187">
        <f>synth_old_val!F45</f>
        <v>44</v>
      </c>
    </row>
    <row r="188" spans="1:2">
      <c r="A188" t="str">
        <f>synth_old_val!A46</f>
        <v>ft22_AdamW_feval.csv</v>
      </c>
      <c r="B188">
        <f>synth_old_val!F46</f>
        <v>45</v>
      </c>
    </row>
    <row r="189" spans="1:2">
      <c r="A189" t="str">
        <f>synth_old_val!A47</f>
        <v>ft28_AdamW_finloop.pt_feval.csv</v>
      </c>
      <c r="B189">
        <f>synth_old_val!F47</f>
        <v>46</v>
      </c>
    </row>
    <row r="190" spans="1:2">
      <c r="A190" t="str">
        <f>synth_old_val!A48</f>
        <v>ft26_AdamW_finloop.pt_feval.csv</v>
      </c>
      <c r="B190">
        <f>synth_old_val!F48</f>
        <v>47</v>
      </c>
    </row>
    <row r="191" spans="1:2">
      <c r="A191" t="str">
        <f>synth_old_val!A49</f>
        <v>ft25_RMSProp_feval.csv</v>
      </c>
      <c r="B191">
        <f>synth_old_val!F49</f>
        <v>48</v>
      </c>
    </row>
    <row r="192" spans="1:2">
      <c r="A192" t="str">
        <f>synth_old_val!A50</f>
        <v>ft21_RMSProp_feval.csv</v>
      </c>
      <c r="B192">
        <f>synth_old_val!F50</f>
        <v>49</v>
      </c>
    </row>
    <row r="193" spans="1:2">
      <c r="A193" t="str">
        <f>synth_old_val!A51</f>
        <v>ft20_AdamW_ariel.pt_feval.csv</v>
      </c>
      <c r="B193">
        <f>synth_old_val!F51</f>
        <v>50</v>
      </c>
    </row>
    <row r="194" spans="1:2">
      <c r="A194" t="str">
        <f>synth_old_val!A52</f>
        <v>ft20_RMSProp_ariel.pt_feval.csv</v>
      </c>
      <c r="B194">
        <f>synth_old_val!F52</f>
        <v>51</v>
      </c>
    </row>
    <row r="195" spans="1:2">
      <c r="A195" t="str">
        <f>synth_old_val!A53</f>
        <v>ft20_RMSProp_feval.csv</v>
      </c>
      <c r="B195">
        <f>synth_old_val!F53</f>
        <v>52</v>
      </c>
    </row>
    <row r="196" spans="1:2">
      <c r="A196" t="str">
        <f>synth_old_val!A54</f>
        <v>ft20_SGD_ariel.pt_feval.csv</v>
      </c>
      <c r="B196">
        <f>synth_old_val!F54</f>
        <v>53</v>
      </c>
    </row>
    <row r="197" spans="1:2">
      <c r="A197" t="str">
        <f>synth_old_val!A55</f>
        <v>ft21_AdamW_ariel.pt_feval.csv</v>
      </c>
      <c r="B197">
        <f>synth_old_val!F55</f>
        <v>54</v>
      </c>
    </row>
    <row r="198" spans="1:2">
      <c r="A198" t="str">
        <f>synth_old_val!A56</f>
        <v>ft21_RMSProp_ariel.pt_feval.csv</v>
      </c>
      <c r="B198">
        <f>synth_old_val!F56</f>
        <v>55</v>
      </c>
    </row>
    <row r="199" spans="1:2">
      <c r="A199" t="str">
        <f>synth_old_val!A72</f>
        <v>ft25_SGD_ariel.pt_feval.csv</v>
      </c>
      <c r="B199">
        <f>synth_old_val!F57</f>
        <v>56</v>
      </c>
    </row>
    <row r="200" spans="1:2">
      <c r="A200" t="str">
        <f>synth_old_val!A58</f>
        <v>ft22_AdamW_ariel.pt_feval.csv</v>
      </c>
      <c r="B200">
        <f>synth_old_val!F58</f>
        <v>57</v>
      </c>
    </row>
    <row r="201" spans="1:2">
      <c r="A201" t="str">
        <f>synth_old_val!A59</f>
        <v>ft22_RMSProp_ariel.pt_feval.csv</v>
      </c>
      <c r="B201">
        <f>synth_old_val!F59</f>
        <v>58</v>
      </c>
    </row>
    <row r="202" spans="1:2">
      <c r="A202" t="str">
        <f>synth_old_val!A60</f>
        <v>ft22_RMSProp_feval.csv</v>
      </c>
      <c r="B202">
        <f>synth_old_val!F60</f>
        <v>59</v>
      </c>
    </row>
    <row r="203" spans="1:2">
      <c r="A203" t="str">
        <f>synth_old_val!A61</f>
        <v>ft22_SGD_ariel.pt_feval.csv</v>
      </c>
      <c r="B203">
        <f>synth_old_val!F61</f>
        <v>60</v>
      </c>
    </row>
    <row r="204" spans="1:2">
      <c r="A204" t="str">
        <f>synth_old_val!A62</f>
        <v>ft23_AdamW_ariel.pt_feval.csv</v>
      </c>
      <c r="B204">
        <f>synth_old_val!F62</f>
        <v>61</v>
      </c>
    </row>
    <row r="205" spans="1:2">
      <c r="A205" t="str">
        <f>synth_old_val!A63</f>
        <v>ft23_RMSProp_ariel.pt_feval.csv</v>
      </c>
      <c r="B205">
        <f>synth_old_val!F63</f>
        <v>62</v>
      </c>
    </row>
    <row r="206" spans="1:2">
      <c r="A206" t="str">
        <f>synth_old_val!A64</f>
        <v>ft23_RMSProp_feval.csv</v>
      </c>
      <c r="B206">
        <f>synth_old_val!F64</f>
        <v>63</v>
      </c>
    </row>
    <row r="207" spans="1:2">
      <c r="A207" t="str">
        <f>synth_old_val!A65</f>
        <v>ft23_SGD_ariel.pt_feval.csv</v>
      </c>
      <c r="B207">
        <f>synth_old_val!F65</f>
        <v>64</v>
      </c>
    </row>
    <row r="208" spans="1:2">
      <c r="A208" t="str">
        <f>synth_old_val!A66</f>
        <v>ft24_AdamW_ariel.pt_feval.csv</v>
      </c>
      <c r="B208">
        <f>synth_old_val!F66</f>
        <v>65</v>
      </c>
    </row>
    <row r="209" spans="1:2">
      <c r="A209" t="str">
        <f>synth_old_val!A67</f>
        <v>ft24_RMSProp_ariel.pt_feval.csv</v>
      </c>
      <c r="B209">
        <f>synth_old_val!F67</f>
        <v>66</v>
      </c>
    </row>
    <row r="210" spans="1:2">
      <c r="A210" t="str">
        <f>synth_old_val!A68</f>
        <v>ft24_RMSProp_feval.csv</v>
      </c>
      <c r="B210">
        <f>synth_old_val!F68</f>
        <v>67</v>
      </c>
    </row>
    <row r="211" spans="1:2">
      <c r="A211" t="str">
        <f>synth_old_val!A69</f>
        <v>ft24_SGD_ariel.pt_feval.csv</v>
      </c>
      <c r="B211">
        <f>synth_old_val!F69</f>
        <v>68</v>
      </c>
    </row>
    <row r="212" spans="1:2">
      <c r="A212" t="str">
        <f>synth_old_val!A70</f>
        <v>ft25_AdamW_ariel.pt_feval.csv</v>
      </c>
      <c r="B212">
        <f>synth_old_val!F70</f>
        <v>69</v>
      </c>
    </row>
    <row r="213" spans="1:2">
      <c r="A213" t="str">
        <f>synth_old_val!A71</f>
        <v>ft25_RMSProp_ariel.pt_feval.csv</v>
      </c>
      <c r="B213">
        <f>synth_old_val!F71</f>
        <v>70</v>
      </c>
    </row>
    <row r="214" spans="1:2">
      <c r="A214" t="str">
        <f>synth_old_val!A72</f>
        <v>ft25_SGD_ariel.pt_feval.csv</v>
      </c>
      <c r="B214">
        <f>synth_old_val!F72</f>
        <v>71</v>
      </c>
    </row>
    <row r="215" spans="1:2">
      <c r="A215" t="str">
        <f>pilot_test!A2</f>
        <v>ft27_AdamW_finloop.pt_feval.csv</v>
      </c>
      <c r="B215">
        <f>pilot_test!F2</f>
        <v>1</v>
      </c>
    </row>
    <row r="216" spans="1:2">
      <c r="A216" t="str">
        <f>pilot_test!A3</f>
        <v>ft21v8_SGD_yolov8l-seg.pt_feval.csv</v>
      </c>
      <c r="B216">
        <f>pilot_test!F3</f>
        <v>2</v>
      </c>
    </row>
    <row r="217" spans="1:2">
      <c r="A217" t="str">
        <f>pilot_test!A4</f>
        <v>ft21fin_SGD_finloop.pt_feval.csv</v>
      </c>
      <c r="B217">
        <f>pilot_test!F4</f>
        <v>3</v>
      </c>
    </row>
    <row r="218" spans="1:2">
      <c r="A218" t="str">
        <f>pilot_test!A5</f>
        <v>ft27_SGD_finloop.pt_feval.csv</v>
      </c>
      <c r="B218">
        <f>pilot_test!F5</f>
        <v>4</v>
      </c>
    </row>
    <row r="219" spans="1:2">
      <c r="A219" t="str">
        <f>pilot_test!A6</f>
        <v>ft28_AdamW_finloop.pt_feval.csv</v>
      </c>
      <c r="B219">
        <f>pilot_test!F6</f>
        <v>5</v>
      </c>
    </row>
    <row r="220" spans="1:2">
      <c r="A220" t="str">
        <f>pilot_test!A7</f>
        <v>ft26_AdamW_finloop.pt_feval.csv</v>
      </c>
      <c r="B220">
        <f>pilot_test!F7</f>
        <v>6</v>
      </c>
    </row>
    <row r="221" spans="1:2">
      <c r="A221" t="str">
        <f>pilot_test!A8</f>
        <v>ft26_SGD_finloop.pt_feval.csv</v>
      </c>
      <c r="B221">
        <f>pilot_test!F8</f>
        <v>7</v>
      </c>
    </row>
    <row r="222" spans="1:2">
      <c r="A222" t="str">
        <f>pilot_test!A9</f>
        <v>ft28_SGD_finloop.pt_feval.csv</v>
      </c>
      <c r="B222">
        <f>pilot_test!F9</f>
        <v>8</v>
      </c>
    </row>
    <row r="223" spans="1:2">
      <c r="A223" t="str">
        <f>pilot_test!A10</f>
        <v>ft27_AdamW_feval.csv</v>
      </c>
      <c r="B223">
        <f>pilot_test!F10</f>
        <v>9</v>
      </c>
    </row>
    <row r="224" spans="1:2">
      <c r="A224" t="str">
        <f>pilot_test!A11</f>
        <v>ft22_AdamW_feval.csv</v>
      </c>
      <c r="B224">
        <f>pilot_test!F11</f>
        <v>10</v>
      </c>
    </row>
    <row r="225" spans="1:2">
      <c r="A225" t="str">
        <f>pilot_test!A12</f>
        <v>ft24_AdamW_feval.csv</v>
      </c>
      <c r="B225">
        <f>pilot_test!F12</f>
        <v>11</v>
      </c>
    </row>
    <row r="226" spans="1:2">
      <c r="A226" t="str">
        <f>pilot_test!A13</f>
        <v>ft26_AdamW_feval.csv</v>
      </c>
      <c r="B226">
        <f>pilot_test!F13</f>
        <v>12</v>
      </c>
    </row>
    <row r="227" spans="1:2">
      <c r="A227" t="str">
        <f>pilot_test!A14</f>
        <v>ft24_SGD_feval.csv</v>
      </c>
      <c r="B227">
        <f>pilot_test!F14</f>
        <v>13</v>
      </c>
    </row>
    <row r="228" spans="1:2">
      <c r="A228" t="str">
        <f>pilot_test!A15</f>
        <v>ft12c_SGD_feval.csv</v>
      </c>
      <c r="B228">
        <f>pilot_test!F15</f>
        <v>14</v>
      </c>
    </row>
    <row r="229" spans="1:2">
      <c r="A229" t="str">
        <f>pilot_test!A16</f>
        <v>ft23_AdamW_feval.csv</v>
      </c>
      <c r="B229">
        <f>pilot_test!F16</f>
        <v>15</v>
      </c>
    </row>
    <row r="230" spans="1:2">
      <c r="A230" t="str">
        <f>pilot_test!A17</f>
        <v>ft25_SGD_feval.csv</v>
      </c>
      <c r="B230">
        <f>pilot_test!F17</f>
        <v>16</v>
      </c>
    </row>
    <row r="231" spans="1:2">
      <c r="A231" t="str">
        <f>pilot_test!A18</f>
        <v>ft12b_SGD_feval.csv</v>
      </c>
      <c r="B231">
        <f>pilot_test!F18</f>
        <v>17</v>
      </c>
    </row>
    <row r="232" spans="1:2">
      <c r="A232" t="str">
        <f>pilot_test!A19</f>
        <v>ft12_SGD_feval.csv</v>
      </c>
      <c r="B232">
        <f>pilot_test!F19</f>
        <v>18</v>
      </c>
    </row>
    <row r="233" spans="1:2">
      <c r="A233" t="str">
        <f>pilot_test!A20</f>
        <v>ft9_feval_SGD.csv</v>
      </c>
      <c r="B233">
        <f>pilot_test!F20</f>
        <v>19</v>
      </c>
    </row>
    <row r="234" spans="1:2">
      <c r="A234" t="str">
        <f>pilot_test!A21</f>
        <v>ft21_AdamW_feval.csv</v>
      </c>
      <c r="B234">
        <f>pilot_test!F21</f>
        <v>20</v>
      </c>
    </row>
    <row r="235" spans="1:2">
      <c r="A235" t="str">
        <f>pilot_test!A22</f>
        <v>ft20_AdamW_feval.csv</v>
      </c>
      <c r="B235">
        <f>pilot_test!F22</f>
        <v>21</v>
      </c>
    </row>
    <row r="236" spans="1:2">
      <c r="A236" t="str">
        <f>pilot_test!A23</f>
        <v>ft28_AdamW_feval.csv</v>
      </c>
      <c r="B236">
        <f>pilot_test!F23</f>
        <v>22</v>
      </c>
    </row>
    <row r="237" spans="1:2">
      <c r="A237" t="str">
        <f>pilot_test!A24</f>
        <v>ft7_feval_auto.csv</v>
      </c>
      <c r="B237">
        <f>pilot_test!F24</f>
        <v>23</v>
      </c>
    </row>
    <row r="238" spans="1:2">
      <c r="A238" t="str">
        <f>pilot_test!A25</f>
        <v>ft8_feval_auto.csv</v>
      </c>
      <c r="B238">
        <f>pilot_test!F25</f>
        <v>24</v>
      </c>
    </row>
    <row r="239" spans="1:2">
      <c r="A239" t="str">
        <f>pilot_test!A26</f>
        <v>ft9_feval_auto.csv</v>
      </c>
      <c r="B239">
        <f>pilot_test!F26</f>
        <v>25</v>
      </c>
    </row>
    <row r="240" spans="1:2">
      <c r="A240" t="str">
        <f>pilot_test!A27</f>
        <v>ft11_SGD_feval.csv</v>
      </c>
      <c r="B240">
        <f>pilot_test!F27</f>
        <v>26</v>
      </c>
    </row>
    <row r="241" spans="1:2">
      <c r="A241" t="str">
        <f>pilot_test!A28</f>
        <v>ft12_AdamW_feval.csv</v>
      </c>
      <c r="B241">
        <f>pilot_test!F28</f>
        <v>27</v>
      </c>
    </row>
    <row r="242" spans="1:2">
      <c r="A242" t="str">
        <f>pilot_test!A29</f>
        <v>ft7_feval_AdamW.csv</v>
      </c>
      <c r="B242">
        <f>pilot_test!F29</f>
        <v>28</v>
      </c>
    </row>
    <row r="243" spans="1:2">
      <c r="A243" t="str">
        <f>pilot_test!A30</f>
        <v>ft20_SGD_feval.csv</v>
      </c>
      <c r="B243">
        <f>pilot_test!F30</f>
        <v>29</v>
      </c>
    </row>
    <row r="244" spans="1:2">
      <c r="A244" t="str">
        <f>pilot_test!A31</f>
        <v>ft21v8_SGD_feval.csv</v>
      </c>
      <c r="B244">
        <f>pilot_test!F31</f>
        <v>30</v>
      </c>
    </row>
    <row r="245" spans="1:2">
      <c r="A245" t="str">
        <f>pilot_test!A32</f>
        <v>ft21_SGD_feval.csv</v>
      </c>
      <c r="B245">
        <f>pilot_test!F32</f>
        <v>31</v>
      </c>
    </row>
    <row r="246" spans="1:2">
      <c r="A246" t="str">
        <f>pilot_test!A33</f>
        <v>ft9_feval_AdamW.csv</v>
      </c>
      <c r="B246">
        <f>pilot_test!F33</f>
        <v>32</v>
      </c>
    </row>
    <row r="247" spans="1:2">
      <c r="A247" t="str">
        <f>pilot_test!A34</f>
        <v>ft12c_AdamW_feval.csv</v>
      </c>
      <c r="B247">
        <f>pilot_test!F34</f>
        <v>33</v>
      </c>
    </row>
    <row r="248" spans="1:2">
      <c r="A248" t="str">
        <f>pilot_test!A35</f>
        <v>ft28_SGD_feval.csv</v>
      </c>
      <c r="B248">
        <f>pilot_test!F35</f>
        <v>34</v>
      </c>
    </row>
    <row r="249" spans="1:2">
      <c r="A249" t="str">
        <f>pilot_test!A36</f>
        <v>ft12b_AdamW_feval.csv</v>
      </c>
      <c r="B249">
        <f>pilot_test!F36</f>
        <v>35</v>
      </c>
    </row>
    <row r="250" spans="1:2">
      <c r="A250" t="str">
        <f>pilot_test!A37</f>
        <v>ft11_AdamW_feval.csv</v>
      </c>
      <c r="B250">
        <f>pilot_test!F37</f>
        <v>36</v>
      </c>
    </row>
    <row r="251" spans="1:2">
      <c r="A251" t="str">
        <f>pilot_test!A38</f>
        <v>ft22_SGD_feval.csv</v>
      </c>
      <c r="B251">
        <f>pilot_test!F38</f>
        <v>37</v>
      </c>
    </row>
    <row r="252" spans="1:2">
      <c r="A252" t="str">
        <f>pilot_test!A39</f>
        <v>ft8_feval_SGD.csv</v>
      </c>
      <c r="B252">
        <f>pilot_test!F39</f>
        <v>38</v>
      </c>
    </row>
    <row r="253" spans="1:2">
      <c r="A253" t="str">
        <f>pilot_test!A40</f>
        <v>ft23_SGD_feval.csv</v>
      </c>
      <c r="B253">
        <f>pilot_test!F40</f>
        <v>39</v>
      </c>
    </row>
    <row r="254" spans="1:2">
      <c r="A254" t="str">
        <f>pilot_test!A41</f>
        <v>ft4_feval_SGD.csv</v>
      </c>
      <c r="B254">
        <f>pilot_test!F41</f>
        <v>40</v>
      </c>
    </row>
    <row r="255" spans="1:2">
      <c r="A255" t="str">
        <f>pilot_test!A42</f>
        <v>ft25_AdamW_feval.csv</v>
      </c>
      <c r="B255">
        <f>pilot_test!F42</f>
        <v>41</v>
      </c>
    </row>
    <row r="256" spans="1:2">
      <c r="A256" t="str">
        <f>pilot_test!A43</f>
        <v>ft26_SGD_feval.csv</v>
      </c>
      <c r="B256">
        <f>pilot_test!F43</f>
        <v>42</v>
      </c>
    </row>
    <row r="257" spans="1:2">
      <c r="A257" t="str">
        <f>pilot_test!A44</f>
        <v>ft10_AdamW_feval.csv</v>
      </c>
      <c r="B257">
        <f>pilot_test!F44</f>
        <v>43</v>
      </c>
    </row>
    <row r="258" spans="1:2">
      <c r="A258" t="str">
        <f>pilot_test!A45</f>
        <v>ft10_SGD_feval.csv</v>
      </c>
      <c r="B258">
        <f>pilot_test!F45</f>
        <v>44</v>
      </c>
    </row>
    <row r="259" spans="1:2">
      <c r="A259" t="str">
        <f>pilot_test!A46</f>
        <v>ft8_feval_AdamW.csv</v>
      </c>
      <c r="B259">
        <f>pilot_test!F46</f>
        <v>45</v>
      </c>
    </row>
    <row r="260" spans="1:2">
      <c r="A260" t="str">
        <f>pilot_test!A47</f>
        <v>ft7_feval_SGD.csv</v>
      </c>
      <c r="B260">
        <f>pilot_test!F47</f>
        <v>46</v>
      </c>
    </row>
    <row r="261" spans="1:2">
      <c r="A261" t="str">
        <f>pilot_test!A48</f>
        <v>ft27_SGD_feval.csv</v>
      </c>
      <c r="B261">
        <f>pilot_test!F48</f>
        <v>47</v>
      </c>
    </row>
    <row r="262" spans="1:2">
      <c r="A262" t="str">
        <f>pilot_test!A49</f>
        <v>ft25_RMSProp_feval.csv</v>
      </c>
      <c r="B262">
        <f>pilot_test!F49</f>
        <v>48</v>
      </c>
    </row>
    <row r="263" spans="1:2">
      <c r="A263" t="str">
        <f>pilot_test!A50</f>
        <v>ft20_AdamW_ariel.pt_feval.csv</v>
      </c>
      <c r="B263">
        <f>pilot_test!F50</f>
        <v>49</v>
      </c>
    </row>
    <row r="264" spans="1:2">
      <c r="A264" t="str">
        <f>pilot_test!A51</f>
        <v>ft20_RMSProp_ariel.pt_feval.csv</v>
      </c>
      <c r="B264">
        <f>pilot_test!F51</f>
        <v>50</v>
      </c>
    </row>
    <row r="265" spans="1:2">
      <c r="A265" t="str">
        <f>pilot_test!A52</f>
        <v>ft20_RMSProp_feval.csv</v>
      </c>
      <c r="B265">
        <f>pilot_test!F52</f>
        <v>51</v>
      </c>
    </row>
    <row r="266" spans="1:2">
      <c r="A266" t="str">
        <f>pilot_test!A53</f>
        <v>ft20_SGD_ariel.pt_feval.csv</v>
      </c>
      <c r="B266">
        <f>pilot_test!F53</f>
        <v>52</v>
      </c>
    </row>
    <row r="267" spans="1:2">
      <c r="A267" t="str">
        <f>pilot_test!A54</f>
        <v>ft21_AdamW_ariel.pt_feval.csv</v>
      </c>
      <c r="B267">
        <f>pilot_test!F54</f>
        <v>53</v>
      </c>
    </row>
    <row r="268" spans="1:2">
      <c r="A268" t="str">
        <f>pilot_test!A55</f>
        <v>ft21_RMSProp_ariel.pt_feval.csv</v>
      </c>
      <c r="B268">
        <f>pilot_test!F55</f>
        <v>54</v>
      </c>
    </row>
    <row r="269" spans="1:2">
      <c r="A269" t="str">
        <f>pilot_test!A56</f>
        <v>ft21_RMSProp_feval.csv</v>
      </c>
      <c r="B269">
        <f>pilot_test!F56</f>
        <v>55</v>
      </c>
    </row>
    <row r="270" spans="1:2">
      <c r="A270" t="str">
        <f>pilot_test!A72</f>
        <v>ft25_SGD_ariel.pt_feval.csv</v>
      </c>
      <c r="B270">
        <f>pilot_test!F57</f>
        <v>56</v>
      </c>
    </row>
    <row r="271" spans="1:2">
      <c r="A271" t="str">
        <f>pilot_test!A58</f>
        <v>ft22_AdamW_ariel.pt_feval.csv</v>
      </c>
      <c r="B271">
        <f>pilot_test!F58</f>
        <v>57</v>
      </c>
    </row>
    <row r="272" spans="1:2">
      <c r="A272" t="str">
        <f>pilot_test!A59</f>
        <v>ft22_RMSProp_ariel.pt_feval.csv</v>
      </c>
      <c r="B272">
        <f>pilot_test!F59</f>
        <v>58</v>
      </c>
    </row>
    <row r="273" spans="1:2">
      <c r="A273" t="str">
        <f>pilot_test!A60</f>
        <v>ft22_RMSProp_feval.csv</v>
      </c>
      <c r="B273">
        <f>pilot_test!F60</f>
        <v>59</v>
      </c>
    </row>
    <row r="274" spans="1:2">
      <c r="A274" t="str">
        <f>pilot_test!A61</f>
        <v>ft22_SGD_ariel.pt_feval.csv</v>
      </c>
      <c r="B274">
        <f>pilot_test!F61</f>
        <v>60</v>
      </c>
    </row>
    <row r="275" spans="1:2">
      <c r="A275" t="str">
        <f>pilot_test!A62</f>
        <v>ft23_AdamW_ariel.pt_feval.csv</v>
      </c>
      <c r="B275">
        <f>pilot_test!F62</f>
        <v>61</v>
      </c>
    </row>
    <row r="276" spans="1:2">
      <c r="A276" t="str">
        <f>pilot_test!A63</f>
        <v>ft23_RMSProp_ariel.pt_feval.csv</v>
      </c>
      <c r="B276">
        <f>pilot_test!F63</f>
        <v>62</v>
      </c>
    </row>
    <row r="277" spans="1:2">
      <c r="A277" t="str">
        <f>pilot_test!A64</f>
        <v>ft23_RMSProp_feval.csv</v>
      </c>
      <c r="B277">
        <f>pilot_test!F64</f>
        <v>63</v>
      </c>
    </row>
    <row r="278" spans="1:2">
      <c r="A278" t="str">
        <f>pilot_test!A65</f>
        <v>ft23_SGD_ariel.pt_feval.csv</v>
      </c>
      <c r="B278">
        <f>pilot_test!F65</f>
        <v>64</v>
      </c>
    </row>
    <row r="279" spans="1:2">
      <c r="A279" t="str">
        <f>pilot_test!A66</f>
        <v>ft24_AdamW_ariel.pt_feval.csv</v>
      </c>
      <c r="B279">
        <f>pilot_test!F66</f>
        <v>65</v>
      </c>
    </row>
    <row r="280" spans="1:2">
      <c r="A280" t="str">
        <f>pilot_test!A67</f>
        <v>ft24_RMSProp_ariel.pt_feval.csv</v>
      </c>
      <c r="B280">
        <f>pilot_test!F67</f>
        <v>66</v>
      </c>
    </row>
    <row r="281" spans="1:2">
      <c r="A281" t="str">
        <f>pilot_test!A68</f>
        <v>ft24_RMSProp_feval.csv</v>
      </c>
      <c r="B281">
        <f>pilot_test!F68</f>
        <v>67</v>
      </c>
    </row>
    <row r="282" spans="1:2">
      <c r="A282" t="str">
        <f>pilot_test!A69</f>
        <v>ft24_SGD_ariel.pt_feval.csv</v>
      </c>
      <c r="B282">
        <f>pilot_test!F69</f>
        <v>68</v>
      </c>
    </row>
    <row r="283" spans="1:2">
      <c r="A283" t="str">
        <f>pilot_test!A70</f>
        <v>ft25_AdamW_ariel.pt_feval.csv</v>
      </c>
      <c r="B283">
        <f>pilot_test!F70</f>
        <v>69</v>
      </c>
    </row>
    <row r="284" spans="1:2">
      <c r="A284" t="str">
        <f>pilot_test!A71</f>
        <v>ft25_RMSProp_ariel.pt_feval.csv</v>
      </c>
      <c r="B284">
        <f>pilot_test!F71</f>
        <v>70</v>
      </c>
    </row>
    <row r="285" spans="1:2">
      <c r="A285" t="str">
        <f>pilot_test!A72</f>
        <v>ft25_SGD_ariel.pt_feval.csv</v>
      </c>
      <c r="B285">
        <f>pilot_test!F72</f>
        <v>71</v>
      </c>
    </row>
    <row r="286" spans="1:2">
      <c r="A286" t="str">
        <f>rzeszow_test!A2</f>
        <v>ft27_SGD_finloop.pt_feval.csv</v>
      </c>
      <c r="B286">
        <f>rzeszow_test!F2</f>
        <v>1</v>
      </c>
    </row>
    <row r="287" spans="1:2">
      <c r="A287" t="str">
        <f>rzeszow_test!A3</f>
        <v>ft21fin_SGD_finloop.pt_feval.csv</v>
      </c>
      <c r="B287">
        <f>rzeszow_test!F3</f>
        <v>2</v>
      </c>
    </row>
    <row r="288" spans="1:2">
      <c r="A288" t="str">
        <f>rzeszow_test!A4</f>
        <v>ft28_SGD_finloop.pt_feval.csv</v>
      </c>
      <c r="B288">
        <f>rzeszow_test!F4</f>
        <v>3</v>
      </c>
    </row>
    <row r="289" spans="1:2">
      <c r="A289" t="str">
        <f>rzeszow_test!A5</f>
        <v>ft26_SGD_finloop.pt_feval.csv</v>
      </c>
      <c r="B289">
        <f>rzeszow_test!F5</f>
        <v>4</v>
      </c>
    </row>
    <row r="290" spans="1:2">
      <c r="A290" t="str">
        <f>rzeszow_test!A6</f>
        <v>ft27_AdamW_finloop.pt_feval.csv</v>
      </c>
      <c r="B290">
        <f>rzeszow_test!F6</f>
        <v>5</v>
      </c>
    </row>
    <row r="291" spans="1:2">
      <c r="A291" t="str">
        <f>rzeszow_test!A7</f>
        <v>ft28_AdamW_finloop.pt_feval.csv</v>
      </c>
      <c r="B291">
        <f>rzeszow_test!F7</f>
        <v>6</v>
      </c>
    </row>
    <row r="292" spans="1:2">
      <c r="A292" t="str">
        <f>rzeszow_test!A8</f>
        <v>ft26_AdamW_finloop.pt_feval.csv</v>
      </c>
      <c r="B292">
        <f>rzeszow_test!F8</f>
        <v>7</v>
      </c>
    </row>
    <row r="293" spans="1:2">
      <c r="A293" t="str">
        <f>rzeszow_test!A9</f>
        <v>ft7_feval_SGD.csv</v>
      </c>
      <c r="B293">
        <f>rzeszow_test!F9</f>
        <v>8</v>
      </c>
    </row>
    <row r="294" spans="1:2">
      <c r="A294" t="str">
        <f>rzeszow_test!A10</f>
        <v>ft12_AdamW_feval.csv</v>
      </c>
      <c r="B294">
        <f>rzeszow_test!F10</f>
        <v>9</v>
      </c>
    </row>
    <row r="295" spans="1:2">
      <c r="A295" t="str">
        <f>rzeszow_test!A11</f>
        <v>ft12b_AdamW_feval.csv</v>
      </c>
      <c r="B295">
        <f>rzeszow_test!F11</f>
        <v>10</v>
      </c>
    </row>
    <row r="296" spans="1:2">
      <c r="A296" t="str">
        <f>rzeszow_test!A12</f>
        <v>ft9_feval_AdamW.csv</v>
      </c>
      <c r="B296">
        <f>rzeszow_test!F12</f>
        <v>11</v>
      </c>
    </row>
    <row r="297" spans="1:2">
      <c r="A297" t="str">
        <f>rzeszow_test!A13</f>
        <v>ft11_AdamW_feval.csv</v>
      </c>
      <c r="B297">
        <f>rzeszow_test!F13</f>
        <v>12</v>
      </c>
    </row>
    <row r="298" spans="1:2">
      <c r="A298" t="str">
        <f>rzeszow_test!A14</f>
        <v>ft12c_AdamW_feval.csv</v>
      </c>
      <c r="B298">
        <f>rzeszow_test!F14</f>
        <v>13</v>
      </c>
    </row>
    <row r="299" spans="1:2">
      <c r="A299" t="str">
        <f>rzeszow_test!A15</f>
        <v>ft8_feval_SGD.csv</v>
      </c>
      <c r="B299">
        <f>rzeszow_test!F15</f>
        <v>14</v>
      </c>
    </row>
    <row r="300" spans="1:2">
      <c r="A300" t="str">
        <f>rzeszow_test!A16</f>
        <v>ft10_SGD_feval.csv</v>
      </c>
      <c r="B300">
        <f>rzeszow_test!F16</f>
        <v>15</v>
      </c>
    </row>
    <row r="301" spans="1:2">
      <c r="A301" t="str">
        <f>rzeszow_test!A17</f>
        <v>ft12_SGD_feval.csv</v>
      </c>
      <c r="B301">
        <f>rzeszow_test!F17</f>
        <v>16</v>
      </c>
    </row>
    <row r="302" spans="1:2">
      <c r="A302" t="str">
        <f>rzeszow_test!A18</f>
        <v>ft10_AdamW_feval.csv</v>
      </c>
      <c r="B302">
        <f>rzeszow_test!F18</f>
        <v>17</v>
      </c>
    </row>
    <row r="303" spans="1:2">
      <c r="A303" t="str">
        <f>rzeszow_test!A19</f>
        <v>ft11_SGD_feval.csv</v>
      </c>
      <c r="B303">
        <f>rzeszow_test!F19</f>
        <v>18</v>
      </c>
    </row>
    <row r="304" spans="1:2">
      <c r="A304" t="str">
        <f>rzeszow_test!A20</f>
        <v>ft12b_SGD_feval.csv</v>
      </c>
      <c r="B304">
        <f>rzeszow_test!F20</f>
        <v>19</v>
      </c>
    </row>
    <row r="305" spans="1:2">
      <c r="A305" t="str">
        <f>rzeszow_test!A21</f>
        <v>ft12c_SGD_feval.csv</v>
      </c>
      <c r="B305">
        <f>rzeszow_test!F21</f>
        <v>20</v>
      </c>
    </row>
    <row r="306" spans="1:2">
      <c r="A306" t="str">
        <f>rzeszow_test!A22</f>
        <v>ft8_feval_AdamW.csv</v>
      </c>
      <c r="B306">
        <f>rzeszow_test!F22</f>
        <v>21</v>
      </c>
    </row>
    <row r="307" spans="1:2">
      <c r="A307" t="str">
        <f>rzeszow_test!A23</f>
        <v>ft9_feval_SGD.csv</v>
      </c>
      <c r="B307">
        <f>rzeszow_test!F23</f>
        <v>22</v>
      </c>
    </row>
    <row r="308" spans="1:2">
      <c r="A308" t="str">
        <f>rzeszow_test!A24</f>
        <v>ft7_feval_auto.csv</v>
      </c>
      <c r="B308">
        <f>rzeszow_test!F24</f>
        <v>23</v>
      </c>
    </row>
    <row r="309" spans="1:2">
      <c r="A309" t="str">
        <f>rzeszow_test!A25</f>
        <v>ft8_feval_auto.csv</v>
      </c>
      <c r="B309">
        <f>rzeszow_test!F25</f>
        <v>24</v>
      </c>
    </row>
    <row r="310" spans="1:2">
      <c r="A310" t="str">
        <f>rzeszow_test!A26</f>
        <v>ft9_feval_auto.csv</v>
      </c>
      <c r="B310">
        <f>rzeszow_test!F26</f>
        <v>25</v>
      </c>
    </row>
    <row r="311" spans="1:2">
      <c r="A311" t="str">
        <f>rzeszow_test!A27</f>
        <v>ft7_feval_AdamW.csv</v>
      </c>
      <c r="B311">
        <f>rzeszow_test!F27</f>
        <v>26</v>
      </c>
    </row>
    <row r="312" spans="1:2">
      <c r="A312" t="str">
        <f>rzeszow_test!A28</f>
        <v>ft20_SGD_feval.csv</v>
      </c>
      <c r="B312">
        <f>rzeszow_test!F28</f>
        <v>27</v>
      </c>
    </row>
    <row r="313" spans="1:2">
      <c r="A313" t="str">
        <f>rzeszow_test!A29</f>
        <v>ft21v8_SGD_yolov8l-seg.pt_feval.csv</v>
      </c>
      <c r="B313">
        <f>rzeszow_test!F29</f>
        <v>28</v>
      </c>
    </row>
    <row r="314" spans="1:2">
      <c r="A314" t="str">
        <f>rzeszow_test!A30</f>
        <v>ft24_AdamW_feval.csv</v>
      </c>
      <c r="B314">
        <f>rzeszow_test!F30</f>
        <v>29</v>
      </c>
    </row>
    <row r="315" spans="1:2">
      <c r="A315" t="str">
        <f>rzeszow_test!A31</f>
        <v>ft22_SGD_feval.csv</v>
      </c>
      <c r="B315">
        <f>rzeszow_test!F31</f>
        <v>30</v>
      </c>
    </row>
    <row r="316" spans="1:2">
      <c r="A316" t="str">
        <f>rzeszow_test!A32</f>
        <v>ft21v8_SGD_feval.csv</v>
      </c>
      <c r="B316">
        <f>rzeszow_test!F32</f>
        <v>31</v>
      </c>
    </row>
    <row r="317" spans="1:2">
      <c r="A317" t="str">
        <f>rzeszow_test!A33</f>
        <v>ft21_SGD_feval.csv</v>
      </c>
      <c r="B317">
        <f>rzeszow_test!F33</f>
        <v>32</v>
      </c>
    </row>
    <row r="318" spans="1:2">
      <c r="A318" t="str">
        <f>rzeszow_test!A34</f>
        <v>ft25_AdamW_feval.csv</v>
      </c>
      <c r="B318">
        <f>rzeszow_test!F34</f>
        <v>33</v>
      </c>
    </row>
    <row r="319" spans="1:2">
      <c r="A319" t="str">
        <f>rzeszow_test!A35</f>
        <v>ft23_SGD_feval.csv</v>
      </c>
      <c r="B319">
        <f>rzeszow_test!F35</f>
        <v>34</v>
      </c>
    </row>
    <row r="320" spans="1:2">
      <c r="A320" t="str">
        <f>rzeszow_test!A36</f>
        <v>ft26_SGD_feval.csv</v>
      </c>
      <c r="B320">
        <f>rzeszow_test!F36</f>
        <v>35</v>
      </c>
    </row>
    <row r="321" spans="1:2">
      <c r="A321" t="str">
        <f>rzeszow_test!A37</f>
        <v>ft23_AdamW_feval.csv</v>
      </c>
      <c r="B321">
        <f>rzeszow_test!F37</f>
        <v>36</v>
      </c>
    </row>
    <row r="322" spans="1:2">
      <c r="A322" t="str">
        <f>rzeszow_test!A38</f>
        <v>ft28_AdamW_feval.csv</v>
      </c>
      <c r="B322">
        <f>rzeszow_test!F38</f>
        <v>37</v>
      </c>
    </row>
    <row r="323" spans="1:2">
      <c r="A323" t="str">
        <f>rzeszow_test!A39</f>
        <v>ft28_SGD_feval.csv</v>
      </c>
      <c r="B323">
        <f>rzeszow_test!F39</f>
        <v>38</v>
      </c>
    </row>
    <row r="324" spans="1:2">
      <c r="A324" t="str">
        <f>rzeszow_test!A40</f>
        <v>ft27_SGD_feval.csv</v>
      </c>
      <c r="B324">
        <f>rzeszow_test!F40</f>
        <v>39</v>
      </c>
    </row>
    <row r="325" spans="1:2">
      <c r="A325" t="str">
        <f>rzeszow_test!A41</f>
        <v>ft22_AdamW_feval.csv</v>
      </c>
      <c r="B325">
        <f>rzeszow_test!F41</f>
        <v>40</v>
      </c>
    </row>
    <row r="326" spans="1:2">
      <c r="A326" t="str">
        <f>rzeszow_test!A42</f>
        <v>ft27_AdamW_feval.csv</v>
      </c>
      <c r="B326">
        <f>rzeszow_test!F42</f>
        <v>41</v>
      </c>
    </row>
    <row r="327" spans="1:2">
      <c r="A327" t="str">
        <f>rzeszow_test!A43</f>
        <v>ft24_SGD_feval.csv</v>
      </c>
      <c r="B327">
        <f>rzeszow_test!F43</f>
        <v>42</v>
      </c>
    </row>
    <row r="328" spans="1:2">
      <c r="A328" t="str">
        <f>rzeszow_test!A44</f>
        <v>ft25_SGD_feval.csv</v>
      </c>
      <c r="B328">
        <f>rzeszow_test!F44</f>
        <v>43</v>
      </c>
    </row>
    <row r="329" spans="1:2">
      <c r="A329" t="str">
        <f>rzeszow_test!A45</f>
        <v>ft21_AdamW_feval.csv</v>
      </c>
      <c r="B329">
        <f>rzeszow_test!F45</f>
        <v>44</v>
      </c>
    </row>
    <row r="330" spans="1:2">
      <c r="A330" t="str">
        <f>rzeszow_test!A46</f>
        <v>ft26_AdamW_feval.csv</v>
      </c>
      <c r="B330">
        <f>rzeszow_test!F46</f>
        <v>45</v>
      </c>
    </row>
    <row r="331" spans="1:2">
      <c r="A331" t="str">
        <f>rzeszow_test!A47</f>
        <v>ft20_AdamW_feval.csv</v>
      </c>
      <c r="B331">
        <f>rzeszow_test!F47</f>
        <v>46</v>
      </c>
    </row>
    <row r="332" spans="1:2">
      <c r="A332" t="str">
        <f>rzeszow_test!A48</f>
        <v>ft25_RMSProp_feval.csv</v>
      </c>
      <c r="B332">
        <f>rzeszow_test!F48</f>
        <v>47</v>
      </c>
    </row>
    <row r="333" spans="1:2">
      <c r="A333" t="str">
        <f>rzeszow_test!A49</f>
        <v>ft21_RMSProp_feval.csv</v>
      </c>
      <c r="B333">
        <f>rzeszow_test!F49</f>
        <v>48</v>
      </c>
    </row>
    <row r="334" spans="1:2">
      <c r="A334" t="str">
        <f>rzeszow_test!A50</f>
        <v>ft20_AdamW_ariel.pt_feval.csv</v>
      </c>
      <c r="B334">
        <f>rzeszow_test!F50</f>
        <v>49</v>
      </c>
    </row>
    <row r="335" spans="1:2">
      <c r="A335" t="str">
        <f>rzeszow_test!A51</f>
        <v>ft20_RMSProp_ariel.pt_feval.csv</v>
      </c>
      <c r="B335">
        <f>rzeszow_test!F51</f>
        <v>50</v>
      </c>
    </row>
    <row r="336" spans="1:2">
      <c r="A336" t="str">
        <f>rzeszow_test!A52</f>
        <v>ft20_RMSProp_feval.csv</v>
      </c>
      <c r="B336">
        <f>rzeszow_test!F52</f>
        <v>51</v>
      </c>
    </row>
    <row r="337" spans="1:2">
      <c r="A337" t="str">
        <f>rzeszow_test!A53</f>
        <v>ft20_SGD_ariel.pt_feval.csv</v>
      </c>
      <c r="B337">
        <f>rzeszow_test!F53</f>
        <v>52</v>
      </c>
    </row>
    <row r="338" spans="1:2">
      <c r="A338" t="str">
        <f>rzeszow_test!A54</f>
        <v>ft21_AdamW_ariel.pt_feval.csv</v>
      </c>
      <c r="B338">
        <f>rzeszow_test!F54</f>
        <v>53</v>
      </c>
    </row>
    <row r="339" spans="1:2">
      <c r="A339" t="str">
        <f>rzeszow_test!A55</f>
        <v>ft21_RMSProp_ariel.pt_feval.csv</v>
      </c>
      <c r="B339">
        <f>rzeszow_test!F55</f>
        <v>54</v>
      </c>
    </row>
    <row r="340" spans="1:2">
      <c r="A340" t="str">
        <f>rzeszow_test!A71</f>
        <v>ft25_SGD_ariel.pt_feval.csv</v>
      </c>
      <c r="B340">
        <f>rzeszow_test!F56</f>
        <v>55</v>
      </c>
    </row>
    <row r="341" spans="1:2">
      <c r="A341" t="str">
        <f>rzeszow_test!A57</f>
        <v>ft22_AdamW_ariel.pt_feval.csv</v>
      </c>
      <c r="B341">
        <f>rzeszow_test!F57</f>
        <v>56</v>
      </c>
    </row>
    <row r="342" spans="1:2">
      <c r="A342" t="str">
        <f>rzeszow_test!A58</f>
        <v>ft22_RMSProp_ariel.pt_feval.csv</v>
      </c>
      <c r="B342">
        <f>rzeszow_test!F58</f>
        <v>57</v>
      </c>
    </row>
    <row r="343" spans="1:2">
      <c r="A343" t="str">
        <f>rzeszow_test!A59</f>
        <v>ft22_RMSProp_feval.csv</v>
      </c>
      <c r="B343">
        <f>rzeszow_test!F59</f>
        <v>58</v>
      </c>
    </row>
    <row r="344" spans="1:2">
      <c r="A344" t="str">
        <f>rzeszow_test!A60</f>
        <v>ft22_SGD_ariel.pt_feval.csv</v>
      </c>
      <c r="B344">
        <f>rzeszow_test!F60</f>
        <v>59</v>
      </c>
    </row>
    <row r="345" spans="1:2">
      <c r="A345" t="str">
        <f>rzeszow_test!A61</f>
        <v>ft23_AdamW_ariel.pt_feval.csv</v>
      </c>
      <c r="B345">
        <f>rzeszow_test!F61</f>
        <v>60</v>
      </c>
    </row>
    <row r="346" spans="1:2">
      <c r="A346" t="str">
        <f>rzeszow_test!A62</f>
        <v>ft23_RMSProp_ariel.pt_feval.csv</v>
      </c>
      <c r="B346">
        <f>rzeszow_test!F62</f>
        <v>61</v>
      </c>
    </row>
    <row r="347" spans="1:2">
      <c r="A347" t="str">
        <f>rzeszow_test!A63</f>
        <v>ft23_RMSProp_feval.csv</v>
      </c>
      <c r="B347">
        <f>rzeszow_test!F63</f>
        <v>62</v>
      </c>
    </row>
    <row r="348" spans="1:2">
      <c r="A348" t="str">
        <f>rzeszow_test!A64</f>
        <v>ft23_SGD_ariel.pt_feval.csv</v>
      </c>
      <c r="B348">
        <f>rzeszow_test!F64</f>
        <v>63</v>
      </c>
    </row>
    <row r="349" spans="1:2">
      <c r="A349" t="str">
        <f>rzeszow_test!A65</f>
        <v>ft24_AdamW_ariel.pt_feval.csv</v>
      </c>
      <c r="B349">
        <f>rzeszow_test!F65</f>
        <v>64</v>
      </c>
    </row>
    <row r="350" spans="1:2">
      <c r="A350" t="str">
        <f>rzeszow_test!A66</f>
        <v>ft24_RMSProp_ariel.pt_feval.csv</v>
      </c>
      <c r="B350">
        <f>rzeszow_test!F66</f>
        <v>65</v>
      </c>
    </row>
    <row r="351" spans="1:2">
      <c r="A351" t="str">
        <f>rzeszow_test!A67</f>
        <v>ft24_RMSProp_feval.csv</v>
      </c>
      <c r="B351">
        <f>rzeszow_test!F67</f>
        <v>66</v>
      </c>
    </row>
    <row r="352" spans="1:2">
      <c r="A352" t="str">
        <f>rzeszow_test!A68</f>
        <v>ft24_SGD_ariel.pt_feval.csv</v>
      </c>
      <c r="B352">
        <f>rzeszow_test!F68</f>
        <v>67</v>
      </c>
    </row>
    <row r="353" spans="1:2">
      <c r="A353" t="str">
        <f>rzeszow_test!A69</f>
        <v>ft25_AdamW_ariel.pt_feval.csv</v>
      </c>
      <c r="B353">
        <f>rzeszow_test!F69</f>
        <v>68</v>
      </c>
    </row>
    <row r="354" spans="1:2">
      <c r="A354" t="str">
        <f>rzeszow_test!A70</f>
        <v>ft25_RMSProp_ariel.pt_feval.csv</v>
      </c>
      <c r="B354">
        <f>rzeszow_test!F70</f>
        <v>69</v>
      </c>
    </row>
    <row r="355" spans="1:2">
      <c r="A355" t="str">
        <f>rzeszow_test!A71</f>
        <v>ft25_SGD_ariel.pt_feval.csv</v>
      </c>
      <c r="B355">
        <f>rzeszow_test!F71</f>
        <v>70</v>
      </c>
    </row>
    <row r="356" spans="1:2">
      <c r="A356" t="str">
        <f>rzeszow_train!A2</f>
        <v>ft26_AdamW_finloop.pt_feval.csv</v>
      </c>
      <c r="B356">
        <f>rzeszow_train!F2</f>
        <v>1</v>
      </c>
    </row>
    <row r="357" spans="1:2">
      <c r="A357" t="str">
        <f>rzeszow_train!A3</f>
        <v>ft27_AdamW_finloop.pt_feval.csv</v>
      </c>
      <c r="B357">
        <f>rzeszow_train!F3</f>
        <v>2</v>
      </c>
    </row>
    <row r="358" spans="1:2">
      <c r="A358" t="str">
        <f>rzeszow_train!A4</f>
        <v>ft28_AdamW_finloop.pt_feval.csv</v>
      </c>
      <c r="B358">
        <f>rzeszow_train!F4</f>
        <v>3</v>
      </c>
    </row>
    <row r="359" spans="1:2">
      <c r="A359" t="str">
        <f>rzeszow_train!A5</f>
        <v>ft26_SGD_finloop.pt_feval.csv</v>
      </c>
      <c r="B359">
        <f>rzeszow_train!F5</f>
        <v>4</v>
      </c>
    </row>
    <row r="360" spans="1:2">
      <c r="A360" t="str">
        <f>rzeszow_train!A6</f>
        <v>ft28_SGD_finloop.pt_feval.csv</v>
      </c>
      <c r="B360">
        <f>rzeszow_train!F6</f>
        <v>5</v>
      </c>
    </row>
    <row r="361" spans="1:2">
      <c r="A361" t="str">
        <f>rzeszow_train!A7</f>
        <v>ft27_SGD_finloop.pt_feval.csv</v>
      </c>
      <c r="B361">
        <f>rzeszow_train!F7</f>
        <v>6</v>
      </c>
    </row>
    <row r="362" spans="1:2">
      <c r="A362" t="str">
        <f>rzeszow_train!A8</f>
        <v>ft21fin_SGD_finloop.pt_feval.csv</v>
      </c>
      <c r="B362">
        <f>rzeszow_train!F8</f>
        <v>7</v>
      </c>
    </row>
    <row r="363" spans="1:2">
      <c r="A363" t="str">
        <f>rzeszow_train!A9</f>
        <v>ft26_SGD_feval.csv</v>
      </c>
      <c r="B363">
        <f>rzeszow_train!F9</f>
        <v>8</v>
      </c>
    </row>
    <row r="364" spans="1:2">
      <c r="A364" t="str">
        <f>rzeszow_train!A10</f>
        <v>ft28_SGD_feval.csv</v>
      </c>
      <c r="B364">
        <f>rzeszow_train!F10</f>
        <v>9</v>
      </c>
    </row>
    <row r="365" spans="1:2">
      <c r="A365" t="str">
        <f>rzeszow_train!A11</f>
        <v>ft20_SGD_feval.csv</v>
      </c>
      <c r="B365">
        <f>rzeszow_train!F11</f>
        <v>10</v>
      </c>
    </row>
    <row r="366" spans="1:2">
      <c r="A366" t="str">
        <f>rzeszow_train!A12</f>
        <v>ft25_AdamW_feval.csv</v>
      </c>
      <c r="B366">
        <f>rzeszow_train!F12</f>
        <v>11</v>
      </c>
    </row>
    <row r="367" spans="1:2">
      <c r="A367" t="str">
        <f>rzeszow_train!A13</f>
        <v>ft22_SGD_feval.csv</v>
      </c>
      <c r="B367">
        <f>rzeszow_train!F13</f>
        <v>12</v>
      </c>
    </row>
    <row r="368" spans="1:2">
      <c r="A368" t="str">
        <f>rzeszow_train!A14</f>
        <v>ft27_AdamW_feval.csv</v>
      </c>
      <c r="B368">
        <f>rzeszow_train!F14</f>
        <v>13</v>
      </c>
    </row>
    <row r="369" spans="1:2">
      <c r="A369" t="str">
        <f>rzeszow_train!A15</f>
        <v>ft28_AdamW_feval.csv</v>
      </c>
      <c r="B369">
        <f>rzeszow_train!F15</f>
        <v>14</v>
      </c>
    </row>
    <row r="370" spans="1:2">
      <c r="A370" t="str">
        <f>rzeszow_train!A16</f>
        <v>ft27_SGD_feval.csv</v>
      </c>
      <c r="B370">
        <f>rzeszow_train!F16</f>
        <v>15</v>
      </c>
    </row>
    <row r="371" spans="1:2">
      <c r="A371" t="str">
        <f>rzeszow_train!A17</f>
        <v>ft21v8_SGD_feval.csv</v>
      </c>
      <c r="B371">
        <f>rzeszow_train!F17</f>
        <v>16</v>
      </c>
    </row>
    <row r="372" spans="1:2">
      <c r="A372" t="str">
        <f>rzeszow_train!A18</f>
        <v>ft21_SGD_feval.csv</v>
      </c>
      <c r="B372">
        <f>rzeszow_train!F18</f>
        <v>17</v>
      </c>
    </row>
    <row r="373" spans="1:2">
      <c r="A373" t="str">
        <f>rzeszow_train!A19</f>
        <v>ft23_SGD_feval.csv</v>
      </c>
      <c r="B373">
        <f>rzeszow_train!F19</f>
        <v>18</v>
      </c>
    </row>
    <row r="374" spans="1:2">
      <c r="A374" t="str">
        <f>rzeszow_train!A20</f>
        <v>ft24_AdamW_feval.csv</v>
      </c>
      <c r="B374">
        <f>rzeszow_train!F20</f>
        <v>19</v>
      </c>
    </row>
    <row r="375" spans="1:2">
      <c r="A375" t="str">
        <f>rzeszow_train!A21</f>
        <v>ft21v8_SGD_yolov8l-seg.pt_feval.csv</v>
      </c>
      <c r="B375">
        <f>rzeszow_train!F21</f>
        <v>20</v>
      </c>
    </row>
    <row r="376" spans="1:2">
      <c r="A376" t="str">
        <f>rzeszow_train!A22</f>
        <v>ft26_AdamW_feval.csv</v>
      </c>
      <c r="B376">
        <f>rzeszow_train!F22</f>
        <v>21</v>
      </c>
    </row>
    <row r="377" spans="1:2">
      <c r="A377" t="str">
        <f>rzeszow_train!A23</f>
        <v>ft23_AdamW_feval.csv</v>
      </c>
      <c r="B377">
        <f>rzeszow_train!F23</f>
        <v>22</v>
      </c>
    </row>
    <row r="378" spans="1:2">
      <c r="A378" t="str">
        <f>rzeszow_train!A24</f>
        <v>ft22_AdamW_feval.csv</v>
      </c>
      <c r="B378">
        <f>rzeszow_train!F24</f>
        <v>23</v>
      </c>
    </row>
    <row r="379" spans="1:2">
      <c r="A379" t="str">
        <f>rzeszow_train!A25</f>
        <v>ft21_AdamW_feval.csv</v>
      </c>
      <c r="B379">
        <f>rzeszow_train!F25</f>
        <v>24</v>
      </c>
    </row>
    <row r="380" spans="1:2">
      <c r="A380" t="str">
        <f>rzeszow_train!A26</f>
        <v>ft20_AdamW_feval.csv</v>
      </c>
      <c r="B380">
        <f>rzeszow_train!F26</f>
        <v>25</v>
      </c>
    </row>
    <row r="381" spans="1:2">
      <c r="A381" t="str">
        <f>rzeszow_train!A27</f>
        <v>ft25_SGD_feval.csv</v>
      </c>
      <c r="B381">
        <f>rzeszow_train!F27</f>
        <v>26</v>
      </c>
    </row>
    <row r="382" spans="1:2">
      <c r="A382" t="str">
        <f>rzeszow_train!A28</f>
        <v>ft24_SGD_feval.csv</v>
      </c>
      <c r="B382">
        <f>rzeszow_train!F28</f>
        <v>27</v>
      </c>
    </row>
    <row r="383" spans="1:2">
      <c r="A383" t="str">
        <f>rzeszow_train!A29</f>
        <v>ft7_feval_SGD.csv</v>
      </c>
      <c r="B383">
        <f>rzeszow_train!F29</f>
        <v>28</v>
      </c>
    </row>
    <row r="384" spans="1:2">
      <c r="A384" t="str">
        <f>rzeszow_train!A30</f>
        <v>ft8_feval_SGD.csv</v>
      </c>
      <c r="B384">
        <f>rzeszow_train!F30</f>
        <v>29</v>
      </c>
    </row>
    <row r="385" spans="1:2">
      <c r="A385" t="str">
        <f>rzeszow_train!A31</f>
        <v>ft12c_AdamW_feval.csv</v>
      </c>
      <c r="B385">
        <f>rzeszow_train!F31</f>
        <v>30</v>
      </c>
    </row>
    <row r="386" spans="1:2">
      <c r="A386" t="str">
        <f>rzeszow_train!A32</f>
        <v>ft10_SGD_feval.csv</v>
      </c>
      <c r="B386">
        <f>rzeszow_train!F32</f>
        <v>31</v>
      </c>
    </row>
    <row r="387" spans="1:2">
      <c r="A387" t="str">
        <f>rzeszow_train!A33</f>
        <v>ft9_feval_AdamW.csv</v>
      </c>
      <c r="B387">
        <f>rzeszow_train!F33</f>
        <v>32</v>
      </c>
    </row>
    <row r="388" spans="1:2">
      <c r="A388" t="str">
        <f>rzeszow_train!A34</f>
        <v>ft11_AdamW_feval.csv</v>
      </c>
      <c r="B388">
        <f>rzeszow_train!F34</f>
        <v>33</v>
      </c>
    </row>
    <row r="389" spans="1:2">
      <c r="A389" t="str">
        <f>rzeszow_train!A35</f>
        <v>ft12b_AdamW_feval.csv</v>
      </c>
      <c r="B389">
        <f>rzeszow_train!F35</f>
        <v>34</v>
      </c>
    </row>
    <row r="390" spans="1:2">
      <c r="A390" t="str">
        <f>rzeszow_train!A36</f>
        <v>ft12_AdamW_feval.csv</v>
      </c>
      <c r="B390">
        <f>rzeszow_train!F36</f>
        <v>35</v>
      </c>
    </row>
    <row r="391" spans="1:2">
      <c r="A391" t="str">
        <f>rzeszow_train!A37</f>
        <v>ft11_SGD_feval.csv</v>
      </c>
      <c r="B391">
        <f>rzeszow_train!F37</f>
        <v>36</v>
      </c>
    </row>
    <row r="392" spans="1:2">
      <c r="A392" t="str">
        <f>rzeszow_train!A38</f>
        <v>ft12b_SGD_feval.csv</v>
      </c>
      <c r="B392">
        <f>rzeszow_train!F38</f>
        <v>37</v>
      </c>
    </row>
    <row r="393" spans="1:2">
      <c r="A393" t="str">
        <f>rzeszow_train!A39</f>
        <v>ft12_SGD_feval.csv</v>
      </c>
      <c r="B393">
        <f>rzeszow_train!F39</f>
        <v>38</v>
      </c>
    </row>
    <row r="394" spans="1:2">
      <c r="A394" t="str">
        <f>rzeszow_train!A40</f>
        <v>ft9_feval_SGD.csv</v>
      </c>
      <c r="B394">
        <f>rzeszow_train!F40</f>
        <v>39</v>
      </c>
    </row>
    <row r="395" spans="1:2">
      <c r="A395" t="str">
        <f>rzeszow_train!A41</f>
        <v>ft12c_SGD_feval.csv</v>
      </c>
      <c r="B395">
        <f>rzeszow_train!F41</f>
        <v>40</v>
      </c>
    </row>
    <row r="396" spans="1:2">
      <c r="A396" t="str">
        <f>rzeszow_train!A42</f>
        <v>ft7_feval_auto.csv</v>
      </c>
      <c r="B396">
        <f>rzeszow_train!F42</f>
        <v>41</v>
      </c>
    </row>
    <row r="397" spans="1:2">
      <c r="A397" t="str">
        <f>rzeszow_train!A43</f>
        <v>ft8_feval_auto.csv</v>
      </c>
      <c r="B397">
        <f>rzeszow_train!F43</f>
        <v>42</v>
      </c>
    </row>
    <row r="398" spans="1:2">
      <c r="A398" t="str">
        <f>rzeszow_train!A44</f>
        <v>ft9_feval_auto.csv</v>
      </c>
      <c r="B398">
        <f>rzeszow_train!F44</f>
        <v>43</v>
      </c>
    </row>
    <row r="399" spans="1:2">
      <c r="A399" t="str">
        <f>rzeszow_train!A45</f>
        <v>ft10_AdamW_feval.csv</v>
      </c>
      <c r="B399">
        <f>rzeszow_train!F45</f>
        <v>44</v>
      </c>
    </row>
    <row r="400" spans="1:2">
      <c r="A400" t="str">
        <f>rzeszow_train!A46</f>
        <v>ft7_feval_AdamW.csv</v>
      </c>
      <c r="B400">
        <f>rzeszow_train!F46</f>
        <v>45</v>
      </c>
    </row>
    <row r="401" spans="1:2">
      <c r="A401" t="str">
        <f>rzeszow_train!A47</f>
        <v>ft8_feval_AdamW.csv</v>
      </c>
      <c r="B401">
        <f>rzeszow_train!F47</f>
        <v>46</v>
      </c>
    </row>
    <row r="402" spans="1:2">
      <c r="A402" t="str">
        <f>rzeszow_train!A48</f>
        <v>ft25_RMSProp_feval.csv</v>
      </c>
      <c r="B402">
        <f>rzeszow_train!F48</f>
        <v>47</v>
      </c>
    </row>
    <row r="403" spans="1:2">
      <c r="A403" t="str">
        <f>rzeszow_train!A49</f>
        <v>ft21_RMSProp_feval.csv</v>
      </c>
      <c r="B403">
        <f>rzeszow_train!F49</f>
        <v>48</v>
      </c>
    </row>
    <row r="404" spans="1:2">
      <c r="A404" t="str">
        <f>rzeszow_train!A50</f>
        <v>ft20_AdamW_ariel.pt_feval.csv</v>
      </c>
      <c r="B404">
        <f>rzeszow_train!F50</f>
        <v>49</v>
      </c>
    </row>
    <row r="405" spans="1:2">
      <c r="A405" t="str">
        <f>rzeszow_train!A51</f>
        <v>ft20_RMSProp_ariel.pt_feval.csv</v>
      </c>
      <c r="B405">
        <f>rzeszow_train!F51</f>
        <v>50</v>
      </c>
    </row>
    <row r="406" spans="1:2">
      <c r="A406" t="str">
        <f>rzeszow_train!A52</f>
        <v>ft20_RMSProp_feval.csv</v>
      </c>
      <c r="B406">
        <f>rzeszow_train!F52</f>
        <v>51</v>
      </c>
    </row>
    <row r="407" spans="1:2">
      <c r="A407" t="str">
        <f>rzeszow_train!A53</f>
        <v>ft20_SGD_ariel.pt_feval.csv</v>
      </c>
      <c r="B407">
        <f>rzeszow_train!F53</f>
        <v>52</v>
      </c>
    </row>
    <row r="408" spans="1:2">
      <c r="A408" t="str">
        <f>rzeszow_train!A54</f>
        <v>ft21_AdamW_ariel.pt_feval.csv</v>
      </c>
      <c r="B408">
        <f>rzeszow_train!F54</f>
        <v>53</v>
      </c>
    </row>
    <row r="409" spans="1:2">
      <c r="A409" t="str">
        <f>rzeszow_train!A55</f>
        <v>ft21_RMSProp_ariel.pt_feval.csv</v>
      </c>
      <c r="B409">
        <f>rzeszow_train!F55</f>
        <v>54</v>
      </c>
    </row>
    <row r="410" spans="1:2">
      <c r="A410" t="str">
        <f>rzeszow_train!A71</f>
        <v>ft25_SGD_ariel.pt_feval.csv</v>
      </c>
      <c r="B410">
        <f>rzeszow_train!F56</f>
        <v>55</v>
      </c>
    </row>
    <row r="411" spans="1:2">
      <c r="A411" t="str">
        <f>rzeszow_train!A57</f>
        <v>ft22_AdamW_ariel.pt_feval.csv</v>
      </c>
      <c r="B411">
        <f>rzeszow_train!F57</f>
        <v>56</v>
      </c>
    </row>
    <row r="412" spans="1:2">
      <c r="A412" t="str">
        <f>rzeszow_train!A58</f>
        <v>ft22_RMSProp_ariel.pt_feval.csv</v>
      </c>
      <c r="B412">
        <f>rzeszow_train!F58</f>
        <v>57</v>
      </c>
    </row>
    <row r="413" spans="1:2">
      <c r="A413" t="str">
        <f>rzeszow_train!A59</f>
        <v>ft22_RMSProp_feval.csv</v>
      </c>
      <c r="B413">
        <f>rzeszow_train!F59</f>
        <v>58</v>
      </c>
    </row>
    <row r="414" spans="1:2">
      <c r="A414" t="str">
        <f>rzeszow_train!A60</f>
        <v>ft22_SGD_ariel.pt_feval.csv</v>
      </c>
      <c r="B414">
        <f>rzeszow_train!F60</f>
        <v>59</v>
      </c>
    </row>
    <row r="415" spans="1:2">
      <c r="A415" t="str">
        <f>rzeszow_train!A61</f>
        <v>ft23_AdamW_ariel.pt_feval.csv</v>
      </c>
      <c r="B415">
        <f>rzeszow_train!F61</f>
        <v>60</v>
      </c>
    </row>
    <row r="416" spans="1:2">
      <c r="A416" t="str">
        <f>rzeszow_train!A62</f>
        <v>ft23_RMSProp_ariel.pt_feval.csv</v>
      </c>
      <c r="B416">
        <f>rzeszow_train!F62</f>
        <v>61</v>
      </c>
    </row>
    <row r="417" spans="1:2">
      <c r="A417" t="str">
        <f>rzeszow_train!A63</f>
        <v>ft23_RMSProp_feval.csv</v>
      </c>
      <c r="B417">
        <f>rzeszow_train!F63</f>
        <v>62</v>
      </c>
    </row>
    <row r="418" spans="1:2">
      <c r="A418" t="str">
        <f>rzeszow_train!A64</f>
        <v>ft23_SGD_ariel.pt_feval.csv</v>
      </c>
      <c r="B418">
        <f>rzeszow_train!F64</f>
        <v>63</v>
      </c>
    </row>
    <row r="419" spans="1:2">
      <c r="A419" t="str">
        <f>rzeszow_train!A65</f>
        <v>ft24_AdamW_ariel.pt_feval.csv</v>
      </c>
      <c r="B419">
        <f>rzeszow_train!F65</f>
        <v>64</v>
      </c>
    </row>
    <row r="420" spans="1:2">
      <c r="A420" t="str">
        <f>rzeszow_train!A66</f>
        <v>ft24_RMSProp_ariel.pt_feval.csv</v>
      </c>
      <c r="B420">
        <f>rzeszow_train!F66</f>
        <v>65</v>
      </c>
    </row>
    <row r="421" spans="1:2">
      <c r="A421" t="str">
        <f>rzeszow_train!A67</f>
        <v>ft24_RMSProp_feval.csv</v>
      </c>
      <c r="B421">
        <f>rzeszow_train!F67</f>
        <v>66</v>
      </c>
    </row>
    <row r="422" spans="1:2">
      <c r="A422" t="str">
        <f>rzeszow_train!A68</f>
        <v>ft24_SGD_ariel.pt_feval.csv</v>
      </c>
      <c r="B422">
        <f>rzeszow_train!F68</f>
        <v>67</v>
      </c>
    </row>
    <row r="423" spans="1:2">
      <c r="A423" t="str">
        <f>rzeszow_train!A69</f>
        <v>ft25_AdamW_ariel.pt_feval.csv</v>
      </c>
      <c r="B423">
        <f>rzeszow_train!F69</f>
        <v>68</v>
      </c>
    </row>
    <row r="424" spans="1:2">
      <c r="A424" t="str">
        <f>rzeszow_train!A70</f>
        <v>ft25_RMSProp_ariel.pt_feval.csv</v>
      </c>
      <c r="B424">
        <f>rzeszow_train!F70</f>
        <v>69</v>
      </c>
    </row>
    <row r="425" spans="1:2">
      <c r="A425" t="str">
        <f>rzeszow_train!A71</f>
        <v>ft25_SGD_ariel.pt_feval.csv</v>
      </c>
      <c r="B425">
        <f>rzeszow_train!F71</f>
        <v>70</v>
      </c>
    </row>
    <row r="426" spans="1:2">
      <c r="A426" t="str">
        <f>rzeszow_val!A2</f>
        <v>ft12c_AdamW_feval.csv</v>
      </c>
      <c r="B426">
        <f>rzeszow_val!F2</f>
        <v>1</v>
      </c>
    </row>
    <row r="427" spans="1:2">
      <c r="A427" t="str">
        <f>rzeszow_val!A3</f>
        <v>ft12_AdamW_feval.csv</v>
      </c>
      <c r="B427">
        <f>rzeszow_val!F3</f>
        <v>2</v>
      </c>
    </row>
    <row r="428" spans="1:2">
      <c r="A428" t="str">
        <f>rzeszow_val!A4</f>
        <v>ft12b_AdamW_feval.csv</v>
      </c>
      <c r="B428">
        <f>rzeszow_val!F4</f>
        <v>3</v>
      </c>
    </row>
    <row r="429" spans="1:2">
      <c r="A429" t="str">
        <f>rzeszow_val!A5</f>
        <v>ft10_SGD_feval.csv</v>
      </c>
      <c r="B429">
        <f>rzeszow_val!F5</f>
        <v>4</v>
      </c>
    </row>
    <row r="430" spans="1:2">
      <c r="A430" t="str">
        <f>rzeszow_val!A6</f>
        <v>ft7_feval_SGD.csv</v>
      </c>
      <c r="B430">
        <f>rzeszow_val!F6</f>
        <v>5</v>
      </c>
    </row>
    <row r="431" spans="1:2">
      <c r="A431" t="str">
        <f>rzeszow_val!A7</f>
        <v>ft11_AdamW_feval.csv</v>
      </c>
      <c r="B431">
        <f>rzeszow_val!F7</f>
        <v>6</v>
      </c>
    </row>
    <row r="432" spans="1:2">
      <c r="A432" t="str">
        <f>rzeszow_val!A8</f>
        <v>ft21fin_SGD_finloop.pt_feval.csv</v>
      </c>
      <c r="B432">
        <f>rzeszow_val!F8</f>
        <v>7</v>
      </c>
    </row>
    <row r="433" spans="1:2">
      <c r="A433" t="str">
        <f>rzeszow_val!A9</f>
        <v>ft28_SGD_finloop.pt_feval.csv</v>
      </c>
      <c r="B433">
        <f>rzeszow_val!F9</f>
        <v>8</v>
      </c>
    </row>
    <row r="434" spans="1:2">
      <c r="A434" t="str">
        <f>rzeszow_val!A10</f>
        <v>ft26_SGD_finloop.pt_feval.csv</v>
      </c>
      <c r="B434">
        <f>rzeszow_val!F10</f>
        <v>9</v>
      </c>
    </row>
    <row r="435" spans="1:2">
      <c r="A435" t="str">
        <f>rzeszow_val!A11</f>
        <v>ft27_SGD_finloop.pt_feval.csv</v>
      </c>
      <c r="B435">
        <f>rzeszow_val!F11</f>
        <v>10</v>
      </c>
    </row>
    <row r="436" spans="1:2">
      <c r="A436" t="str">
        <f>rzeszow_val!A12</f>
        <v>ft8_feval_SGD.csv</v>
      </c>
      <c r="B436">
        <f>rzeszow_val!F12</f>
        <v>11</v>
      </c>
    </row>
    <row r="437" spans="1:2">
      <c r="A437" t="str">
        <f>rzeszow_val!A13</f>
        <v>ft9_feval_AdamW.csv</v>
      </c>
      <c r="B437">
        <f>rzeszow_val!F13</f>
        <v>12</v>
      </c>
    </row>
    <row r="438" spans="1:2">
      <c r="A438" t="str">
        <f>rzeszow_val!A14</f>
        <v>ft10_AdamW_feval.csv</v>
      </c>
      <c r="B438">
        <f>rzeszow_val!F14</f>
        <v>13</v>
      </c>
    </row>
    <row r="439" spans="1:2">
      <c r="A439" t="str">
        <f>rzeszow_val!A15</f>
        <v>ft12_SGD_feval.csv</v>
      </c>
      <c r="B439">
        <f>rzeszow_val!F15</f>
        <v>14</v>
      </c>
    </row>
    <row r="440" spans="1:2">
      <c r="A440" t="str">
        <f>rzeszow_val!A16</f>
        <v>ft27_AdamW_finloop.pt_feval.csv</v>
      </c>
      <c r="B440">
        <f>rzeszow_val!F16</f>
        <v>15</v>
      </c>
    </row>
    <row r="441" spans="1:2">
      <c r="A441" t="str">
        <f>rzeszow_val!A17</f>
        <v>ft28_AdamW_finloop.pt_feval.csv</v>
      </c>
      <c r="B441">
        <f>rzeszow_val!F17</f>
        <v>16</v>
      </c>
    </row>
    <row r="442" spans="1:2">
      <c r="A442" t="str">
        <f>rzeszow_val!A18</f>
        <v>ft8_feval_AdamW.csv</v>
      </c>
      <c r="B442">
        <f>rzeszow_val!F18</f>
        <v>17</v>
      </c>
    </row>
    <row r="443" spans="1:2">
      <c r="A443" t="str">
        <f>rzeszow_val!A19</f>
        <v>ft26_AdamW_finloop.pt_feval.csv</v>
      </c>
      <c r="B443">
        <f>rzeszow_val!F19</f>
        <v>18</v>
      </c>
    </row>
    <row r="444" spans="1:2">
      <c r="A444" t="str">
        <f>rzeszow_val!A20</f>
        <v>ft11_SGD_feval.csv</v>
      </c>
      <c r="B444">
        <f>rzeszow_val!F20</f>
        <v>19</v>
      </c>
    </row>
    <row r="445" spans="1:2">
      <c r="A445" t="str">
        <f>rzeszow_val!A21</f>
        <v>ft12c_SGD_feval.csv</v>
      </c>
      <c r="B445">
        <f>rzeszow_val!F21</f>
        <v>20</v>
      </c>
    </row>
    <row r="446" spans="1:2">
      <c r="A446" t="str">
        <f>rzeszow_val!A22</f>
        <v>ft12b_SGD_feval.csv</v>
      </c>
      <c r="B446">
        <f>rzeszow_val!F22</f>
        <v>21</v>
      </c>
    </row>
    <row r="447" spans="1:2">
      <c r="A447" t="str">
        <f>rzeszow_val!A23</f>
        <v>ft7_feval_AdamW.csv</v>
      </c>
      <c r="B447">
        <f>rzeszow_val!F23</f>
        <v>22</v>
      </c>
    </row>
    <row r="448" spans="1:2">
      <c r="A448" t="str">
        <f>rzeszow_val!A24</f>
        <v>ft7_feval_auto.csv</v>
      </c>
      <c r="B448">
        <f>rzeszow_val!F24</f>
        <v>23</v>
      </c>
    </row>
    <row r="449" spans="1:2">
      <c r="A449" t="str">
        <f>rzeszow_val!A25</f>
        <v>ft8_feval_auto.csv</v>
      </c>
      <c r="B449">
        <f>rzeszow_val!F25</f>
        <v>24</v>
      </c>
    </row>
    <row r="450" spans="1:2">
      <c r="A450" t="str">
        <f>rzeszow_val!A26</f>
        <v>ft9_feval_auto.csv</v>
      </c>
      <c r="B450">
        <f>rzeszow_val!F26</f>
        <v>25</v>
      </c>
    </row>
    <row r="451" spans="1:2">
      <c r="A451" t="str">
        <f>rzeszow_val!A27</f>
        <v>ft9_feval_SGD.csv</v>
      </c>
      <c r="B451">
        <f>rzeszow_val!F27</f>
        <v>26</v>
      </c>
    </row>
    <row r="452" spans="1:2">
      <c r="A452" t="str">
        <f>rzeszow_val!A28</f>
        <v>ft22_SGD_feval.csv</v>
      </c>
      <c r="B452">
        <f>rzeszow_val!F28</f>
        <v>27</v>
      </c>
    </row>
    <row r="453" spans="1:2">
      <c r="A453" t="str">
        <f>rzeszow_val!A29</f>
        <v>ft20_SGD_feval.csv</v>
      </c>
      <c r="B453">
        <f>rzeszow_val!F29</f>
        <v>28</v>
      </c>
    </row>
    <row r="454" spans="1:2">
      <c r="A454" t="str">
        <f>rzeszow_val!A30</f>
        <v>ft26_SGD_feval.csv</v>
      </c>
      <c r="B454">
        <f>rzeszow_val!F30</f>
        <v>29</v>
      </c>
    </row>
    <row r="455" spans="1:2">
      <c r="A455" t="str">
        <f>rzeszow_val!A31</f>
        <v>ft21v8_SGD_feval.csv</v>
      </c>
      <c r="B455">
        <f>rzeszow_val!F31</f>
        <v>30</v>
      </c>
    </row>
    <row r="456" spans="1:2">
      <c r="A456" t="str">
        <f>rzeszow_val!A32</f>
        <v>ft21_SGD_feval.csv</v>
      </c>
      <c r="B456">
        <f>rzeszow_val!F32</f>
        <v>31</v>
      </c>
    </row>
    <row r="457" spans="1:2">
      <c r="A457" t="str">
        <f>rzeszow_val!A33</f>
        <v>ft23_SGD_feval.csv</v>
      </c>
      <c r="B457">
        <f>rzeszow_val!F33</f>
        <v>32</v>
      </c>
    </row>
    <row r="458" spans="1:2">
      <c r="A458" t="str">
        <f>rzeszow_val!A34</f>
        <v>ft25_AdamW_feval.csv</v>
      </c>
      <c r="B458">
        <f>rzeszow_val!F34</f>
        <v>33</v>
      </c>
    </row>
    <row r="459" spans="1:2">
      <c r="A459" t="str">
        <f>rzeszow_val!A35</f>
        <v>ft28_SGD_feval.csv</v>
      </c>
      <c r="B459">
        <f>rzeszow_val!F35</f>
        <v>34</v>
      </c>
    </row>
    <row r="460" spans="1:2">
      <c r="A460" t="str">
        <f>rzeszow_val!A36</f>
        <v>ft27_SGD_feval.csv</v>
      </c>
      <c r="B460">
        <f>rzeszow_val!F36</f>
        <v>35</v>
      </c>
    </row>
    <row r="461" spans="1:2">
      <c r="A461" t="str">
        <f>rzeszow_val!A37</f>
        <v>ft21v8_SGD_yolov8l-seg.pt_feval.csv</v>
      </c>
      <c r="B461">
        <f>rzeszow_val!F37</f>
        <v>36</v>
      </c>
    </row>
    <row r="462" spans="1:2">
      <c r="A462" t="str">
        <f>rzeszow_val!A38</f>
        <v>ft24_AdamW_feval.csv</v>
      </c>
      <c r="B462">
        <f>rzeszow_val!F38</f>
        <v>37</v>
      </c>
    </row>
    <row r="463" spans="1:2">
      <c r="A463" t="str">
        <f>rzeszow_val!A39</f>
        <v>ft27_AdamW_feval.csv</v>
      </c>
      <c r="B463">
        <f>rzeszow_val!F39</f>
        <v>38</v>
      </c>
    </row>
    <row r="464" spans="1:2">
      <c r="A464" t="str">
        <f>rzeszow_val!A40</f>
        <v>ft28_AdamW_feval.csv</v>
      </c>
      <c r="B464">
        <f>rzeszow_val!F40</f>
        <v>39</v>
      </c>
    </row>
    <row r="465" spans="1:2">
      <c r="A465" t="str">
        <f>rzeszow_val!A41</f>
        <v>ft23_AdamW_feval.csv</v>
      </c>
      <c r="B465">
        <f>rzeszow_val!F41</f>
        <v>40</v>
      </c>
    </row>
    <row r="466" spans="1:2">
      <c r="A466" t="str">
        <f>rzeszow_val!A42</f>
        <v>ft25_SGD_feval.csv</v>
      </c>
      <c r="B466">
        <f>rzeszow_val!F42</f>
        <v>41</v>
      </c>
    </row>
    <row r="467" spans="1:2">
      <c r="A467" t="str">
        <f>rzeszow_val!A43</f>
        <v>ft22_AdamW_feval.csv</v>
      </c>
      <c r="B467">
        <f>rzeszow_val!F43</f>
        <v>42</v>
      </c>
    </row>
    <row r="468" spans="1:2">
      <c r="A468" t="str">
        <f>rzeszow_val!A44</f>
        <v>ft24_SGD_feval.csv</v>
      </c>
      <c r="B468">
        <f>rzeszow_val!F44</f>
        <v>43</v>
      </c>
    </row>
    <row r="469" spans="1:2">
      <c r="A469" t="str">
        <f>rzeszow_val!A45</f>
        <v>ft26_AdamW_feval.csv</v>
      </c>
      <c r="B469">
        <f>rzeszow_val!F45</f>
        <v>44</v>
      </c>
    </row>
    <row r="470" spans="1:2">
      <c r="A470" t="str">
        <f>rzeszow_val!A46</f>
        <v>ft21_AdamW_feval.csv</v>
      </c>
      <c r="B470">
        <f>rzeszow_val!F46</f>
        <v>45</v>
      </c>
    </row>
    <row r="471" spans="1:2">
      <c r="A471" t="str">
        <f>rzeszow_val!A47</f>
        <v>ft20_AdamW_feval.csv</v>
      </c>
      <c r="B471">
        <f>rzeszow_val!F47</f>
        <v>46</v>
      </c>
    </row>
    <row r="472" spans="1:2">
      <c r="A472" t="str">
        <f>rzeszow_val!A48</f>
        <v>ft25_RMSProp_feval.csv</v>
      </c>
      <c r="B472">
        <f>rzeszow_val!F48</f>
        <v>47</v>
      </c>
    </row>
    <row r="473" spans="1:2">
      <c r="A473" t="str">
        <f>rzeszow_val!A49</f>
        <v>ft21_RMSProp_feval.csv</v>
      </c>
      <c r="B473">
        <f>rzeszow_val!F49</f>
        <v>48</v>
      </c>
    </row>
    <row r="474" spans="1:2">
      <c r="A474" t="str">
        <f>rzeszow_val!A50</f>
        <v>ft20_AdamW_ariel.pt_feval.csv</v>
      </c>
      <c r="B474">
        <f>rzeszow_val!F50</f>
        <v>49</v>
      </c>
    </row>
    <row r="475" spans="1:2">
      <c r="A475" t="str">
        <f>rzeszow_val!A51</f>
        <v>ft20_RMSProp_ariel.pt_feval.csv</v>
      </c>
      <c r="B475">
        <f>rzeszow_val!F51</f>
        <v>50</v>
      </c>
    </row>
    <row r="476" spans="1:2">
      <c r="A476" t="str">
        <f>rzeszow_val!A52</f>
        <v>ft20_RMSProp_feval.csv</v>
      </c>
      <c r="B476">
        <f>rzeszow_val!F52</f>
        <v>51</v>
      </c>
    </row>
    <row r="477" spans="1:2">
      <c r="A477" t="str">
        <f>rzeszow_val!A53</f>
        <v>ft20_SGD_ariel.pt_feval.csv</v>
      </c>
      <c r="B477">
        <f>rzeszow_val!F53</f>
        <v>52</v>
      </c>
    </row>
    <row r="478" spans="1:2">
      <c r="A478" t="str">
        <f>rzeszow_val!A54</f>
        <v>ft21_AdamW_ariel.pt_feval.csv</v>
      </c>
      <c r="B478">
        <f>rzeszow_val!F54</f>
        <v>53</v>
      </c>
    </row>
    <row r="479" spans="1:2">
      <c r="A479" t="str">
        <f>rzeszow_val!A55</f>
        <v>ft21_RMSProp_ariel.pt_feval.csv</v>
      </c>
      <c r="B479">
        <f>rzeszow_val!F55</f>
        <v>54</v>
      </c>
    </row>
    <row r="480" spans="1:2">
      <c r="A480" t="str">
        <f>rzeszow_val!A71</f>
        <v>ft25_SGD_ariel.pt_feval.csv</v>
      </c>
      <c r="B480">
        <f>rzeszow_val!F56</f>
        <v>55</v>
      </c>
    </row>
    <row r="481" spans="1:2">
      <c r="A481" t="str">
        <f>rzeszow_val!A57</f>
        <v>ft22_AdamW_ariel.pt_feval.csv</v>
      </c>
      <c r="B481">
        <f>rzeszow_val!F57</f>
        <v>56</v>
      </c>
    </row>
    <row r="482" spans="1:2">
      <c r="A482" t="str">
        <f>rzeszow_val!A58</f>
        <v>ft22_RMSProp_ariel.pt_feval.csv</v>
      </c>
      <c r="B482">
        <f>rzeszow_val!F58</f>
        <v>57</v>
      </c>
    </row>
    <row r="483" spans="1:2">
      <c r="A483" t="str">
        <f>rzeszow_val!A59</f>
        <v>ft22_RMSProp_feval.csv</v>
      </c>
      <c r="B483">
        <f>rzeszow_val!F59</f>
        <v>58</v>
      </c>
    </row>
    <row r="484" spans="1:2">
      <c r="A484" t="str">
        <f>rzeszow_val!A60</f>
        <v>ft22_SGD_ariel.pt_feval.csv</v>
      </c>
      <c r="B484">
        <f>rzeszow_val!F60</f>
        <v>59</v>
      </c>
    </row>
    <row r="485" spans="1:2">
      <c r="A485" t="str">
        <f>rzeszow_val!A61</f>
        <v>ft23_AdamW_ariel.pt_feval.csv</v>
      </c>
      <c r="B485">
        <f>rzeszow_val!F61</f>
        <v>60</v>
      </c>
    </row>
    <row r="486" spans="1:2">
      <c r="A486" t="str">
        <f>rzeszow_val!A62</f>
        <v>ft23_RMSProp_ariel.pt_feval.csv</v>
      </c>
      <c r="B486">
        <f>rzeszow_val!F62</f>
        <v>61</v>
      </c>
    </row>
    <row r="487" spans="1:2">
      <c r="A487" t="str">
        <f>rzeszow_val!A63</f>
        <v>ft23_RMSProp_feval.csv</v>
      </c>
      <c r="B487">
        <f>rzeszow_val!F63</f>
        <v>62</v>
      </c>
    </row>
    <row r="488" spans="1:2">
      <c r="A488" t="str">
        <f>rzeszow_val!A64</f>
        <v>ft23_SGD_ariel.pt_feval.csv</v>
      </c>
      <c r="B488">
        <f>rzeszow_val!F64</f>
        <v>63</v>
      </c>
    </row>
    <row r="489" spans="1:2">
      <c r="A489" t="str">
        <f>rzeszow_val!A65</f>
        <v>ft24_AdamW_ariel.pt_feval.csv</v>
      </c>
      <c r="B489">
        <f>rzeszow_val!F65</f>
        <v>64</v>
      </c>
    </row>
    <row r="490" spans="1:2">
      <c r="A490" t="str">
        <f>rzeszow_val!A66</f>
        <v>ft24_RMSProp_ariel.pt_feval.csv</v>
      </c>
      <c r="B490">
        <f>rzeszow_val!F66</f>
        <v>65</v>
      </c>
    </row>
    <row r="491" spans="1:2">
      <c r="A491" t="str">
        <f>rzeszow_val!A67</f>
        <v>ft24_RMSProp_feval.csv</v>
      </c>
      <c r="B491">
        <f>rzeszow_val!F67</f>
        <v>66</v>
      </c>
    </row>
    <row r="492" spans="1:2">
      <c r="A492" t="str">
        <f>rzeszow_val!A68</f>
        <v>ft24_SGD_ariel.pt_feval.csv</v>
      </c>
      <c r="B492">
        <f>rzeszow_val!F68</f>
        <v>67</v>
      </c>
    </row>
    <row r="493" spans="1:2">
      <c r="A493" t="str">
        <f>rzeszow_val!A69</f>
        <v>ft25_AdamW_ariel.pt_feval.csv</v>
      </c>
      <c r="B493">
        <f>rzeszow_val!F69</f>
        <v>68</v>
      </c>
    </row>
    <row r="494" spans="1:2">
      <c r="A494" t="str">
        <f>rzeszow_val!A70</f>
        <v>ft25_RMSProp_ariel.pt_feval.csv</v>
      </c>
      <c r="B494">
        <f>rzeszow_val!F70</f>
        <v>69</v>
      </c>
    </row>
    <row r="495" spans="1:2">
      <c r="A495" t="str">
        <f>rzeszow_val!A71</f>
        <v>ft25_SGD_ariel.pt_feval.csv</v>
      </c>
      <c r="B495">
        <f>rzeszow_val!F71</f>
        <v>70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T71"/>
  <sheetViews>
    <sheetView tabSelected="1" topLeftCell="D1" workbookViewId="0">
      <selection activeCell="S13" sqref="S13"/>
    </sheetView>
  </sheetViews>
  <sheetFormatPr defaultRowHeight="13.8"/>
  <cols>
    <col min="1" max="1" width="9.5" bestFit="1" customWidth="1"/>
    <col min="2" max="2" width="6.09765625" bestFit="1" customWidth="1"/>
    <col min="3" max="3" width="19.59765625" bestFit="1" customWidth="1"/>
    <col min="4" max="4" width="9.796875" bestFit="1" customWidth="1"/>
    <col min="5" max="5" width="8.59765625" bestFit="1" customWidth="1"/>
    <col min="6" max="6" width="10.5" bestFit="1" customWidth="1"/>
    <col min="7" max="7" width="7.69921875" bestFit="1" customWidth="1"/>
    <col min="8" max="8" width="7.796875" bestFit="1" customWidth="1"/>
    <col min="9" max="10" width="8.59765625" bestFit="1" customWidth="1"/>
    <col min="11" max="11" width="9.8984375" bestFit="1" customWidth="1"/>
    <col min="12" max="12" width="9" bestFit="1" customWidth="1"/>
    <col min="13" max="13" width="9.09765625" bestFit="1" customWidth="1"/>
    <col min="14" max="14" width="9.8984375" bestFit="1" customWidth="1"/>
    <col min="15" max="15" width="11.8984375" bestFit="1" customWidth="1"/>
    <col min="17" max="17" width="10.5" bestFit="1" customWidth="1"/>
    <col min="18" max="18" width="4.796875" bestFit="1" customWidth="1"/>
    <col min="19" max="20" width="19.59765625" bestFit="1" customWidth="1"/>
  </cols>
  <sheetData>
    <row r="1" spans="1:20">
      <c r="A1" t="s">
        <v>66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1</v>
      </c>
      <c r="J1" t="s">
        <v>2</v>
      </c>
      <c r="K1" t="s">
        <v>3</v>
      </c>
      <c r="L1" t="s">
        <v>74</v>
      </c>
      <c r="M1" t="s">
        <v>75</v>
      </c>
      <c r="N1" t="s">
        <v>4</v>
      </c>
      <c r="O1" t="s">
        <v>76</v>
      </c>
      <c r="P1" t="str">
        <f>C1</f>
        <v>model</v>
      </c>
      <c r="Q1" s="8"/>
      <c r="R1" s="8"/>
      <c r="S1" s="9" t="s">
        <v>3</v>
      </c>
      <c r="T1" s="9" t="s">
        <v>4</v>
      </c>
    </row>
    <row r="2" spans="1:20">
      <c r="A2" t="s">
        <v>77</v>
      </c>
      <c r="B2" t="s">
        <v>78</v>
      </c>
      <c r="C2" t="s">
        <v>79</v>
      </c>
      <c r="D2" t="s">
        <v>80</v>
      </c>
      <c r="E2">
        <v>54</v>
      </c>
      <c r="F2">
        <v>227</v>
      </c>
      <c r="G2">
        <v>0.54700000000000004</v>
      </c>
      <c r="H2">
        <v>0.41399999999999998</v>
      </c>
      <c r="I2">
        <v>0.47099999999999997</v>
      </c>
      <c r="J2">
        <v>0.379</v>
      </c>
      <c r="K2">
        <v>0.20200000000000001</v>
      </c>
      <c r="L2">
        <v>0.20200000000000001</v>
      </c>
      <c r="M2">
        <v>0.159</v>
      </c>
      <c r="N2">
        <v>0.17799999999999999</v>
      </c>
      <c r="O2">
        <v>8.0937802791595406</v>
      </c>
      <c r="P2" t="str">
        <f t="shared" ref="P2:P65" si="0">C2</f>
        <v>finloop</v>
      </c>
      <c r="Q2" s="15" t="s">
        <v>77</v>
      </c>
      <c r="R2" s="15" t="s">
        <v>78</v>
      </c>
      <c r="S2" s="8" t="str">
        <f>VLOOKUP(MAX(K2:K8),K2:P8,6,FALSE)</f>
        <v>finloop</v>
      </c>
      <c r="T2" s="8" t="str">
        <f>VLOOKUP(MAX(N2:N8),N2:Q8,3,FALSE)</f>
        <v>ft27_AdamW_finloop.pt</v>
      </c>
    </row>
    <row r="3" spans="1:20">
      <c r="A3" t="s">
        <v>77</v>
      </c>
      <c r="B3" t="s">
        <v>78</v>
      </c>
      <c r="C3" t="s">
        <v>81</v>
      </c>
      <c r="D3" t="s">
        <v>82</v>
      </c>
      <c r="E3">
        <v>54</v>
      </c>
      <c r="F3">
        <v>227</v>
      </c>
      <c r="G3">
        <v>0.27700000000000002</v>
      </c>
      <c r="H3">
        <v>0.13900000000000001</v>
      </c>
      <c r="I3">
        <v>0.185</v>
      </c>
      <c r="J3">
        <v>0.121</v>
      </c>
      <c r="K3">
        <v>4.9000000000000002E-2</v>
      </c>
      <c r="L3">
        <v>0.216</v>
      </c>
      <c r="M3">
        <v>0.11</v>
      </c>
      <c r="N3">
        <v>0.14599999999999999</v>
      </c>
      <c r="O3">
        <v>4.7891092300415004</v>
      </c>
      <c r="P3" t="str">
        <f t="shared" si="0"/>
        <v>ft21SGD</v>
      </c>
      <c r="Q3" s="15" t="s">
        <v>86</v>
      </c>
      <c r="R3" s="15" t="s">
        <v>87</v>
      </c>
      <c r="S3" s="8" t="str">
        <f>VLOOKUP(MAX(K9:K15),K9:P15,6,FALSE)</f>
        <v>finloop</v>
      </c>
      <c r="T3" s="8" t="str">
        <f>VLOOKUP(MAX(N9:N15),N9:P15,3,FALSE)</f>
        <v>finloop</v>
      </c>
    </row>
    <row r="4" spans="1:20">
      <c r="A4" t="s">
        <v>77</v>
      </c>
      <c r="B4" t="s">
        <v>78</v>
      </c>
      <c r="C4" t="s">
        <v>109</v>
      </c>
      <c r="D4" t="s">
        <v>82</v>
      </c>
      <c r="E4">
        <v>54</v>
      </c>
      <c r="F4">
        <v>227</v>
      </c>
      <c r="G4">
        <v>0.46400000000000002</v>
      </c>
      <c r="H4">
        <v>0.16700000000000001</v>
      </c>
      <c r="I4">
        <v>0.246</v>
      </c>
      <c r="J4">
        <v>0.152</v>
      </c>
      <c r="K4">
        <v>6.0999999999999999E-2</v>
      </c>
      <c r="L4">
        <v>0.48599999999999999</v>
      </c>
      <c r="M4">
        <v>0.17499999999999999</v>
      </c>
      <c r="N4">
        <v>0.25800000000000001</v>
      </c>
      <c r="O4">
        <v>4.5811226367950404</v>
      </c>
      <c r="P4" t="str">
        <f t="shared" si="0"/>
        <v>ft27_AdamW_finloop.pt</v>
      </c>
      <c r="Q4" s="9" t="s">
        <v>86</v>
      </c>
      <c r="R4" s="9" t="s">
        <v>78</v>
      </c>
      <c r="S4" s="8" t="str">
        <f>VLOOKUP(MAX(K16:K22),K16:P22,6,FALSE)</f>
        <v>finloop</v>
      </c>
      <c r="T4" s="8" t="str">
        <f>VLOOKUP(MAX(N16:N22),N16:P22,3,FALSE)</f>
        <v>finloop</v>
      </c>
    </row>
    <row r="5" spans="1:20">
      <c r="A5" t="s">
        <v>77</v>
      </c>
      <c r="B5" t="s">
        <v>78</v>
      </c>
      <c r="C5" t="s">
        <v>110</v>
      </c>
      <c r="D5" t="s">
        <v>82</v>
      </c>
      <c r="E5">
        <v>54</v>
      </c>
      <c r="F5">
        <v>227</v>
      </c>
      <c r="G5">
        <v>0.27700000000000002</v>
      </c>
      <c r="H5">
        <v>0.13900000000000001</v>
      </c>
      <c r="I5">
        <v>0.185</v>
      </c>
      <c r="J5">
        <v>0.121</v>
      </c>
      <c r="K5">
        <v>4.9000000000000002E-2</v>
      </c>
      <c r="L5">
        <v>0.216</v>
      </c>
      <c r="M5">
        <v>0.11</v>
      </c>
      <c r="N5">
        <v>0.14599999999999999</v>
      </c>
      <c r="O5">
        <v>4.8611369132995597</v>
      </c>
      <c r="P5" t="str">
        <f t="shared" si="0"/>
        <v>ft21v8_SGD</v>
      </c>
      <c r="Q5" s="9" t="s">
        <v>86</v>
      </c>
      <c r="R5" s="9" t="s">
        <v>88</v>
      </c>
      <c r="S5" s="8" t="str">
        <f>VLOOKUP(MAX(K23:K29),K23:P29,6,FALSE)</f>
        <v>ft27_AdamW_finloop.pt</v>
      </c>
      <c r="T5" s="8" t="str">
        <f>VLOOKUP(MAX(N23:N29),N23:P29,3,FALSE)</f>
        <v>ft27_AdamW_finloop.pt</v>
      </c>
    </row>
    <row r="6" spans="1:20">
      <c r="A6" t="s">
        <v>77</v>
      </c>
      <c r="B6" t="s">
        <v>78</v>
      </c>
      <c r="C6" t="s">
        <v>111</v>
      </c>
      <c r="D6" t="s">
        <v>82</v>
      </c>
      <c r="E6">
        <v>54</v>
      </c>
      <c r="F6">
        <v>227</v>
      </c>
      <c r="G6">
        <v>0.224</v>
      </c>
      <c r="H6">
        <v>0.25</v>
      </c>
      <c r="I6">
        <v>0.23599999999999999</v>
      </c>
      <c r="J6">
        <v>0.155</v>
      </c>
      <c r="K6">
        <v>6.0999999999999999E-2</v>
      </c>
      <c r="L6">
        <v>0.20899999999999999</v>
      </c>
      <c r="M6">
        <v>0.23300000000000001</v>
      </c>
      <c r="N6">
        <v>0.22</v>
      </c>
      <c r="O6">
        <v>5.0332992076873699</v>
      </c>
      <c r="P6" t="str">
        <f t="shared" si="0"/>
        <v>ft27_SGD_finloop.pt</v>
      </c>
      <c r="Q6" s="15" t="s">
        <v>89</v>
      </c>
      <c r="R6" s="15" t="s">
        <v>87</v>
      </c>
      <c r="S6" s="8" t="str">
        <f>VLOOKUP(MAX(K30:K36),K30:P36,6,FALSE)</f>
        <v>ft21SGD</v>
      </c>
      <c r="T6" s="8" t="str">
        <f>VLOOKUP(MAX(N30:N36),N30:P36,3,FALSE)</f>
        <v>ft21SGD</v>
      </c>
    </row>
    <row r="7" spans="1:20">
      <c r="A7" t="s">
        <v>77</v>
      </c>
      <c r="B7" t="s">
        <v>78</v>
      </c>
      <c r="C7" t="s">
        <v>112</v>
      </c>
      <c r="D7" t="s">
        <v>82</v>
      </c>
      <c r="E7">
        <v>54</v>
      </c>
      <c r="F7">
        <v>227</v>
      </c>
      <c r="G7">
        <v>0.38800000000000001</v>
      </c>
      <c r="H7">
        <v>0.12</v>
      </c>
      <c r="I7">
        <v>0.184</v>
      </c>
      <c r="J7">
        <v>0.14299999999999999</v>
      </c>
      <c r="K7">
        <v>5.6000000000000001E-2</v>
      </c>
      <c r="L7">
        <v>0.30499999999999999</v>
      </c>
      <c r="M7">
        <v>9.7000000000000003E-2</v>
      </c>
      <c r="N7">
        <v>0.14699999999999999</v>
      </c>
      <c r="O7">
        <v>5.0049967765808097</v>
      </c>
      <c r="P7" t="str">
        <f t="shared" si="0"/>
        <v>ft20_SGD</v>
      </c>
      <c r="Q7" s="9" t="s">
        <v>89</v>
      </c>
      <c r="R7" s="9" t="s">
        <v>78</v>
      </c>
      <c r="S7" s="8" t="str">
        <f>VLOOKUP(MAX(K37:K43),K37:P43,6,FALSE)</f>
        <v>ft21SGD</v>
      </c>
      <c r="T7" s="8" t="str">
        <f>VLOOKUP(MAX(N37:N43),N37:P43,3,FALSE)</f>
        <v>ft21SGD</v>
      </c>
    </row>
    <row r="8" spans="1:20" s="7" customFormat="1">
      <c r="A8" s="7" t="s">
        <v>77</v>
      </c>
      <c r="B8" s="7" t="s">
        <v>78</v>
      </c>
      <c r="C8" s="7" t="s">
        <v>113</v>
      </c>
      <c r="D8" s="7" t="s">
        <v>82</v>
      </c>
      <c r="E8" s="7">
        <v>54</v>
      </c>
      <c r="F8" s="7">
        <v>227</v>
      </c>
      <c r="G8" s="7">
        <v>0.27700000000000002</v>
      </c>
      <c r="H8" s="7">
        <v>0.13900000000000001</v>
      </c>
      <c r="I8" s="7">
        <v>0.185</v>
      </c>
      <c r="J8" s="7">
        <v>0.121</v>
      </c>
      <c r="K8" s="7">
        <v>4.9000000000000002E-2</v>
      </c>
      <c r="L8" s="7">
        <v>0.216</v>
      </c>
      <c r="M8" s="7">
        <v>0.11</v>
      </c>
      <c r="N8" s="7">
        <v>0.14599999999999999</v>
      </c>
      <c r="O8" s="7">
        <v>5.2256596088409397</v>
      </c>
      <c r="P8" t="str">
        <f t="shared" si="0"/>
        <v>ft21_SGD</v>
      </c>
      <c r="Q8" s="9" t="s">
        <v>89</v>
      </c>
      <c r="R8" s="9" t="s">
        <v>88</v>
      </c>
      <c r="S8" s="8" t="str">
        <f>VLOOKUP(MAX(K44:K50),K44:P50,6,FALSE)</f>
        <v>ft21SGD</v>
      </c>
      <c r="T8" s="8" t="str">
        <f>VLOOKUP(MAX(N44:N50),N44:P50,3,FALSE)</f>
        <v>ft21SGD</v>
      </c>
    </row>
    <row r="9" spans="1:20">
      <c r="A9" t="s">
        <v>86</v>
      </c>
      <c r="B9" t="s">
        <v>87</v>
      </c>
      <c r="C9" t="s">
        <v>79</v>
      </c>
      <c r="D9" t="s">
        <v>80</v>
      </c>
      <c r="E9">
        <v>8440</v>
      </c>
      <c r="F9">
        <v>66301</v>
      </c>
      <c r="G9">
        <v>0.96299999999999997</v>
      </c>
      <c r="H9">
        <v>0.92900000000000005</v>
      </c>
      <c r="I9">
        <v>0.94599999999999995</v>
      </c>
      <c r="J9">
        <v>0.96099999999999997</v>
      </c>
      <c r="K9">
        <v>0.64200000000000002</v>
      </c>
      <c r="L9">
        <v>0.93600000000000005</v>
      </c>
      <c r="M9">
        <v>0.871</v>
      </c>
      <c r="N9">
        <v>0.90200000000000002</v>
      </c>
      <c r="O9">
        <v>62.1239786148071</v>
      </c>
      <c r="P9" t="str">
        <f t="shared" si="0"/>
        <v>finloop</v>
      </c>
      <c r="Q9" s="9" t="s">
        <v>90</v>
      </c>
      <c r="R9" s="9" t="s">
        <v>87</v>
      </c>
      <c r="S9" s="8" t="str">
        <f>VLOOKUP(MAX(K51:K57),K51:P57,6,FALSE)</f>
        <v>ft21SGD</v>
      </c>
      <c r="T9" s="8" t="str">
        <f>VLOOKUP(MAX(N51:N57),N51:P57,3,FALSE)</f>
        <v>ft21SGD</v>
      </c>
    </row>
    <row r="10" spans="1:20">
      <c r="A10" t="s">
        <v>86</v>
      </c>
      <c r="B10" t="s">
        <v>87</v>
      </c>
      <c r="C10" t="s">
        <v>81</v>
      </c>
      <c r="D10" t="s">
        <v>82</v>
      </c>
      <c r="E10">
        <v>8440</v>
      </c>
      <c r="F10">
        <v>66301</v>
      </c>
      <c r="G10">
        <v>0.63700000000000001</v>
      </c>
      <c r="H10">
        <v>0.42099999999999999</v>
      </c>
      <c r="I10">
        <v>0.50700000000000001</v>
      </c>
      <c r="J10">
        <v>0.44500000000000001</v>
      </c>
      <c r="K10">
        <v>0.26400000000000001</v>
      </c>
      <c r="L10">
        <v>0.621</v>
      </c>
      <c r="M10">
        <v>0.40699999999999997</v>
      </c>
      <c r="N10">
        <v>0.49199999999999999</v>
      </c>
      <c r="O10">
        <v>70.129276514053302</v>
      </c>
      <c r="P10" t="str">
        <f t="shared" si="0"/>
        <v>ft21SGD</v>
      </c>
      <c r="Q10" s="9" t="s">
        <v>90</v>
      </c>
      <c r="R10" s="9" t="s">
        <v>78</v>
      </c>
      <c r="S10" s="8" t="str">
        <f>VLOOKUP(MAX(K58:K64),K58:P64,6,FALSE)</f>
        <v>ft20_SGD</v>
      </c>
      <c r="T10" s="8" t="str">
        <f>VLOOKUP(MAX(N58:N64),N58:P64,3,FALSE)</f>
        <v>ft21SGD</v>
      </c>
    </row>
    <row r="11" spans="1:20">
      <c r="A11" t="s">
        <v>86</v>
      </c>
      <c r="B11" t="s">
        <v>87</v>
      </c>
      <c r="C11" t="s">
        <v>109</v>
      </c>
      <c r="D11" t="s">
        <v>82</v>
      </c>
      <c r="E11">
        <v>8440</v>
      </c>
      <c r="F11">
        <v>66301</v>
      </c>
      <c r="G11">
        <v>0.9</v>
      </c>
      <c r="H11">
        <v>0.81499999999999995</v>
      </c>
      <c r="I11">
        <v>0.85499999999999998</v>
      </c>
      <c r="J11">
        <v>0.89200000000000002</v>
      </c>
      <c r="K11">
        <v>0.59499999999999997</v>
      </c>
      <c r="L11">
        <v>0.88100000000000001</v>
      </c>
      <c r="M11">
        <v>0.77500000000000002</v>
      </c>
      <c r="N11">
        <v>0.82399999999999995</v>
      </c>
      <c r="O11">
        <v>51.551342964172299</v>
      </c>
      <c r="P11" t="str">
        <f t="shared" si="0"/>
        <v>ft27_AdamW_finloop.pt</v>
      </c>
      <c r="Q11" s="15" t="s">
        <v>90</v>
      </c>
      <c r="R11" s="15" t="s">
        <v>88</v>
      </c>
      <c r="S11" s="8" t="str">
        <f>VLOOKUP(MAX(K65:K71),K65:P71,6,FALSE)</f>
        <v>ft20_SGD</v>
      </c>
      <c r="T11" s="8" t="str">
        <f>VLOOKUP(MAX(N65:N71),N65:P71,3,FALSE)</f>
        <v>ft21SGD</v>
      </c>
    </row>
    <row r="12" spans="1:20">
      <c r="A12" t="s">
        <v>86</v>
      </c>
      <c r="B12" t="s">
        <v>87</v>
      </c>
      <c r="C12" t="s">
        <v>110</v>
      </c>
      <c r="D12" t="s">
        <v>82</v>
      </c>
      <c r="E12">
        <v>8440</v>
      </c>
      <c r="F12">
        <v>66301</v>
      </c>
      <c r="G12">
        <v>0.63700000000000001</v>
      </c>
      <c r="H12">
        <v>0.42099999999999999</v>
      </c>
      <c r="I12">
        <v>0.50700000000000001</v>
      </c>
      <c r="J12">
        <v>0.44500000000000001</v>
      </c>
      <c r="K12">
        <v>0.26400000000000001</v>
      </c>
      <c r="L12">
        <v>0.621</v>
      </c>
      <c r="M12">
        <v>0.40699999999999997</v>
      </c>
      <c r="N12">
        <v>0.49199999999999999</v>
      </c>
      <c r="O12">
        <v>70.449970722198401</v>
      </c>
      <c r="P12" t="str">
        <f t="shared" si="0"/>
        <v>ft21v8_SGD</v>
      </c>
    </row>
    <row r="13" spans="1:20">
      <c r="A13" t="s">
        <v>86</v>
      </c>
      <c r="B13" t="s">
        <v>87</v>
      </c>
      <c r="C13" t="s">
        <v>111</v>
      </c>
      <c r="D13" t="s">
        <v>82</v>
      </c>
      <c r="E13">
        <v>8440</v>
      </c>
      <c r="F13">
        <v>66301</v>
      </c>
      <c r="G13">
        <v>0.94399999999999995</v>
      </c>
      <c r="H13">
        <v>0.89700000000000002</v>
      </c>
      <c r="I13">
        <v>0.92</v>
      </c>
      <c r="J13">
        <v>0.94699999999999995</v>
      </c>
      <c r="K13">
        <v>0.62</v>
      </c>
      <c r="L13">
        <v>0.92900000000000005</v>
      </c>
      <c r="M13">
        <v>0.85699999999999998</v>
      </c>
      <c r="N13">
        <v>0.89200000000000002</v>
      </c>
      <c r="O13">
        <v>52.047149419784503</v>
      </c>
      <c r="P13" t="str">
        <f t="shared" si="0"/>
        <v>ft27_SGD_finloop.pt</v>
      </c>
    </row>
    <row r="14" spans="1:20">
      <c r="A14" t="s">
        <v>86</v>
      </c>
      <c r="B14" t="s">
        <v>87</v>
      </c>
      <c r="C14" t="s">
        <v>112</v>
      </c>
      <c r="D14" t="s">
        <v>82</v>
      </c>
      <c r="E14">
        <v>8440</v>
      </c>
      <c r="F14">
        <v>66301</v>
      </c>
      <c r="G14">
        <v>0.64200000000000002</v>
      </c>
      <c r="H14">
        <v>0.43</v>
      </c>
      <c r="I14">
        <v>0.51500000000000001</v>
      </c>
      <c r="J14">
        <v>0.45400000000000001</v>
      </c>
      <c r="K14">
        <v>0.27100000000000002</v>
      </c>
      <c r="L14">
        <v>0.63</v>
      </c>
      <c r="M14">
        <v>0.41699999999999998</v>
      </c>
      <c r="N14">
        <v>0.502</v>
      </c>
      <c r="O14">
        <v>69.913865804672199</v>
      </c>
      <c r="P14" t="str">
        <f t="shared" si="0"/>
        <v>ft20_SGD</v>
      </c>
    </row>
    <row r="15" spans="1:20" s="7" customFormat="1">
      <c r="A15" s="7" t="s">
        <v>86</v>
      </c>
      <c r="B15" s="7" t="s">
        <v>87</v>
      </c>
      <c r="C15" s="7" t="s">
        <v>113</v>
      </c>
      <c r="D15" s="7" t="s">
        <v>82</v>
      </c>
      <c r="E15" s="7">
        <v>8440</v>
      </c>
      <c r="F15" s="7">
        <v>66301</v>
      </c>
      <c r="G15" s="7">
        <v>0.63700000000000001</v>
      </c>
      <c r="H15" s="7">
        <v>0.42099999999999999</v>
      </c>
      <c r="I15" s="7">
        <v>0.50700000000000001</v>
      </c>
      <c r="J15" s="7">
        <v>0.44500000000000001</v>
      </c>
      <c r="K15" s="7">
        <v>0.26400000000000001</v>
      </c>
      <c r="L15" s="7">
        <v>0.621</v>
      </c>
      <c r="M15" s="7">
        <v>0.40699999999999997</v>
      </c>
      <c r="N15" s="7">
        <v>0.49199999999999999</v>
      </c>
      <c r="O15" s="7">
        <v>70.225444555282493</v>
      </c>
      <c r="P15" t="str">
        <f t="shared" si="0"/>
        <v>ft21_SGD</v>
      </c>
    </row>
    <row r="16" spans="1:20">
      <c r="A16" t="s">
        <v>86</v>
      </c>
      <c r="B16" t="s">
        <v>78</v>
      </c>
      <c r="C16" t="s">
        <v>79</v>
      </c>
      <c r="D16" t="s">
        <v>80</v>
      </c>
      <c r="E16">
        <v>661</v>
      </c>
      <c r="F16">
        <v>2767</v>
      </c>
      <c r="G16">
        <v>0.89600000000000002</v>
      </c>
      <c r="H16">
        <v>0.78600000000000003</v>
      </c>
      <c r="I16">
        <v>0.83699999999999997</v>
      </c>
      <c r="J16">
        <v>0.82399999999999995</v>
      </c>
      <c r="K16">
        <v>0.58299999999999996</v>
      </c>
      <c r="L16">
        <v>0.88</v>
      </c>
      <c r="M16">
        <v>0.73</v>
      </c>
      <c r="N16">
        <v>0.79800000000000004</v>
      </c>
      <c r="O16">
        <v>13.6429343223571</v>
      </c>
      <c r="P16" t="str">
        <f t="shared" si="0"/>
        <v>finloop</v>
      </c>
    </row>
    <row r="17" spans="1:16">
      <c r="A17" t="s">
        <v>86</v>
      </c>
      <c r="B17" t="s">
        <v>78</v>
      </c>
      <c r="C17" t="s">
        <v>81</v>
      </c>
      <c r="D17" t="s">
        <v>82</v>
      </c>
      <c r="E17">
        <v>661</v>
      </c>
      <c r="F17">
        <v>2767</v>
      </c>
      <c r="G17">
        <v>0.67500000000000004</v>
      </c>
      <c r="H17">
        <v>0.49</v>
      </c>
      <c r="I17">
        <v>0.56799999999999995</v>
      </c>
      <c r="J17">
        <v>0.52900000000000003</v>
      </c>
      <c r="K17">
        <v>0.35699999999999998</v>
      </c>
      <c r="L17">
        <v>0.66400000000000003</v>
      </c>
      <c r="M17">
        <v>0.48199999999999998</v>
      </c>
      <c r="N17">
        <v>0.55900000000000005</v>
      </c>
      <c r="O17">
        <v>12.7522165775299</v>
      </c>
      <c r="P17" t="str">
        <f t="shared" si="0"/>
        <v>ft21SGD</v>
      </c>
    </row>
    <row r="18" spans="1:16">
      <c r="A18" t="s">
        <v>86</v>
      </c>
      <c r="B18" t="s">
        <v>78</v>
      </c>
      <c r="C18" t="s">
        <v>109</v>
      </c>
      <c r="D18" t="s">
        <v>82</v>
      </c>
      <c r="E18">
        <v>661</v>
      </c>
      <c r="F18">
        <v>2767</v>
      </c>
      <c r="G18">
        <v>0.85699999999999998</v>
      </c>
      <c r="H18">
        <v>0.69799999999999995</v>
      </c>
      <c r="I18">
        <v>0.76900000000000002</v>
      </c>
      <c r="J18">
        <v>0.752</v>
      </c>
      <c r="K18">
        <v>0.52900000000000003</v>
      </c>
      <c r="L18">
        <v>0.83399999999999996</v>
      </c>
      <c r="M18">
        <v>0.66800000000000004</v>
      </c>
      <c r="N18">
        <v>0.74199999999999999</v>
      </c>
      <c r="O18">
        <v>10.622718572616501</v>
      </c>
      <c r="P18" t="str">
        <f t="shared" si="0"/>
        <v>ft27_AdamW_finloop.pt</v>
      </c>
    </row>
    <row r="19" spans="1:16">
      <c r="A19" t="s">
        <v>86</v>
      </c>
      <c r="B19" t="s">
        <v>78</v>
      </c>
      <c r="C19" t="s">
        <v>110</v>
      </c>
      <c r="D19" t="s">
        <v>82</v>
      </c>
      <c r="E19">
        <v>661</v>
      </c>
      <c r="F19">
        <v>2767</v>
      </c>
      <c r="G19">
        <v>0.67500000000000004</v>
      </c>
      <c r="H19">
        <v>0.49</v>
      </c>
      <c r="I19">
        <v>0.56799999999999995</v>
      </c>
      <c r="J19">
        <v>0.52900000000000003</v>
      </c>
      <c r="K19">
        <v>0.35699999999999998</v>
      </c>
      <c r="L19">
        <v>0.66400000000000003</v>
      </c>
      <c r="M19">
        <v>0.48199999999999998</v>
      </c>
      <c r="N19">
        <v>0.55900000000000005</v>
      </c>
      <c r="O19">
        <v>12.294543027877801</v>
      </c>
      <c r="P19" t="str">
        <f t="shared" si="0"/>
        <v>ft21v8_SGD</v>
      </c>
    </row>
    <row r="20" spans="1:16">
      <c r="A20" t="s">
        <v>86</v>
      </c>
      <c r="B20" t="s">
        <v>78</v>
      </c>
      <c r="C20" t="s">
        <v>111</v>
      </c>
      <c r="D20" t="s">
        <v>82</v>
      </c>
      <c r="E20">
        <v>661</v>
      </c>
      <c r="F20">
        <v>2767</v>
      </c>
      <c r="G20">
        <v>0.872</v>
      </c>
      <c r="H20">
        <v>0.753</v>
      </c>
      <c r="I20">
        <v>0.80800000000000005</v>
      </c>
      <c r="J20">
        <v>0.79800000000000004</v>
      </c>
      <c r="K20">
        <v>0.57099999999999995</v>
      </c>
      <c r="L20">
        <v>0.88</v>
      </c>
      <c r="M20">
        <v>0.71299999999999997</v>
      </c>
      <c r="N20">
        <v>0.78800000000000003</v>
      </c>
      <c r="O20">
        <v>10.478444337844801</v>
      </c>
      <c r="P20" t="str">
        <f t="shared" si="0"/>
        <v>ft27_SGD_finloop.pt</v>
      </c>
    </row>
    <row r="21" spans="1:16">
      <c r="A21" t="s">
        <v>86</v>
      </c>
      <c r="B21" t="s">
        <v>78</v>
      </c>
      <c r="C21" t="s">
        <v>112</v>
      </c>
      <c r="D21" t="s">
        <v>82</v>
      </c>
      <c r="E21">
        <v>661</v>
      </c>
      <c r="F21">
        <v>2767</v>
      </c>
      <c r="G21">
        <v>0.70499999999999996</v>
      </c>
      <c r="H21">
        <v>0.48599999999999999</v>
      </c>
      <c r="I21">
        <v>0.57599999999999996</v>
      </c>
      <c r="J21">
        <v>0.52900000000000003</v>
      </c>
      <c r="K21">
        <v>0.35499999999999998</v>
      </c>
      <c r="L21">
        <v>0.67700000000000005</v>
      </c>
      <c r="M21">
        <v>0.48199999999999998</v>
      </c>
      <c r="N21">
        <v>0.56299999999999994</v>
      </c>
      <c r="O21">
        <v>11.980031251907301</v>
      </c>
      <c r="P21" t="str">
        <f t="shared" si="0"/>
        <v>ft20_SGD</v>
      </c>
    </row>
    <row r="22" spans="1:16" s="7" customFormat="1">
      <c r="A22" s="7" t="s">
        <v>86</v>
      </c>
      <c r="B22" s="7" t="s">
        <v>78</v>
      </c>
      <c r="C22" s="7" t="s">
        <v>113</v>
      </c>
      <c r="D22" s="7" t="s">
        <v>82</v>
      </c>
      <c r="E22" s="7">
        <v>661</v>
      </c>
      <c r="F22" s="7">
        <v>2767</v>
      </c>
      <c r="G22" s="7">
        <v>0.67500000000000004</v>
      </c>
      <c r="H22" s="7">
        <v>0.49</v>
      </c>
      <c r="I22" s="7">
        <v>0.56799999999999995</v>
      </c>
      <c r="J22" s="7">
        <v>0.52900000000000003</v>
      </c>
      <c r="K22" s="7">
        <v>0.35699999999999998</v>
      </c>
      <c r="L22" s="7">
        <v>0.66400000000000003</v>
      </c>
      <c r="M22" s="7">
        <v>0.48199999999999998</v>
      </c>
      <c r="N22" s="7">
        <v>0.55900000000000005</v>
      </c>
      <c r="O22" s="7">
        <v>12.063186168670599</v>
      </c>
      <c r="P22" t="str">
        <f t="shared" si="0"/>
        <v>ft21_SGD</v>
      </c>
    </row>
    <row r="23" spans="1:16">
      <c r="A23" t="s">
        <v>86</v>
      </c>
      <c r="B23" t="s">
        <v>88</v>
      </c>
      <c r="C23" t="s">
        <v>79</v>
      </c>
      <c r="D23" t="s">
        <v>80</v>
      </c>
      <c r="E23">
        <v>435</v>
      </c>
      <c r="F23">
        <v>1692</v>
      </c>
      <c r="G23">
        <v>0.92</v>
      </c>
      <c r="H23">
        <v>0.89500000000000002</v>
      </c>
      <c r="I23">
        <v>0.90700000000000003</v>
      </c>
      <c r="J23">
        <v>0.92900000000000005</v>
      </c>
      <c r="K23">
        <v>0.65700000000000003</v>
      </c>
      <c r="L23">
        <v>0.86099999999999999</v>
      </c>
      <c r="M23">
        <v>0.83899999999999997</v>
      </c>
      <c r="N23">
        <v>0.85</v>
      </c>
      <c r="O23">
        <v>12.813273668289099</v>
      </c>
      <c r="P23" t="str">
        <f t="shared" si="0"/>
        <v>finloop</v>
      </c>
    </row>
    <row r="24" spans="1:16">
      <c r="A24" t="s">
        <v>86</v>
      </c>
      <c r="B24" t="s">
        <v>88</v>
      </c>
      <c r="C24" t="s">
        <v>81</v>
      </c>
      <c r="D24" t="s">
        <v>82</v>
      </c>
      <c r="E24">
        <v>435</v>
      </c>
      <c r="F24">
        <v>1692</v>
      </c>
      <c r="G24">
        <v>0.90600000000000003</v>
      </c>
      <c r="H24">
        <v>0.83699999999999997</v>
      </c>
      <c r="I24">
        <v>0.87</v>
      </c>
      <c r="J24">
        <v>0.91700000000000004</v>
      </c>
      <c r="K24">
        <v>0.68799999999999994</v>
      </c>
      <c r="L24">
        <v>0.88400000000000001</v>
      </c>
      <c r="M24">
        <v>0.79700000000000004</v>
      </c>
      <c r="N24">
        <v>0.83799999999999997</v>
      </c>
      <c r="O24">
        <v>10.376748561859101</v>
      </c>
      <c r="P24" t="str">
        <f t="shared" si="0"/>
        <v>ft21SGD</v>
      </c>
    </row>
    <row r="25" spans="1:16">
      <c r="A25" t="s">
        <v>86</v>
      </c>
      <c r="B25" t="s">
        <v>88</v>
      </c>
      <c r="C25" t="s">
        <v>109</v>
      </c>
      <c r="D25" t="s">
        <v>82</v>
      </c>
      <c r="E25">
        <v>435</v>
      </c>
      <c r="F25">
        <v>1692</v>
      </c>
      <c r="G25">
        <v>0.96599999999999997</v>
      </c>
      <c r="H25">
        <v>0.92800000000000005</v>
      </c>
      <c r="I25">
        <v>0.94699999999999995</v>
      </c>
      <c r="J25">
        <v>0.97299999999999998</v>
      </c>
      <c r="K25">
        <v>0.80500000000000005</v>
      </c>
      <c r="L25">
        <v>0.92800000000000005</v>
      </c>
      <c r="M25">
        <v>0.88600000000000001</v>
      </c>
      <c r="N25">
        <v>0.90700000000000003</v>
      </c>
      <c r="O25">
        <v>9.3258862495422292</v>
      </c>
      <c r="P25" t="str">
        <f t="shared" si="0"/>
        <v>ft27_AdamW_finloop.pt</v>
      </c>
    </row>
    <row r="26" spans="1:16">
      <c r="A26" t="s">
        <v>86</v>
      </c>
      <c r="B26" t="s">
        <v>88</v>
      </c>
      <c r="C26" t="s">
        <v>110</v>
      </c>
      <c r="D26" t="s">
        <v>82</v>
      </c>
      <c r="E26">
        <v>435</v>
      </c>
      <c r="F26">
        <v>1692</v>
      </c>
      <c r="G26">
        <v>0.90600000000000003</v>
      </c>
      <c r="H26">
        <v>0.83699999999999997</v>
      </c>
      <c r="I26">
        <v>0.87</v>
      </c>
      <c r="J26">
        <v>0.91700000000000004</v>
      </c>
      <c r="K26">
        <v>0.68799999999999994</v>
      </c>
      <c r="L26">
        <v>0.88400000000000001</v>
      </c>
      <c r="M26">
        <v>0.79700000000000004</v>
      </c>
      <c r="N26">
        <v>0.83799999999999997</v>
      </c>
      <c r="O26">
        <v>10.6850905418396</v>
      </c>
      <c r="P26" t="str">
        <f t="shared" si="0"/>
        <v>ft21v8_SGD</v>
      </c>
    </row>
    <row r="27" spans="1:16">
      <c r="A27" t="s">
        <v>86</v>
      </c>
      <c r="B27" t="s">
        <v>88</v>
      </c>
      <c r="C27" t="s">
        <v>111</v>
      </c>
      <c r="D27" t="s">
        <v>82</v>
      </c>
      <c r="E27">
        <v>435</v>
      </c>
      <c r="F27">
        <v>1692</v>
      </c>
      <c r="G27">
        <v>0.93</v>
      </c>
      <c r="H27">
        <v>0.90600000000000003</v>
      </c>
      <c r="I27">
        <v>0.91800000000000004</v>
      </c>
      <c r="J27">
        <v>0.94299999999999995</v>
      </c>
      <c r="K27">
        <v>0.70899999999999996</v>
      </c>
      <c r="L27">
        <v>0.90900000000000003</v>
      </c>
      <c r="M27">
        <v>0.85399999999999998</v>
      </c>
      <c r="N27">
        <v>0.88</v>
      </c>
      <c r="O27">
        <v>9.1007561683654696</v>
      </c>
      <c r="P27" t="str">
        <f t="shared" si="0"/>
        <v>ft27_SGD_finloop.pt</v>
      </c>
    </row>
    <row r="28" spans="1:16">
      <c r="A28" t="s">
        <v>86</v>
      </c>
      <c r="B28" t="s">
        <v>88</v>
      </c>
      <c r="C28" t="s">
        <v>112</v>
      </c>
      <c r="D28" t="s">
        <v>82</v>
      </c>
      <c r="E28">
        <v>435</v>
      </c>
      <c r="F28">
        <v>1692</v>
      </c>
      <c r="G28">
        <v>0.91900000000000004</v>
      </c>
      <c r="H28">
        <v>0.85399999999999998</v>
      </c>
      <c r="I28">
        <v>0.88500000000000001</v>
      </c>
      <c r="J28">
        <v>0.92500000000000004</v>
      </c>
      <c r="K28">
        <v>0.69699999999999995</v>
      </c>
      <c r="L28">
        <v>0.90900000000000003</v>
      </c>
      <c r="M28">
        <v>0.81</v>
      </c>
      <c r="N28">
        <v>0.85699999999999998</v>
      </c>
      <c r="O28">
        <v>10.426385402679401</v>
      </c>
      <c r="P28" t="str">
        <f t="shared" si="0"/>
        <v>ft20_SGD</v>
      </c>
    </row>
    <row r="29" spans="1:16" s="7" customFormat="1">
      <c r="A29" s="7" t="s">
        <v>86</v>
      </c>
      <c r="B29" s="7" t="s">
        <v>88</v>
      </c>
      <c r="C29" s="7" t="s">
        <v>113</v>
      </c>
      <c r="D29" s="7" t="s">
        <v>82</v>
      </c>
      <c r="E29" s="7">
        <v>435</v>
      </c>
      <c r="F29" s="7">
        <v>1692</v>
      </c>
      <c r="G29" s="7">
        <v>0.90600000000000003</v>
      </c>
      <c r="H29" s="7">
        <v>0.83699999999999997</v>
      </c>
      <c r="I29" s="7">
        <v>0.87</v>
      </c>
      <c r="J29" s="7">
        <v>0.91700000000000004</v>
      </c>
      <c r="K29" s="7">
        <v>0.68799999999999994</v>
      </c>
      <c r="L29" s="7">
        <v>0.88400000000000001</v>
      </c>
      <c r="M29" s="7">
        <v>0.79700000000000004</v>
      </c>
      <c r="N29" s="7">
        <v>0.83799999999999997</v>
      </c>
      <c r="O29" s="7">
        <v>11.0009324550628</v>
      </c>
      <c r="P29" t="str">
        <f t="shared" si="0"/>
        <v>ft21_SGD</v>
      </c>
    </row>
    <row r="30" spans="1:16">
      <c r="A30" t="s">
        <v>89</v>
      </c>
      <c r="B30" t="s">
        <v>87</v>
      </c>
      <c r="C30" t="s">
        <v>79</v>
      </c>
      <c r="D30" t="s">
        <v>80</v>
      </c>
      <c r="E30">
        <v>150</v>
      </c>
      <c r="F30">
        <v>374</v>
      </c>
      <c r="G30">
        <v>0.39600000000000002</v>
      </c>
      <c r="H30">
        <v>0.27500000000000002</v>
      </c>
      <c r="I30">
        <v>0.32500000000000001</v>
      </c>
      <c r="J30">
        <v>0.27300000000000002</v>
      </c>
      <c r="K30">
        <v>0.115</v>
      </c>
      <c r="L30">
        <v>0.254</v>
      </c>
      <c r="M30">
        <v>0.184</v>
      </c>
      <c r="N30">
        <v>0.214</v>
      </c>
      <c r="O30">
        <v>8.9353547096252406</v>
      </c>
      <c r="P30" t="str">
        <f t="shared" si="0"/>
        <v>finloop</v>
      </c>
    </row>
    <row r="31" spans="1:16">
      <c r="A31" t="s">
        <v>89</v>
      </c>
      <c r="B31" t="s">
        <v>87</v>
      </c>
      <c r="C31" t="s">
        <v>81</v>
      </c>
      <c r="D31" t="s">
        <v>82</v>
      </c>
      <c r="E31">
        <v>150</v>
      </c>
      <c r="F31">
        <v>374</v>
      </c>
      <c r="G31">
        <v>0.42899999999999999</v>
      </c>
      <c r="H31">
        <v>0.28100000000000003</v>
      </c>
      <c r="I31">
        <v>0.33900000000000002</v>
      </c>
      <c r="J31">
        <v>0.27700000000000002</v>
      </c>
      <c r="K31">
        <v>0.13400000000000001</v>
      </c>
      <c r="L31">
        <v>0.36299999999999999</v>
      </c>
      <c r="M31">
        <v>0.251</v>
      </c>
      <c r="N31">
        <v>0.29699999999999999</v>
      </c>
      <c r="O31">
        <v>7.4906969070434499</v>
      </c>
      <c r="P31" t="str">
        <f t="shared" si="0"/>
        <v>ft21SGD</v>
      </c>
    </row>
    <row r="32" spans="1:16">
      <c r="A32" t="s">
        <v>89</v>
      </c>
      <c r="B32" t="s">
        <v>87</v>
      </c>
      <c r="C32" t="s">
        <v>109</v>
      </c>
      <c r="D32" t="s">
        <v>82</v>
      </c>
      <c r="E32">
        <v>150</v>
      </c>
      <c r="F32">
        <v>374</v>
      </c>
      <c r="G32">
        <v>0.32</v>
      </c>
      <c r="H32">
        <v>0.217</v>
      </c>
      <c r="I32">
        <v>0.25800000000000001</v>
      </c>
      <c r="J32">
        <v>0.16600000000000001</v>
      </c>
      <c r="K32">
        <v>6.6000000000000003E-2</v>
      </c>
      <c r="L32">
        <v>0.24</v>
      </c>
      <c r="M32">
        <v>0.19</v>
      </c>
      <c r="N32">
        <v>0.21199999999999999</v>
      </c>
      <c r="O32">
        <v>6.3643076419830296</v>
      </c>
      <c r="P32" t="str">
        <f t="shared" si="0"/>
        <v>ft27_AdamW_finloop.pt</v>
      </c>
    </row>
    <row r="33" spans="1:16">
      <c r="A33" t="s">
        <v>89</v>
      </c>
      <c r="B33" t="s">
        <v>87</v>
      </c>
      <c r="C33" t="s">
        <v>110</v>
      </c>
      <c r="D33" t="s">
        <v>82</v>
      </c>
      <c r="E33">
        <v>150</v>
      </c>
      <c r="F33">
        <v>374</v>
      </c>
      <c r="G33">
        <v>0.42899999999999999</v>
      </c>
      <c r="H33">
        <v>0.28100000000000003</v>
      </c>
      <c r="I33">
        <v>0.33900000000000002</v>
      </c>
      <c r="J33">
        <v>0.27700000000000002</v>
      </c>
      <c r="K33">
        <v>0.13400000000000001</v>
      </c>
      <c r="L33">
        <v>0.36299999999999999</v>
      </c>
      <c r="M33">
        <v>0.251</v>
      </c>
      <c r="N33">
        <v>0.29699999999999999</v>
      </c>
      <c r="O33">
        <v>7.2805154323577801</v>
      </c>
      <c r="P33" t="str">
        <f t="shared" si="0"/>
        <v>ft21v8_SGD</v>
      </c>
    </row>
    <row r="34" spans="1:16">
      <c r="A34" t="s">
        <v>89</v>
      </c>
      <c r="B34" t="s">
        <v>87</v>
      </c>
      <c r="C34" t="s">
        <v>111</v>
      </c>
      <c r="D34" t="s">
        <v>82</v>
      </c>
      <c r="E34">
        <v>150</v>
      </c>
      <c r="F34">
        <v>374</v>
      </c>
      <c r="G34">
        <v>0.24399999999999999</v>
      </c>
      <c r="H34">
        <v>0.22500000000000001</v>
      </c>
      <c r="I34">
        <v>0.23400000000000001</v>
      </c>
      <c r="J34">
        <v>0.17199999999999999</v>
      </c>
      <c r="K34">
        <v>7.2999999999999995E-2</v>
      </c>
      <c r="L34">
        <v>0.22600000000000001</v>
      </c>
      <c r="M34">
        <v>0.20899999999999999</v>
      </c>
      <c r="N34">
        <v>0.217</v>
      </c>
      <c r="O34">
        <v>6.5832710266113201</v>
      </c>
      <c r="P34" t="str">
        <f t="shared" si="0"/>
        <v>ft27_SGD_finloop.pt</v>
      </c>
    </row>
    <row r="35" spans="1:16">
      <c r="A35" t="s">
        <v>89</v>
      </c>
      <c r="B35" t="s">
        <v>87</v>
      </c>
      <c r="C35" t="s">
        <v>112</v>
      </c>
      <c r="D35" t="s">
        <v>82</v>
      </c>
      <c r="E35">
        <v>150</v>
      </c>
      <c r="F35">
        <v>374</v>
      </c>
      <c r="G35">
        <v>0.32900000000000001</v>
      </c>
      <c r="H35">
        <v>0.28899999999999998</v>
      </c>
      <c r="I35">
        <v>0.308</v>
      </c>
      <c r="J35">
        <v>0.254</v>
      </c>
      <c r="K35">
        <v>0.115</v>
      </c>
      <c r="L35">
        <v>0.39800000000000002</v>
      </c>
      <c r="M35">
        <v>0.22700000000000001</v>
      </c>
      <c r="N35">
        <v>0.28899999999999998</v>
      </c>
      <c r="O35">
        <v>7.0112531185150102</v>
      </c>
      <c r="P35" t="str">
        <f t="shared" si="0"/>
        <v>ft20_SGD</v>
      </c>
    </row>
    <row r="36" spans="1:16" s="7" customFormat="1">
      <c r="A36" s="7" t="s">
        <v>89</v>
      </c>
      <c r="B36" s="7" t="s">
        <v>87</v>
      </c>
      <c r="C36" s="7" t="s">
        <v>113</v>
      </c>
      <c r="D36" s="7" t="s">
        <v>82</v>
      </c>
      <c r="E36" s="7">
        <v>150</v>
      </c>
      <c r="F36" s="7">
        <v>374</v>
      </c>
      <c r="G36" s="7">
        <v>0.42899999999999999</v>
      </c>
      <c r="H36" s="7">
        <v>0.28100000000000003</v>
      </c>
      <c r="I36" s="7">
        <v>0.33900000000000002</v>
      </c>
      <c r="J36" s="7">
        <v>0.27700000000000002</v>
      </c>
      <c r="K36" s="7">
        <v>0.13400000000000001</v>
      </c>
      <c r="L36" s="7">
        <v>0.36299999999999999</v>
      </c>
      <c r="M36" s="7">
        <v>0.251</v>
      </c>
      <c r="N36" s="7">
        <v>0.29699999999999999</v>
      </c>
      <c r="O36" s="7">
        <v>7.5455834865569997</v>
      </c>
      <c r="P36" t="str">
        <f t="shared" si="0"/>
        <v>ft21_SGD</v>
      </c>
    </row>
    <row r="37" spans="1:16">
      <c r="A37" t="s">
        <v>89</v>
      </c>
      <c r="B37" t="s">
        <v>78</v>
      </c>
      <c r="C37" t="s">
        <v>79</v>
      </c>
      <c r="D37" t="s">
        <v>80</v>
      </c>
      <c r="E37">
        <v>12</v>
      </c>
      <c r="F37">
        <v>35</v>
      </c>
      <c r="G37">
        <v>0.501</v>
      </c>
      <c r="H37">
        <v>0.57099999999999995</v>
      </c>
      <c r="I37">
        <v>0.53400000000000003</v>
      </c>
      <c r="J37">
        <v>0.53800000000000003</v>
      </c>
      <c r="K37">
        <v>0.25900000000000001</v>
      </c>
      <c r="L37">
        <v>0.36099999999999999</v>
      </c>
      <c r="M37">
        <v>0.42899999999999999</v>
      </c>
      <c r="N37">
        <v>0.39200000000000002</v>
      </c>
      <c r="O37">
        <v>4.5992522239684996</v>
      </c>
      <c r="P37" t="str">
        <f t="shared" si="0"/>
        <v>finloop</v>
      </c>
    </row>
    <row r="38" spans="1:16">
      <c r="A38" t="s">
        <v>89</v>
      </c>
      <c r="B38" t="s">
        <v>78</v>
      </c>
      <c r="C38" t="s">
        <v>81</v>
      </c>
      <c r="D38" t="s">
        <v>82</v>
      </c>
      <c r="E38">
        <v>12</v>
      </c>
      <c r="F38">
        <v>35</v>
      </c>
      <c r="G38">
        <v>0.68799999999999994</v>
      </c>
      <c r="H38">
        <v>0.68600000000000005</v>
      </c>
      <c r="I38">
        <v>0.68700000000000006</v>
      </c>
      <c r="J38">
        <v>0.67400000000000004</v>
      </c>
      <c r="K38">
        <v>0.35499999999999998</v>
      </c>
      <c r="L38">
        <v>0.64600000000000002</v>
      </c>
      <c r="M38">
        <v>0.6</v>
      </c>
      <c r="N38">
        <v>0.622</v>
      </c>
      <c r="O38">
        <v>4.5443756580352703</v>
      </c>
      <c r="P38" t="str">
        <f t="shared" si="0"/>
        <v>ft21SGD</v>
      </c>
    </row>
    <row r="39" spans="1:16">
      <c r="A39" t="s">
        <v>89</v>
      </c>
      <c r="B39" t="s">
        <v>78</v>
      </c>
      <c r="C39" t="s">
        <v>109</v>
      </c>
      <c r="D39" t="s">
        <v>82</v>
      </c>
      <c r="E39">
        <v>12</v>
      </c>
      <c r="F39">
        <v>35</v>
      </c>
      <c r="G39">
        <v>0.54900000000000004</v>
      </c>
      <c r="H39">
        <v>0.42899999999999999</v>
      </c>
      <c r="I39">
        <v>0.48199999999999998</v>
      </c>
      <c r="J39">
        <v>0.40899999999999997</v>
      </c>
      <c r="K39">
        <v>0.17899999999999999</v>
      </c>
      <c r="L39">
        <v>0.54900000000000004</v>
      </c>
      <c r="M39">
        <v>0.42899999999999999</v>
      </c>
      <c r="N39">
        <v>0.48199999999999998</v>
      </c>
      <c r="O39">
        <v>4.0061736106872496</v>
      </c>
      <c r="P39" t="str">
        <f t="shared" si="0"/>
        <v>ft27_AdamW_finloop.pt</v>
      </c>
    </row>
    <row r="40" spans="1:16">
      <c r="A40" t="s">
        <v>89</v>
      </c>
      <c r="B40" t="s">
        <v>78</v>
      </c>
      <c r="C40" t="s">
        <v>110</v>
      </c>
      <c r="D40" t="s">
        <v>82</v>
      </c>
      <c r="E40">
        <v>12</v>
      </c>
      <c r="F40">
        <v>35</v>
      </c>
      <c r="G40">
        <v>0.68799999999999994</v>
      </c>
      <c r="H40">
        <v>0.68600000000000005</v>
      </c>
      <c r="I40">
        <v>0.68700000000000006</v>
      </c>
      <c r="J40">
        <v>0.67400000000000004</v>
      </c>
      <c r="K40">
        <v>0.35499999999999998</v>
      </c>
      <c r="L40">
        <v>0.64600000000000002</v>
      </c>
      <c r="M40">
        <v>0.6</v>
      </c>
      <c r="N40">
        <v>0.622</v>
      </c>
      <c r="O40">
        <v>4.2553648948669398</v>
      </c>
      <c r="P40" t="str">
        <f t="shared" si="0"/>
        <v>ft21v8_SGD</v>
      </c>
    </row>
    <row r="41" spans="1:16">
      <c r="A41" t="s">
        <v>89</v>
      </c>
      <c r="B41" t="s">
        <v>78</v>
      </c>
      <c r="C41" t="s">
        <v>111</v>
      </c>
      <c r="D41" t="s">
        <v>82</v>
      </c>
      <c r="E41">
        <v>12</v>
      </c>
      <c r="F41">
        <v>35</v>
      </c>
      <c r="G41">
        <v>0.58699999999999997</v>
      </c>
      <c r="H41">
        <v>0.44700000000000001</v>
      </c>
      <c r="I41">
        <v>0.50700000000000001</v>
      </c>
      <c r="J41">
        <v>0.42799999999999999</v>
      </c>
      <c r="K41">
        <v>0.192</v>
      </c>
      <c r="L41">
        <v>0.58699999999999997</v>
      </c>
      <c r="M41">
        <v>0.44700000000000001</v>
      </c>
      <c r="N41">
        <v>0.50700000000000001</v>
      </c>
      <c r="O41">
        <v>4.1534006595611501</v>
      </c>
      <c r="P41" t="str">
        <f t="shared" si="0"/>
        <v>ft27_SGD_finloop.pt</v>
      </c>
    </row>
    <row r="42" spans="1:16">
      <c r="A42" t="s">
        <v>89</v>
      </c>
      <c r="B42" t="s">
        <v>78</v>
      </c>
      <c r="C42" t="s">
        <v>112</v>
      </c>
      <c r="D42" t="s">
        <v>82</v>
      </c>
      <c r="E42">
        <v>12</v>
      </c>
      <c r="F42">
        <v>35</v>
      </c>
      <c r="G42">
        <v>0.78500000000000003</v>
      </c>
      <c r="H42">
        <v>0.626</v>
      </c>
      <c r="I42">
        <v>0.69699999999999995</v>
      </c>
      <c r="J42">
        <v>0.64800000000000002</v>
      </c>
      <c r="K42">
        <v>0.3</v>
      </c>
      <c r="L42">
        <v>0.71199999999999997</v>
      </c>
      <c r="M42">
        <v>0.54300000000000004</v>
      </c>
      <c r="N42">
        <v>0.61599999999999999</v>
      </c>
      <c r="O42">
        <v>4.2280504703521702</v>
      </c>
      <c r="P42" t="str">
        <f t="shared" si="0"/>
        <v>ft20_SGD</v>
      </c>
    </row>
    <row r="43" spans="1:16" s="7" customFormat="1">
      <c r="A43" s="7" t="s">
        <v>89</v>
      </c>
      <c r="B43" s="7" t="s">
        <v>78</v>
      </c>
      <c r="C43" s="7" t="s">
        <v>113</v>
      </c>
      <c r="D43" s="7" t="s">
        <v>82</v>
      </c>
      <c r="E43" s="7">
        <v>12</v>
      </c>
      <c r="F43" s="7">
        <v>35</v>
      </c>
      <c r="G43" s="7">
        <v>0.68799999999999994</v>
      </c>
      <c r="H43" s="7">
        <v>0.68600000000000005</v>
      </c>
      <c r="I43" s="7">
        <v>0.68700000000000006</v>
      </c>
      <c r="J43" s="7">
        <v>0.67400000000000004</v>
      </c>
      <c r="K43" s="7">
        <v>0.35499999999999998</v>
      </c>
      <c r="L43" s="7">
        <v>0.64600000000000002</v>
      </c>
      <c r="M43" s="7">
        <v>0.6</v>
      </c>
      <c r="N43" s="7">
        <v>0.622</v>
      </c>
      <c r="O43" s="7">
        <v>4.4635365009307799</v>
      </c>
      <c r="P43" t="str">
        <f t="shared" si="0"/>
        <v>ft21_SGD</v>
      </c>
    </row>
    <row r="44" spans="1:16">
      <c r="A44" t="s">
        <v>89</v>
      </c>
      <c r="B44" t="s">
        <v>88</v>
      </c>
      <c r="C44" t="s">
        <v>79</v>
      </c>
      <c r="D44" t="s">
        <v>80</v>
      </c>
      <c r="E44">
        <v>18</v>
      </c>
      <c r="F44">
        <v>32</v>
      </c>
      <c r="G44">
        <v>0.34200000000000003</v>
      </c>
      <c r="H44">
        <v>0.375</v>
      </c>
      <c r="I44">
        <v>0.35799999999999998</v>
      </c>
      <c r="J44">
        <v>0.29799999999999999</v>
      </c>
      <c r="K44">
        <v>9.5000000000000001E-2</v>
      </c>
      <c r="L44">
        <v>0.222</v>
      </c>
      <c r="M44">
        <v>0.219</v>
      </c>
      <c r="N44">
        <v>0.22</v>
      </c>
      <c r="O44">
        <v>4.57910108566284</v>
      </c>
      <c r="P44" t="str">
        <f t="shared" si="0"/>
        <v>finloop</v>
      </c>
    </row>
    <row r="45" spans="1:16">
      <c r="A45" t="s">
        <v>89</v>
      </c>
      <c r="B45" t="s">
        <v>88</v>
      </c>
      <c r="C45" t="s">
        <v>81</v>
      </c>
      <c r="D45" t="s">
        <v>82</v>
      </c>
      <c r="E45">
        <v>18</v>
      </c>
      <c r="F45">
        <v>32</v>
      </c>
      <c r="G45">
        <v>0.441</v>
      </c>
      <c r="H45">
        <v>0.46899999999999997</v>
      </c>
      <c r="I45">
        <v>0.45500000000000002</v>
      </c>
      <c r="J45">
        <v>0.379</v>
      </c>
      <c r="K45">
        <v>0.19</v>
      </c>
      <c r="L45">
        <v>0.49399999999999999</v>
      </c>
      <c r="M45">
        <v>0.25</v>
      </c>
      <c r="N45">
        <v>0.33200000000000002</v>
      </c>
      <c r="O45">
        <v>4.6334381103515598</v>
      </c>
      <c r="P45" t="str">
        <f t="shared" si="0"/>
        <v>ft21SGD</v>
      </c>
    </row>
    <row r="46" spans="1:16">
      <c r="A46" t="s">
        <v>89</v>
      </c>
      <c r="B46" t="s">
        <v>88</v>
      </c>
      <c r="C46" t="s">
        <v>109</v>
      </c>
      <c r="D46" t="s">
        <v>82</v>
      </c>
      <c r="E46">
        <v>18</v>
      </c>
      <c r="F46">
        <v>32</v>
      </c>
      <c r="G46">
        <v>0.35599999999999998</v>
      </c>
      <c r="H46">
        <v>0.25</v>
      </c>
      <c r="I46">
        <v>0.29399999999999998</v>
      </c>
      <c r="J46">
        <v>0.189</v>
      </c>
      <c r="K46">
        <v>7.2999999999999995E-2</v>
      </c>
      <c r="L46">
        <v>0.17799999999999999</v>
      </c>
      <c r="M46">
        <v>0.125</v>
      </c>
      <c r="N46">
        <v>0.14699999999999999</v>
      </c>
      <c r="O46">
        <v>4.0382447242736799</v>
      </c>
      <c r="P46" t="str">
        <f t="shared" si="0"/>
        <v>ft27_AdamW_finloop.pt</v>
      </c>
    </row>
    <row r="47" spans="1:16">
      <c r="A47" t="s">
        <v>89</v>
      </c>
      <c r="B47" t="s">
        <v>88</v>
      </c>
      <c r="C47" t="s">
        <v>110</v>
      </c>
      <c r="D47" t="s">
        <v>82</v>
      </c>
      <c r="E47">
        <v>18</v>
      </c>
      <c r="F47">
        <v>32</v>
      </c>
      <c r="G47">
        <v>0.441</v>
      </c>
      <c r="H47">
        <v>0.46899999999999997</v>
      </c>
      <c r="I47">
        <v>0.45500000000000002</v>
      </c>
      <c r="J47">
        <v>0.379</v>
      </c>
      <c r="K47">
        <v>0.19</v>
      </c>
      <c r="L47">
        <v>0.49399999999999999</v>
      </c>
      <c r="M47">
        <v>0.25</v>
      </c>
      <c r="N47">
        <v>0.33200000000000002</v>
      </c>
      <c r="O47">
        <v>4.6706571578979403</v>
      </c>
      <c r="P47" t="str">
        <f t="shared" si="0"/>
        <v>ft21v8_SGD</v>
      </c>
    </row>
    <row r="48" spans="1:16">
      <c r="A48" t="s">
        <v>89</v>
      </c>
      <c r="B48" t="s">
        <v>88</v>
      </c>
      <c r="C48" t="s">
        <v>111</v>
      </c>
      <c r="D48" t="s">
        <v>82</v>
      </c>
      <c r="E48">
        <v>18</v>
      </c>
      <c r="F48">
        <v>32</v>
      </c>
      <c r="G48">
        <v>0.32200000000000001</v>
      </c>
      <c r="H48">
        <v>0.188</v>
      </c>
      <c r="I48">
        <v>0.23699999999999999</v>
      </c>
      <c r="J48">
        <v>0.158</v>
      </c>
      <c r="K48">
        <v>9.8000000000000004E-2</v>
      </c>
      <c r="L48">
        <v>0.17</v>
      </c>
      <c r="M48">
        <v>0.156</v>
      </c>
      <c r="N48">
        <v>0.16300000000000001</v>
      </c>
      <c r="O48">
        <v>4.1967439651489196</v>
      </c>
      <c r="P48" t="str">
        <f t="shared" si="0"/>
        <v>ft27_SGD_finloop.pt</v>
      </c>
    </row>
    <row r="49" spans="1:16">
      <c r="A49" t="s">
        <v>89</v>
      </c>
      <c r="B49" t="s">
        <v>88</v>
      </c>
      <c r="C49" t="s">
        <v>112</v>
      </c>
      <c r="D49" t="s">
        <v>82</v>
      </c>
      <c r="E49">
        <v>18</v>
      </c>
      <c r="F49">
        <v>32</v>
      </c>
      <c r="G49">
        <v>0.36299999999999999</v>
      </c>
      <c r="H49">
        <v>0.28100000000000003</v>
      </c>
      <c r="I49">
        <v>0.317</v>
      </c>
      <c r="J49">
        <v>0.21199999999999999</v>
      </c>
      <c r="K49">
        <v>0.105</v>
      </c>
      <c r="L49">
        <v>0.23499999999999999</v>
      </c>
      <c r="M49">
        <v>0.25</v>
      </c>
      <c r="N49">
        <v>0.24199999999999999</v>
      </c>
      <c r="O49">
        <v>4.3715517520904497</v>
      </c>
      <c r="P49" t="str">
        <f t="shared" si="0"/>
        <v>ft20_SGD</v>
      </c>
    </row>
    <row r="50" spans="1:16" s="7" customFormat="1">
      <c r="A50" s="7" t="s">
        <v>89</v>
      </c>
      <c r="B50" s="7" t="s">
        <v>88</v>
      </c>
      <c r="C50" s="7" t="s">
        <v>113</v>
      </c>
      <c r="D50" s="7" t="s">
        <v>82</v>
      </c>
      <c r="E50" s="7">
        <v>18</v>
      </c>
      <c r="F50" s="7">
        <v>32</v>
      </c>
      <c r="G50" s="7">
        <v>0.441</v>
      </c>
      <c r="H50" s="7">
        <v>0.46899999999999997</v>
      </c>
      <c r="I50" s="7">
        <v>0.45500000000000002</v>
      </c>
      <c r="J50" s="7">
        <v>0.379</v>
      </c>
      <c r="K50" s="7">
        <v>0.19</v>
      </c>
      <c r="L50" s="7">
        <v>0.49399999999999999</v>
      </c>
      <c r="M50" s="7">
        <v>0.25</v>
      </c>
      <c r="N50" s="7">
        <v>0.33200000000000002</v>
      </c>
      <c r="O50" s="7">
        <v>4.4965400695800701</v>
      </c>
      <c r="P50" t="str">
        <f t="shared" si="0"/>
        <v>ft21_SGD</v>
      </c>
    </row>
    <row r="51" spans="1:16">
      <c r="A51" t="s">
        <v>90</v>
      </c>
      <c r="B51" t="s">
        <v>87</v>
      </c>
      <c r="C51" t="s">
        <v>79</v>
      </c>
      <c r="D51" t="s">
        <v>80</v>
      </c>
      <c r="E51">
        <v>789</v>
      </c>
      <c r="F51">
        <v>789</v>
      </c>
      <c r="G51">
        <v>6.2E-2</v>
      </c>
      <c r="H51">
        <v>2.7E-2</v>
      </c>
      <c r="I51">
        <v>3.6999999999999998E-2</v>
      </c>
      <c r="J51">
        <v>8.0000000000000002E-3</v>
      </c>
      <c r="K51">
        <v>1E-3</v>
      </c>
      <c r="L51">
        <v>0</v>
      </c>
      <c r="M51">
        <v>0</v>
      </c>
      <c r="N51">
        <v>0</v>
      </c>
      <c r="O51">
        <v>13.0713064670562</v>
      </c>
      <c r="P51" t="str">
        <f t="shared" si="0"/>
        <v>finloop</v>
      </c>
    </row>
    <row r="52" spans="1:16">
      <c r="A52" t="s">
        <v>90</v>
      </c>
      <c r="B52" t="s">
        <v>87</v>
      </c>
      <c r="C52" t="s">
        <v>81</v>
      </c>
      <c r="D52" t="s">
        <v>82</v>
      </c>
      <c r="E52">
        <v>789</v>
      </c>
      <c r="F52">
        <v>789</v>
      </c>
      <c r="G52">
        <v>0.999</v>
      </c>
      <c r="H52">
        <v>0.99099999999999999</v>
      </c>
      <c r="I52">
        <v>0.995</v>
      </c>
      <c r="J52">
        <v>0.995</v>
      </c>
      <c r="K52">
        <v>0.91200000000000003</v>
      </c>
      <c r="L52">
        <v>0.999</v>
      </c>
      <c r="M52">
        <v>0.99099999999999999</v>
      </c>
      <c r="N52">
        <v>0.995</v>
      </c>
      <c r="O52">
        <v>12.761017799377401</v>
      </c>
      <c r="P52" t="str">
        <f t="shared" si="0"/>
        <v>ft21SGD</v>
      </c>
    </row>
    <row r="53" spans="1:16">
      <c r="A53" t="s">
        <v>90</v>
      </c>
      <c r="B53" t="s">
        <v>87</v>
      </c>
      <c r="C53" t="s">
        <v>109</v>
      </c>
      <c r="D53" t="s">
        <v>82</v>
      </c>
      <c r="E53">
        <v>789</v>
      </c>
      <c r="F53">
        <v>789</v>
      </c>
      <c r="G53">
        <v>0.99399999999999999</v>
      </c>
      <c r="H53">
        <v>0.98099999999999998</v>
      </c>
      <c r="I53">
        <v>0.98699999999999999</v>
      </c>
      <c r="J53">
        <v>0.99</v>
      </c>
      <c r="K53">
        <v>0.83499999999999996</v>
      </c>
      <c r="L53">
        <v>0.99399999999999999</v>
      </c>
      <c r="M53">
        <v>0.98</v>
      </c>
      <c r="N53">
        <v>0.98699999999999999</v>
      </c>
      <c r="O53">
        <v>10.601947069168</v>
      </c>
      <c r="P53" t="str">
        <f t="shared" si="0"/>
        <v>ft27_AdamW_finloop.pt</v>
      </c>
    </row>
    <row r="54" spans="1:16">
      <c r="A54" t="s">
        <v>90</v>
      </c>
      <c r="B54" t="s">
        <v>87</v>
      </c>
      <c r="C54" t="s">
        <v>110</v>
      </c>
      <c r="D54" t="s">
        <v>82</v>
      </c>
      <c r="E54">
        <v>789</v>
      </c>
      <c r="F54">
        <v>789</v>
      </c>
      <c r="G54">
        <v>0.999</v>
      </c>
      <c r="H54">
        <v>0.99099999999999999</v>
      </c>
      <c r="I54">
        <v>0.995</v>
      </c>
      <c r="J54">
        <v>0.995</v>
      </c>
      <c r="K54">
        <v>0.91200000000000003</v>
      </c>
      <c r="L54">
        <v>0.999</v>
      </c>
      <c r="M54">
        <v>0.99099999999999999</v>
      </c>
      <c r="N54">
        <v>0.995</v>
      </c>
      <c r="O54">
        <v>12.581204175949001</v>
      </c>
      <c r="P54" t="str">
        <f t="shared" si="0"/>
        <v>ft21v8_SGD</v>
      </c>
    </row>
    <row r="55" spans="1:16">
      <c r="A55" t="s">
        <v>90</v>
      </c>
      <c r="B55" t="s">
        <v>87</v>
      </c>
      <c r="C55" t="s">
        <v>111</v>
      </c>
      <c r="D55" t="s">
        <v>82</v>
      </c>
      <c r="E55">
        <v>789</v>
      </c>
      <c r="F55">
        <v>789</v>
      </c>
      <c r="G55">
        <v>0.99099999999999999</v>
      </c>
      <c r="H55">
        <v>0.95199999999999996</v>
      </c>
      <c r="I55">
        <v>0.97099999999999997</v>
      </c>
      <c r="J55">
        <v>0.98</v>
      </c>
      <c r="K55">
        <v>0.754</v>
      </c>
      <c r="L55">
        <v>0.99099999999999999</v>
      </c>
      <c r="M55">
        <v>0.95099999999999996</v>
      </c>
      <c r="N55">
        <v>0.97</v>
      </c>
      <c r="O55">
        <v>10.7328882217407</v>
      </c>
      <c r="P55" t="str">
        <f t="shared" si="0"/>
        <v>ft27_SGD_finloop.pt</v>
      </c>
    </row>
    <row r="56" spans="1:16">
      <c r="A56" t="s">
        <v>90</v>
      </c>
      <c r="B56" t="s">
        <v>87</v>
      </c>
      <c r="C56" t="s">
        <v>112</v>
      </c>
      <c r="D56" t="s">
        <v>82</v>
      </c>
      <c r="E56">
        <v>789</v>
      </c>
      <c r="F56">
        <v>789</v>
      </c>
      <c r="G56">
        <v>1</v>
      </c>
      <c r="H56">
        <v>0.99099999999999999</v>
      </c>
      <c r="I56">
        <v>0.995</v>
      </c>
      <c r="J56">
        <v>0.995</v>
      </c>
      <c r="K56">
        <v>0.90500000000000003</v>
      </c>
      <c r="L56">
        <v>1</v>
      </c>
      <c r="M56">
        <v>0.99099999999999999</v>
      </c>
      <c r="N56">
        <v>0.995</v>
      </c>
      <c r="O56">
        <v>12.673979997634801</v>
      </c>
      <c r="P56" t="str">
        <f t="shared" si="0"/>
        <v>ft20_SGD</v>
      </c>
    </row>
    <row r="57" spans="1:16" s="7" customFormat="1">
      <c r="A57" s="7" t="s">
        <v>90</v>
      </c>
      <c r="B57" s="7" t="s">
        <v>87</v>
      </c>
      <c r="C57" s="7" t="s">
        <v>113</v>
      </c>
      <c r="D57" s="7" t="s">
        <v>82</v>
      </c>
      <c r="E57" s="7">
        <v>789</v>
      </c>
      <c r="F57" s="7">
        <v>789</v>
      </c>
      <c r="G57" s="7">
        <v>0.999</v>
      </c>
      <c r="H57" s="7">
        <v>0.99099999999999999</v>
      </c>
      <c r="I57" s="7">
        <v>0.995</v>
      </c>
      <c r="J57" s="7">
        <v>0.995</v>
      </c>
      <c r="K57" s="7">
        <v>0.91200000000000003</v>
      </c>
      <c r="L57" s="7">
        <v>0.999</v>
      </c>
      <c r="M57" s="7">
        <v>0.99099999999999999</v>
      </c>
      <c r="N57" s="7">
        <v>0.995</v>
      </c>
      <c r="O57" s="7">
        <v>12.511261940002401</v>
      </c>
      <c r="P57" t="str">
        <f t="shared" si="0"/>
        <v>ft21_SGD</v>
      </c>
    </row>
    <row r="58" spans="1:16">
      <c r="A58" t="s">
        <v>90</v>
      </c>
      <c r="B58" t="s">
        <v>78</v>
      </c>
      <c r="C58" t="s">
        <v>79</v>
      </c>
      <c r="D58" t="s">
        <v>80</v>
      </c>
      <c r="E58">
        <v>225</v>
      </c>
      <c r="F58">
        <v>225</v>
      </c>
      <c r="G58">
        <v>4.5999999999999999E-2</v>
      </c>
      <c r="H58">
        <v>5.2999999999999999E-2</v>
      </c>
      <c r="I58">
        <v>0.05</v>
      </c>
      <c r="J58">
        <v>1.0999999999999999E-2</v>
      </c>
      <c r="K58">
        <v>2E-3</v>
      </c>
      <c r="L58">
        <v>0</v>
      </c>
      <c r="M58">
        <v>0</v>
      </c>
      <c r="N58">
        <v>0</v>
      </c>
      <c r="O58">
        <v>10.1305003166198</v>
      </c>
      <c r="P58" t="str">
        <f t="shared" si="0"/>
        <v>finloop</v>
      </c>
    </row>
    <row r="59" spans="1:16">
      <c r="A59" t="s">
        <v>90</v>
      </c>
      <c r="B59" t="s">
        <v>78</v>
      </c>
      <c r="C59" t="s">
        <v>81</v>
      </c>
      <c r="D59" t="s">
        <v>82</v>
      </c>
      <c r="E59">
        <v>225</v>
      </c>
      <c r="F59">
        <v>225</v>
      </c>
      <c r="G59">
        <v>1</v>
      </c>
      <c r="H59">
        <v>1</v>
      </c>
      <c r="I59">
        <v>1</v>
      </c>
      <c r="J59">
        <v>0.995</v>
      </c>
      <c r="K59">
        <v>0.91900000000000004</v>
      </c>
      <c r="L59">
        <v>1</v>
      </c>
      <c r="M59">
        <v>1</v>
      </c>
      <c r="N59">
        <v>1</v>
      </c>
      <c r="O59">
        <v>7.9134721755981401</v>
      </c>
      <c r="P59" t="str">
        <f t="shared" si="0"/>
        <v>ft21SGD</v>
      </c>
    </row>
    <row r="60" spans="1:16">
      <c r="A60" t="s">
        <v>90</v>
      </c>
      <c r="B60" t="s">
        <v>78</v>
      </c>
      <c r="C60" t="s">
        <v>109</v>
      </c>
      <c r="D60" t="s">
        <v>82</v>
      </c>
      <c r="E60">
        <v>225</v>
      </c>
      <c r="F60">
        <v>225</v>
      </c>
      <c r="G60">
        <v>0.99199999999999999</v>
      </c>
      <c r="H60">
        <v>0.97799999999999998</v>
      </c>
      <c r="I60">
        <v>0.98499999999999999</v>
      </c>
      <c r="J60">
        <v>0.99399999999999999</v>
      </c>
      <c r="K60">
        <v>0.84799999999999998</v>
      </c>
      <c r="L60">
        <v>0.99199999999999999</v>
      </c>
      <c r="M60">
        <v>0.97799999999999998</v>
      </c>
      <c r="N60">
        <v>0.98499999999999999</v>
      </c>
      <c r="O60">
        <v>7.5709733963012598</v>
      </c>
      <c r="P60" t="str">
        <f t="shared" si="0"/>
        <v>ft27_AdamW_finloop.pt</v>
      </c>
    </row>
    <row r="61" spans="1:16">
      <c r="A61" t="s">
        <v>90</v>
      </c>
      <c r="B61" t="s">
        <v>78</v>
      </c>
      <c r="C61" t="s">
        <v>110</v>
      </c>
      <c r="D61" t="s">
        <v>82</v>
      </c>
      <c r="E61">
        <v>225</v>
      </c>
      <c r="F61">
        <v>225</v>
      </c>
      <c r="G61">
        <v>1</v>
      </c>
      <c r="H61">
        <v>1</v>
      </c>
      <c r="I61">
        <v>1</v>
      </c>
      <c r="J61">
        <v>0.995</v>
      </c>
      <c r="K61">
        <v>0.91900000000000004</v>
      </c>
      <c r="L61">
        <v>1</v>
      </c>
      <c r="M61">
        <v>1</v>
      </c>
      <c r="N61">
        <v>1</v>
      </c>
      <c r="O61">
        <v>8.2044506072997994</v>
      </c>
      <c r="P61" t="str">
        <f t="shared" si="0"/>
        <v>ft21v8_SGD</v>
      </c>
    </row>
    <row r="62" spans="1:16">
      <c r="A62" t="s">
        <v>90</v>
      </c>
      <c r="B62" t="s">
        <v>78</v>
      </c>
      <c r="C62" t="s">
        <v>111</v>
      </c>
      <c r="D62" t="s">
        <v>82</v>
      </c>
      <c r="E62">
        <v>225</v>
      </c>
      <c r="F62">
        <v>225</v>
      </c>
      <c r="G62">
        <v>0.97299999999999998</v>
      </c>
      <c r="H62">
        <v>0.95899999999999996</v>
      </c>
      <c r="I62">
        <v>0.96599999999999997</v>
      </c>
      <c r="J62">
        <v>0.98799999999999999</v>
      </c>
      <c r="K62">
        <v>0.72599999999999998</v>
      </c>
      <c r="L62">
        <v>0.97299999999999998</v>
      </c>
      <c r="M62">
        <v>0.95899999999999996</v>
      </c>
      <c r="N62">
        <v>0.96599999999999997</v>
      </c>
      <c r="O62">
        <v>7.7651171684265101</v>
      </c>
      <c r="P62" t="str">
        <f t="shared" si="0"/>
        <v>ft27_SGD_finloop.pt</v>
      </c>
    </row>
    <row r="63" spans="1:16">
      <c r="A63" t="s">
        <v>90</v>
      </c>
      <c r="B63" t="s">
        <v>78</v>
      </c>
      <c r="C63" t="s">
        <v>112</v>
      </c>
      <c r="D63" t="s">
        <v>82</v>
      </c>
      <c r="E63">
        <v>225</v>
      </c>
      <c r="F63">
        <v>225</v>
      </c>
      <c r="G63">
        <v>1</v>
      </c>
      <c r="H63">
        <v>1</v>
      </c>
      <c r="I63">
        <v>1</v>
      </c>
      <c r="J63">
        <v>0.995</v>
      </c>
      <c r="K63">
        <v>0.92</v>
      </c>
      <c r="L63">
        <v>1</v>
      </c>
      <c r="M63">
        <v>1</v>
      </c>
      <c r="N63">
        <v>1</v>
      </c>
      <c r="O63">
        <v>7.9282646179199201</v>
      </c>
      <c r="P63" t="str">
        <f t="shared" si="0"/>
        <v>ft20_SGD</v>
      </c>
    </row>
    <row r="64" spans="1:16" s="7" customFormat="1">
      <c r="A64" s="7" t="s">
        <v>90</v>
      </c>
      <c r="B64" s="7" t="s">
        <v>78</v>
      </c>
      <c r="C64" s="7" t="s">
        <v>113</v>
      </c>
      <c r="D64" s="7" t="s">
        <v>82</v>
      </c>
      <c r="E64" s="7">
        <v>225</v>
      </c>
      <c r="F64" s="7">
        <v>225</v>
      </c>
      <c r="G64" s="7">
        <v>1</v>
      </c>
      <c r="H64" s="7">
        <v>1</v>
      </c>
      <c r="I64" s="7">
        <v>1</v>
      </c>
      <c r="J64" s="7">
        <v>0.995</v>
      </c>
      <c r="K64" s="7">
        <v>0.91900000000000004</v>
      </c>
      <c r="L64" s="7">
        <v>1</v>
      </c>
      <c r="M64" s="7">
        <v>1</v>
      </c>
      <c r="N64" s="7">
        <v>1</v>
      </c>
      <c r="O64" s="7">
        <v>8.2501718997955305</v>
      </c>
      <c r="P64" t="str">
        <f t="shared" si="0"/>
        <v>ft21_SGD</v>
      </c>
    </row>
    <row r="65" spans="1:16">
      <c r="A65" t="s">
        <v>90</v>
      </c>
      <c r="B65" t="s">
        <v>88</v>
      </c>
      <c r="C65" t="s">
        <v>79</v>
      </c>
      <c r="D65" t="s">
        <v>80</v>
      </c>
      <c r="E65">
        <v>114</v>
      </c>
      <c r="F65">
        <v>114</v>
      </c>
      <c r="G65">
        <v>0.2</v>
      </c>
      <c r="H65">
        <v>3.5000000000000003E-2</v>
      </c>
      <c r="I65">
        <v>0.06</v>
      </c>
      <c r="J65">
        <v>3.6999999999999998E-2</v>
      </c>
      <c r="K65">
        <v>4.0000000000000001E-3</v>
      </c>
      <c r="L65">
        <v>0</v>
      </c>
      <c r="M65">
        <v>0</v>
      </c>
      <c r="N65">
        <v>0</v>
      </c>
      <c r="O65">
        <v>7.9957349300384504</v>
      </c>
      <c r="P65" t="str">
        <f t="shared" si="0"/>
        <v>finloop</v>
      </c>
    </row>
    <row r="66" spans="1:16">
      <c r="A66" t="s">
        <v>90</v>
      </c>
      <c r="B66" t="s">
        <v>88</v>
      </c>
      <c r="C66" t="s">
        <v>81</v>
      </c>
      <c r="D66" t="s">
        <v>82</v>
      </c>
      <c r="E66">
        <v>114</v>
      </c>
      <c r="F66">
        <v>114</v>
      </c>
      <c r="G66">
        <v>0.999</v>
      </c>
      <c r="H66">
        <v>0.99099999999999999</v>
      </c>
      <c r="I66">
        <v>0.995</v>
      </c>
      <c r="J66">
        <v>0.995</v>
      </c>
      <c r="K66">
        <v>0.73099999999999998</v>
      </c>
      <c r="L66">
        <v>0.999</v>
      </c>
      <c r="M66">
        <v>0.99099999999999999</v>
      </c>
      <c r="N66">
        <v>0.995</v>
      </c>
      <c r="O66">
        <v>6.2865877151489196</v>
      </c>
      <c r="P66" t="str">
        <f t="shared" ref="P66:P71" si="1">C66</f>
        <v>ft21SGD</v>
      </c>
    </row>
    <row r="67" spans="1:16">
      <c r="A67" t="s">
        <v>90</v>
      </c>
      <c r="B67" t="s">
        <v>88</v>
      </c>
      <c r="C67" t="s">
        <v>109</v>
      </c>
      <c r="D67" t="s">
        <v>82</v>
      </c>
      <c r="E67">
        <v>114</v>
      </c>
      <c r="F67">
        <v>114</v>
      </c>
      <c r="G67">
        <v>0.99099999999999999</v>
      </c>
      <c r="H67">
        <v>0.98199999999999998</v>
      </c>
      <c r="I67">
        <v>0.98699999999999999</v>
      </c>
      <c r="J67">
        <v>0.99299999999999999</v>
      </c>
      <c r="K67">
        <v>0.64100000000000001</v>
      </c>
      <c r="L67">
        <v>0.99099999999999999</v>
      </c>
      <c r="M67">
        <v>0.98199999999999998</v>
      </c>
      <c r="N67">
        <v>0.98699999999999999</v>
      </c>
      <c r="O67">
        <v>5.78423571586608</v>
      </c>
      <c r="P67" t="str">
        <f t="shared" si="1"/>
        <v>ft27_AdamW_finloop.pt</v>
      </c>
    </row>
    <row r="68" spans="1:16">
      <c r="A68" t="s">
        <v>90</v>
      </c>
      <c r="B68" t="s">
        <v>88</v>
      </c>
      <c r="C68" t="s">
        <v>110</v>
      </c>
      <c r="D68" t="s">
        <v>82</v>
      </c>
      <c r="E68">
        <v>114</v>
      </c>
      <c r="F68">
        <v>114</v>
      </c>
      <c r="G68">
        <v>0.999</v>
      </c>
      <c r="H68">
        <v>0.99099999999999999</v>
      </c>
      <c r="I68">
        <v>0.995</v>
      </c>
      <c r="J68">
        <v>0.995</v>
      </c>
      <c r="K68">
        <v>0.73099999999999998</v>
      </c>
      <c r="L68">
        <v>0.999</v>
      </c>
      <c r="M68">
        <v>0.99099999999999999</v>
      </c>
      <c r="N68">
        <v>0.995</v>
      </c>
      <c r="O68">
        <v>6.1228151321411097</v>
      </c>
      <c r="P68" t="str">
        <f t="shared" si="1"/>
        <v>ft21v8_SGD</v>
      </c>
    </row>
    <row r="69" spans="1:16">
      <c r="A69" t="s">
        <v>90</v>
      </c>
      <c r="B69" t="s">
        <v>88</v>
      </c>
      <c r="C69" t="s">
        <v>111</v>
      </c>
      <c r="D69" t="s">
        <v>82</v>
      </c>
      <c r="E69">
        <v>114</v>
      </c>
      <c r="F69">
        <v>114</v>
      </c>
      <c r="G69">
        <v>0.96399999999999997</v>
      </c>
      <c r="H69">
        <v>0.94699999999999995</v>
      </c>
      <c r="I69">
        <v>0.95499999999999996</v>
      </c>
      <c r="J69">
        <v>0.97799999999999998</v>
      </c>
      <c r="K69">
        <v>0.628</v>
      </c>
      <c r="L69">
        <v>0.94599999999999995</v>
      </c>
      <c r="M69">
        <v>0.93</v>
      </c>
      <c r="N69">
        <v>0.93799999999999994</v>
      </c>
      <c r="O69">
        <v>6.0903944969177202</v>
      </c>
      <c r="P69" t="str">
        <f t="shared" si="1"/>
        <v>ft27_SGD_finloop.pt</v>
      </c>
    </row>
    <row r="70" spans="1:16">
      <c r="A70" t="s">
        <v>90</v>
      </c>
      <c r="B70" t="s">
        <v>88</v>
      </c>
      <c r="C70" t="s">
        <v>112</v>
      </c>
      <c r="D70" t="s">
        <v>82</v>
      </c>
      <c r="E70">
        <v>114</v>
      </c>
      <c r="F70">
        <v>114</v>
      </c>
      <c r="G70">
        <v>0.999</v>
      </c>
      <c r="H70">
        <v>0.99099999999999999</v>
      </c>
      <c r="I70">
        <v>0.995</v>
      </c>
      <c r="J70">
        <v>0.995</v>
      </c>
      <c r="K70">
        <v>0.752</v>
      </c>
      <c r="L70">
        <v>0.999</v>
      </c>
      <c r="M70">
        <v>0.99099999999999999</v>
      </c>
      <c r="N70">
        <v>0.995</v>
      </c>
      <c r="O70">
        <v>6.0954995155334402</v>
      </c>
      <c r="P70" t="str">
        <f t="shared" si="1"/>
        <v>ft20_SGD</v>
      </c>
    </row>
    <row r="71" spans="1:16">
      <c r="A71" t="s">
        <v>90</v>
      </c>
      <c r="B71" t="s">
        <v>88</v>
      </c>
      <c r="C71" t="s">
        <v>113</v>
      </c>
      <c r="D71" t="s">
        <v>82</v>
      </c>
      <c r="E71">
        <v>114</v>
      </c>
      <c r="F71">
        <v>114</v>
      </c>
      <c r="G71">
        <v>0.999</v>
      </c>
      <c r="H71">
        <v>0.99099999999999999</v>
      </c>
      <c r="I71">
        <v>0.995</v>
      </c>
      <c r="J71">
        <v>0.995</v>
      </c>
      <c r="K71">
        <v>0.73099999999999998</v>
      </c>
      <c r="L71">
        <v>0.999</v>
      </c>
      <c r="M71">
        <v>0.99099999999999999</v>
      </c>
      <c r="N71">
        <v>0.995</v>
      </c>
      <c r="O71">
        <v>6.2633299827575604</v>
      </c>
      <c r="P71" t="str">
        <f t="shared" si="1"/>
        <v>ft21_SGD</v>
      </c>
    </row>
  </sheetData>
  <autoFilter ref="A1:O71"/>
  <conditionalFormatting sqref="N2:N8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9:N15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6:N22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23:N29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0:N36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7:N43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44:N50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51:N57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58:N64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65:N71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9:K15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6:K22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3:K2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0:K3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7:K4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44:K50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51:K57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58:K6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65:K7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T221"/>
  <sheetViews>
    <sheetView workbookViewId="0">
      <selection activeCell="Q11" sqref="Q11:R11"/>
    </sheetView>
  </sheetViews>
  <sheetFormatPr defaultRowHeight="13.8"/>
  <cols>
    <col min="1" max="1" width="9.5" bestFit="1" customWidth="1"/>
    <col min="2" max="2" width="6.09765625" bestFit="1" customWidth="1"/>
    <col min="3" max="3" width="19.59765625" bestFit="1" customWidth="1"/>
    <col min="4" max="4" width="9.796875" bestFit="1" customWidth="1"/>
    <col min="5" max="5" width="8.59765625" bestFit="1" customWidth="1"/>
    <col min="6" max="6" width="10.5" bestFit="1" customWidth="1"/>
    <col min="7" max="7" width="7.69921875" bestFit="1" customWidth="1"/>
    <col min="8" max="8" width="7.796875" bestFit="1" customWidth="1"/>
    <col min="9" max="10" width="8.59765625" bestFit="1" customWidth="1"/>
    <col min="11" max="11" width="11.19921875" bestFit="1" customWidth="1"/>
    <col min="12" max="12" width="9" bestFit="1" customWidth="1"/>
    <col min="13" max="13" width="9.09765625" bestFit="1" customWidth="1"/>
    <col min="14" max="14" width="9.8984375" bestFit="1" customWidth="1"/>
    <col min="15" max="15" width="11.8984375" bestFit="1" customWidth="1"/>
    <col min="17" max="17" width="10.5" bestFit="1" customWidth="1"/>
    <col min="18" max="18" width="4.796875" bestFit="1" customWidth="1"/>
    <col min="19" max="20" width="19.59765625" bestFit="1" customWidth="1"/>
  </cols>
  <sheetData>
    <row r="1" spans="1:20">
      <c r="A1" t="s">
        <v>66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1</v>
      </c>
      <c r="J1" t="s">
        <v>2</v>
      </c>
      <c r="K1" t="s">
        <v>3</v>
      </c>
      <c r="L1" t="s">
        <v>74</v>
      </c>
      <c r="M1" t="s">
        <v>75</v>
      </c>
      <c r="N1" t="s">
        <v>4</v>
      </c>
      <c r="O1" t="s">
        <v>76</v>
      </c>
      <c r="P1" t="str">
        <f>C1</f>
        <v>model</v>
      </c>
      <c r="Q1" s="8"/>
      <c r="R1" s="8"/>
      <c r="S1" s="9" t="s">
        <v>3</v>
      </c>
      <c r="T1" s="9" t="s">
        <v>4</v>
      </c>
    </row>
    <row r="2" spans="1:20">
      <c r="A2" s="11" t="s">
        <v>77</v>
      </c>
      <c r="B2" t="s">
        <v>78</v>
      </c>
      <c r="C2" t="s">
        <v>79</v>
      </c>
      <c r="D2" t="s">
        <v>80</v>
      </c>
      <c r="E2">
        <v>54</v>
      </c>
      <c r="F2">
        <v>227</v>
      </c>
      <c r="G2" s="5">
        <v>0.54700000000000004</v>
      </c>
      <c r="H2" s="5">
        <v>0.41399999999999998</v>
      </c>
      <c r="I2" s="5">
        <v>0.47099999999999997</v>
      </c>
      <c r="J2" s="5">
        <v>0.379</v>
      </c>
      <c r="K2" s="5">
        <v>0.20200000000000001</v>
      </c>
      <c r="L2" s="5">
        <v>0.20200000000000001</v>
      </c>
      <c r="M2" s="5">
        <v>0.159</v>
      </c>
      <c r="N2" s="5">
        <v>0.17799999999999999</v>
      </c>
      <c r="O2" s="5">
        <v>8.7831494808197004</v>
      </c>
      <c r="P2" t="str">
        <f t="shared" ref="P2:P65" si="0">C2</f>
        <v>finloop</v>
      </c>
      <c r="Q2" s="15" t="s">
        <v>77</v>
      </c>
      <c r="R2" s="15" t="s">
        <v>78</v>
      </c>
      <c r="S2" s="8" t="str">
        <f>VLOOKUP(MAX(K2:K23),K2:P23,6,FALSE)</f>
        <v>finloop</v>
      </c>
      <c r="T2" s="8" t="str">
        <f>VLOOKUP(MAX($N2:$N23),$N2:$P23,3,FALSE)</f>
        <v>ft32_SGD_finloop.pt</v>
      </c>
    </row>
    <row r="3" spans="1:20">
      <c r="A3" s="11" t="s">
        <v>77</v>
      </c>
      <c r="B3" t="s">
        <v>78</v>
      </c>
      <c r="C3" t="s">
        <v>81</v>
      </c>
      <c r="D3" t="s">
        <v>82</v>
      </c>
      <c r="E3">
        <v>54</v>
      </c>
      <c r="F3">
        <v>227</v>
      </c>
      <c r="G3" s="5">
        <v>0.27700000000000002</v>
      </c>
      <c r="H3" s="5">
        <v>0.13900000000000001</v>
      </c>
      <c r="I3" s="5">
        <v>0.185</v>
      </c>
      <c r="J3" s="5">
        <v>0.121</v>
      </c>
      <c r="K3" s="5">
        <v>4.9000000000000002E-2</v>
      </c>
      <c r="L3" s="5">
        <v>0.216</v>
      </c>
      <c r="M3" s="5">
        <v>0.11</v>
      </c>
      <c r="N3" s="5">
        <v>0.14599999999999999</v>
      </c>
      <c r="O3" s="5">
        <v>4.7594482898712096</v>
      </c>
      <c r="P3" t="str">
        <f t="shared" si="0"/>
        <v>ft21SGD</v>
      </c>
      <c r="Q3" s="15" t="s">
        <v>86</v>
      </c>
      <c r="R3" s="15" t="s">
        <v>87</v>
      </c>
      <c r="S3" s="8" t="str">
        <f>VLOOKUP(MAX(K24:K45),K24:P45,6,FALSE)</f>
        <v>finloop</v>
      </c>
      <c r="T3" s="8" t="str">
        <f>VLOOKUP(MAX($N24:$N45),$N24:$P45,3,FALSE)</f>
        <v>finloop</v>
      </c>
    </row>
    <row r="4" spans="1:20">
      <c r="A4" s="11" t="s">
        <v>77</v>
      </c>
      <c r="B4" t="s">
        <v>78</v>
      </c>
      <c r="C4" t="s">
        <v>114</v>
      </c>
      <c r="D4" t="s">
        <v>82</v>
      </c>
      <c r="E4">
        <v>54</v>
      </c>
      <c r="F4">
        <v>227</v>
      </c>
      <c r="G4" s="5">
        <v>0.309</v>
      </c>
      <c r="H4" s="5">
        <v>9.7000000000000003E-2</v>
      </c>
      <c r="I4" s="5">
        <v>0.14799999999999999</v>
      </c>
      <c r="J4" s="5">
        <v>0.11</v>
      </c>
      <c r="K4" s="5">
        <v>4.2000000000000003E-2</v>
      </c>
      <c r="L4" s="5">
        <v>0.128</v>
      </c>
      <c r="M4" s="5">
        <v>0.123</v>
      </c>
      <c r="N4" s="5">
        <v>0.126</v>
      </c>
      <c r="O4" s="5">
        <v>4.8270208835601798</v>
      </c>
      <c r="P4" t="str">
        <f t="shared" si="0"/>
        <v>ft29_AdamW</v>
      </c>
      <c r="Q4" s="9" t="s">
        <v>86</v>
      </c>
      <c r="R4" s="9" t="s">
        <v>78</v>
      </c>
      <c r="S4" s="8" t="str">
        <f>VLOOKUP(MAX(K46:K67),K46:P67,6,FALSE)</f>
        <v>finloop</v>
      </c>
      <c r="T4" s="8" t="str">
        <f>VLOOKUP(MAX($N46:$N67),$N46:$P67,3,FALSE)</f>
        <v>finloop</v>
      </c>
    </row>
    <row r="5" spans="1:20">
      <c r="A5" s="11" t="s">
        <v>77</v>
      </c>
      <c r="B5" t="s">
        <v>78</v>
      </c>
      <c r="C5" t="s">
        <v>115</v>
      </c>
      <c r="D5" t="s">
        <v>82</v>
      </c>
      <c r="E5">
        <v>54</v>
      </c>
      <c r="F5">
        <v>227</v>
      </c>
      <c r="G5" s="5">
        <v>0.372</v>
      </c>
      <c r="H5" s="5">
        <v>0.216</v>
      </c>
      <c r="I5" s="5">
        <v>0.27300000000000002</v>
      </c>
      <c r="J5" s="5">
        <v>0.17899999999999999</v>
      </c>
      <c r="K5" s="5">
        <v>5.8000000000000003E-2</v>
      </c>
      <c r="L5" s="5">
        <v>0.35499999999999998</v>
      </c>
      <c r="M5" s="5">
        <v>0.20699999999999999</v>
      </c>
      <c r="N5" s="5">
        <v>0.26200000000000001</v>
      </c>
      <c r="O5" s="5">
        <v>4.5655267238616899</v>
      </c>
      <c r="P5" t="str">
        <f t="shared" si="0"/>
        <v>ft29_AdamW_finloop.pt</v>
      </c>
      <c r="Q5" s="9" t="s">
        <v>86</v>
      </c>
      <c r="R5" s="9" t="s">
        <v>88</v>
      </c>
      <c r="S5" s="8" t="str">
        <f>VLOOKUP(MAX(K68:K89),K68:P89,6,FALSE)</f>
        <v>ft33_AdamW_finloop.pt</v>
      </c>
      <c r="T5" s="8" t="str">
        <f>VLOOKUP(MAX($N68:$N89),$N68:$P89,3,FALSE)</f>
        <v>ft33_AdamW_finloop.pt</v>
      </c>
    </row>
    <row r="6" spans="1:20">
      <c r="A6" s="11" t="s">
        <v>77</v>
      </c>
      <c r="B6" t="s">
        <v>78</v>
      </c>
      <c r="C6" t="s">
        <v>116</v>
      </c>
      <c r="D6" t="s">
        <v>82</v>
      </c>
      <c r="E6">
        <v>54</v>
      </c>
      <c r="F6">
        <v>227</v>
      </c>
      <c r="G6" s="5">
        <v>0.28999999999999998</v>
      </c>
      <c r="H6" s="5">
        <v>0.14499999999999999</v>
      </c>
      <c r="I6" s="5">
        <v>0.19400000000000001</v>
      </c>
      <c r="J6" s="5">
        <v>0.13200000000000001</v>
      </c>
      <c r="K6" s="5">
        <v>0.06</v>
      </c>
      <c r="L6" s="5">
        <v>0.23499999999999999</v>
      </c>
      <c r="M6" s="5">
        <v>0.11899999999999999</v>
      </c>
      <c r="N6" s="5">
        <v>0.158</v>
      </c>
      <c r="O6" s="5">
        <v>5.1063086986541704</v>
      </c>
      <c r="P6" t="str">
        <f t="shared" si="0"/>
        <v>ft29_SGD</v>
      </c>
      <c r="Q6" s="15" t="s">
        <v>89</v>
      </c>
      <c r="R6" s="15" t="s">
        <v>87</v>
      </c>
      <c r="S6" s="8" t="str">
        <f>VLOOKUP(MAX(K90:K111),K90:P111,6,FALSE)</f>
        <v>ft32_SGD</v>
      </c>
      <c r="T6" s="8" t="str">
        <f>VLOOKUP(MAX($N90:$N111),$N90:$P111,3,FALSE)</f>
        <v>ft33_SGD_finloop.pt</v>
      </c>
    </row>
    <row r="7" spans="1:20">
      <c r="A7" s="11" t="s">
        <v>77</v>
      </c>
      <c r="B7" t="s">
        <v>78</v>
      </c>
      <c r="C7" t="s">
        <v>117</v>
      </c>
      <c r="D7" t="s">
        <v>82</v>
      </c>
      <c r="E7">
        <v>54</v>
      </c>
      <c r="F7">
        <v>227</v>
      </c>
      <c r="G7" s="5">
        <v>0.29699999999999999</v>
      </c>
      <c r="H7" s="5">
        <v>0.26400000000000001</v>
      </c>
      <c r="I7" s="5">
        <v>0.28000000000000003</v>
      </c>
      <c r="J7" s="5">
        <v>0.191</v>
      </c>
      <c r="K7" s="5">
        <v>8.1000000000000003E-2</v>
      </c>
      <c r="L7" s="5">
        <v>0.41599999999999998</v>
      </c>
      <c r="M7" s="5">
        <v>0.23300000000000001</v>
      </c>
      <c r="N7" s="5">
        <v>0.29899999999999999</v>
      </c>
      <c r="O7" s="5">
        <v>4.8743512630462602</v>
      </c>
      <c r="P7" t="str">
        <f t="shared" si="0"/>
        <v>ft29_SGD_finloop.pt</v>
      </c>
      <c r="Q7" s="9" t="s">
        <v>89</v>
      </c>
      <c r="R7" s="9" t="s">
        <v>78</v>
      </c>
      <c r="S7" s="8" t="str">
        <f>VLOOKUP(MAX(K112:K133),K112:P133,6,FALSE)</f>
        <v>ft21SGD</v>
      </c>
      <c r="T7" s="8" t="str">
        <f>VLOOKUP(MAX($N112:$N133),$N112:$P133,3,FALSE)</f>
        <v>ft33_SGD_finloop.pt</v>
      </c>
    </row>
    <row r="8" spans="1:20">
      <c r="A8" s="11" t="s">
        <v>77</v>
      </c>
      <c r="B8" t="s">
        <v>78</v>
      </c>
      <c r="C8" t="s">
        <v>118</v>
      </c>
      <c r="D8" t="s">
        <v>82</v>
      </c>
      <c r="E8">
        <v>54</v>
      </c>
      <c r="F8">
        <v>227</v>
      </c>
      <c r="G8" s="5">
        <v>0.27200000000000002</v>
      </c>
      <c r="H8" s="5">
        <v>0.15</v>
      </c>
      <c r="I8" s="5">
        <v>0.193</v>
      </c>
      <c r="J8" s="5">
        <v>0.10299999999999999</v>
      </c>
      <c r="K8" s="5">
        <v>4.8000000000000001E-2</v>
      </c>
      <c r="L8" s="5">
        <v>0.15</v>
      </c>
      <c r="M8" s="5">
        <v>9.2999999999999999E-2</v>
      </c>
      <c r="N8" s="5">
        <v>0.114</v>
      </c>
      <c r="O8" s="5">
        <v>5.2249393463134703</v>
      </c>
      <c r="P8" t="str">
        <f t="shared" si="0"/>
        <v>ft30_AdamW</v>
      </c>
      <c r="Q8" s="9" t="s">
        <v>89</v>
      </c>
      <c r="R8" s="9" t="s">
        <v>88</v>
      </c>
      <c r="S8" s="8" t="str">
        <f>VLOOKUP(MAX(K134:K155),K134:P155,6,FALSE)</f>
        <v>ft21SGD</v>
      </c>
      <c r="T8" s="8" t="str">
        <f>VLOOKUP(MAX($N134:$N155),$N134:$P155,3,FALSE)</f>
        <v>ft32_AdamW</v>
      </c>
    </row>
    <row r="9" spans="1:20">
      <c r="A9" s="11" t="s">
        <v>77</v>
      </c>
      <c r="B9" t="s">
        <v>78</v>
      </c>
      <c r="C9" t="s">
        <v>119</v>
      </c>
      <c r="D9" t="s">
        <v>82</v>
      </c>
      <c r="E9">
        <v>54</v>
      </c>
      <c r="F9">
        <v>227</v>
      </c>
      <c r="G9" s="5">
        <v>0.32100000000000001</v>
      </c>
      <c r="H9" s="5">
        <v>0.30399999999999999</v>
      </c>
      <c r="I9" s="5">
        <v>0.312</v>
      </c>
      <c r="J9" s="5">
        <v>0.23699999999999999</v>
      </c>
      <c r="K9" s="5">
        <v>8.5000000000000006E-2</v>
      </c>
      <c r="L9" s="5">
        <v>0.45100000000000001</v>
      </c>
      <c r="M9" s="5">
        <v>0.22900000000000001</v>
      </c>
      <c r="N9" s="5">
        <v>0.30399999999999999</v>
      </c>
      <c r="O9" s="5">
        <v>4.9019303321838299</v>
      </c>
      <c r="P9" t="str">
        <f t="shared" si="0"/>
        <v>ft30_AdamW_finloop.pt</v>
      </c>
      <c r="Q9" s="9" t="s">
        <v>90</v>
      </c>
      <c r="R9" s="9" t="s">
        <v>87</v>
      </c>
      <c r="S9" s="8" t="str">
        <f>VLOOKUP(MAX(K156:K177),K156:P177,6,FALSE)</f>
        <v>ft29_AdamW</v>
      </c>
      <c r="T9" s="8" t="str">
        <f>VLOOKUP(MAX($N156:$N177),$N156:$P177,3,FALSE)</f>
        <v>ft29_AdamW</v>
      </c>
    </row>
    <row r="10" spans="1:20">
      <c r="A10" s="11" t="s">
        <v>77</v>
      </c>
      <c r="B10" t="s">
        <v>78</v>
      </c>
      <c r="C10" t="s">
        <v>120</v>
      </c>
      <c r="D10" t="s">
        <v>82</v>
      </c>
      <c r="E10">
        <v>54</v>
      </c>
      <c r="F10">
        <v>227</v>
      </c>
      <c r="G10" s="5">
        <v>0.28899999999999998</v>
      </c>
      <c r="H10" s="5">
        <v>0.17199999999999999</v>
      </c>
      <c r="I10" s="5">
        <v>0.215</v>
      </c>
      <c r="J10" s="5">
        <v>0.123</v>
      </c>
      <c r="K10" s="5">
        <v>5.5E-2</v>
      </c>
      <c r="L10" s="5">
        <v>0.26</v>
      </c>
      <c r="M10" s="5">
        <v>0.159</v>
      </c>
      <c r="N10" s="5">
        <v>0.19700000000000001</v>
      </c>
      <c r="O10" s="5">
        <v>5.5155944824218697</v>
      </c>
      <c r="P10" t="str">
        <f t="shared" si="0"/>
        <v>ft30_SGD</v>
      </c>
      <c r="Q10" s="9" t="s">
        <v>90</v>
      </c>
      <c r="R10" s="9" t="s">
        <v>78</v>
      </c>
      <c r="S10" s="8" t="str">
        <f>VLOOKUP(MAX(K178:K199),K178:P199,6,FALSE)</f>
        <v>ft33_AdamW</v>
      </c>
      <c r="T10" s="8" t="str">
        <f>VLOOKUP(MAX($N178:$N199),$N178:$P199,3,FALSE)</f>
        <v>ft21SGD</v>
      </c>
    </row>
    <row r="11" spans="1:20">
      <c r="A11" s="11" t="s">
        <v>77</v>
      </c>
      <c r="B11" t="s">
        <v>78</v>
      </c>
      <c r="C11" t="s">
        <v>121</v>
      </c>
      <c r="D11" t="s">
        <v>82</v>
      </c>
      <c r="E11">
        <v>54</v>
      </c>
      <c r="F11">
        <v>227</v>
      </c>
      <c r="G11" s="5">
        <v>0.40699999999999997</v>
      </c>
      <c r="H11" s="5">
        <v>0.26900000000000002</v>
      </c>
      <c r="I11" s="5">
        <v>0.32400000000000001</v>
      </c>
      <c r="J11" s="5">
        <v>0.218</v>
      </c>
      <c r="K11" s="5">
        <v>8.7999999999999995E-2</v>
      </c>
      <c r="L11" s="5">
        <v>0.41299999999999998</v>
      </c>
      <c r="M11" s="5">
        <v>0.26100000000000001</v>
      </c>
      <c r="N11" s="5">
        <v>0.32</v>
      </c>
      <c r="O11" s="5">
        <v>5.27770972251892</v>
      </c>
      <c r="P11" t="str">
        <f t="shared" si="0"/>
        <v>ft30_SGD_finloop.pt</v>
      </c>
      <c r="Q11" s="15" t="s">
        <v>90</v>
      </c>
      <c r="R11" s="15" t="s">
        <v>88</v>
      </c>
      <c r="S11" s="8" t="str">
        <f>VLOOKUP(MAX(K200:K221),K200:P221,6,FALSE)</f>
        <v>ft29_AdamW</v>
      </c>
      <c r="T11" s="8" t="str">
        <f>VLOOKUP(MAX($N200:$N221),$N200:$P221,3,FALSE)</f>
        <v>ft21SGD</v>
      </c>
    </row>
    <row r="12" spans="1:20">
      <c r="A12" s="11" t="s">
        <v>77</v>
      </c>
      <c r="B12" t="s">
        <v>78</v>
      </c>
      <c r="C12" t="s">
        <v>122</v>
      </c>
      <c r="D12" t="s">
        <v>82</v>
      </c>
      <c r="E12">
        <v>54</v>
      </c>
      <c r="F12">
        <v>227</v>
      </c>
      <c r="G12" s="5">
        <v>0.30499999999999999</v>
      </c>
      <c r="H12" s="5">
        <v>0.14099999999999999</v>
      </c>
      <c r="I12" s="5">
        <v>0.193</v>
      </c>
      <c r="J12" s="5">
        <v>0.121</v>
      </c>
      <c r="K12" s="5">
        <v>5.1999999999999998E-2</v>
      </c>
      <c r="L12" s="5">
        <v>0.224</v>
      </c>
      <c r="M12" s="5">
        <v>0.11</v>
      </c>
      <c r="N12" s="5">
        <v>0.14799999999999999</v>
      </c>
      <c r="O12" s="5">
        <v>5.0120184421539298</v>
      </c>
      <c r="P12" t="str">
        <f t="shared" si="0"/>
        <v>ft31_AdamW</v>
      </c>
    </row>
    <row r="13" spans="1:20">
      <c r="A13" s="11" t="s">
        <v>77</v>
      </c>
      <c r="B13" t="s">
        <v>78</v>
      </c>
      <c r="C13" t="s">
        <v>123</v>
      </c>
      <c r="D13" t="s">
        <v>82</v>
      </c>
      <c r="E13">
        <v>54</v>
      </c>
      <c r="F13">
        <v>227</v>
      </c>
      <c r="G13" s="5">
        <v>0.32800000000000001</v>
      </c>
      <c r="H13" s="5">
        <v>0.27300000000000002</v>
      </c>
      <c r="I13" s="5">
        <v>0.29799999999999999</v>
      </c>
      <c r="J13" s="5">
        <v>0.22700000000000001</v>
      </c>
      <c r="K13" s="5">
        <v>8.2000000000000003E-2</v>
      </c>
      <c r="L13" s="5">
        <v>0.38500000000000001</v>
      </c>
      <c r="M13" s="5">
        <v>0.23300000000000001</v>
      </c>
      <c r="N13" s="5">
        <v>0.29099999999999998</v>
      </c>
      <c r="O13" s="5">
        <v>5.2201821804046604</v>
      </c>
      <c r="P13" t="str">
        <f t="shared" si="0"/>
        <v>ft31_AdamW_finloop.pt</v>
      </c>
    </row>
    <row r="14" spans="1:20">
      <c r="A14" s="11" t="s">
        <v>77</v>
      </c>
      <c r="B14" t="s">
        <v>78</v>
      </c>
      <c r="C14" t="s">
        <v>124</v>
      </c>
      <c r="D14" t="s">
        <v>82</v>
      </c>
      <c r="E14">
        <v>54</v>
      </c>
      <c r="F14">
        <v>227</v>
      </c>
      <c r="G14" s="5">
        <v>0.28899999999999998</v>
      </c>
      <c r="H14" s="5">
        <v>0.16500000000000001</v>
      </c>
      <c r="I14" s="5">
        <v>0.21</v>
      </c>
      <c r="J14" s="5">
        <v>0.123</v>
      </c>
      <c r="K14" s="5">
        <v>5.5E-2</v>
      </c>
      <c r="L14" s="5">
        <v>0.253</v>
      </c>
      <c r="M14" s="5">
        <v>0.15</v>
      </c>
      <c r="N14" s="5">
        <v>0.188</v>
      </c>
      <c r="O14" s="5">
        <v>5.2013835906982404</v>
      </c>
      <c r="P14" t="str">
        <f t="shared" si="0"/>
        <v>ft31_SGD</v>
      </c>
    </row>
    <row r="15" spans="1:20">
      <c r="A15" s="11" t="s">
        <v>77</v>
      </c>
      <c r="B15" t="s">
        <v>78</v>
      </c>
      <c r="C15" t="s">
        <v>125</v>
      </c>
      <c r="D15" t="s">
        <v>82</v>
      </c>
      <c r="E15">
        <v>54</v>
      </c>
      <c r="F15">
        <v>227</v>
      </c>
      <c r="G15" s="5">
        <v>0.38200000000000001</v>
      </c>
      <c r="H15" s="5">
        <v>0.27800000000000002</v>
      </c>
      <c r="I15" s="5">
        <v>0.32200000000000001</v>
      </c>
      <c r="J15" s="5">
        <v>0.22</v>
      </c>
      <c r="K15" s="5">
        <v>8.8999999999999996E-2</v>
      </c>
      <c r="L15" s="5">
        <v>0.39100000000000001</v>
      </c>
      <c r="M15" s="5">
        <v>0.251</v>
      </c>
      <c r="N15" s="5">
        <v>0.30599999999999999</v>
      </c>
      <c r="O15" s="5">
        <v>5.4008929729461599</v>
      </c>
      <c r="P15" t="str">
        <f t="shared" si="0"/>
        <v>ft31_SGD_finloop.pt</v>
      </c>
    </row>
    <row r="16" spans="1:20">
      <c r="A16" s="11" t="s">
        <v>77</v>
      </c>
      <c r="B16" t="s">
        <v>78</v>
      </c>
      <c r="C16" t="s">
        <v>126</v>
      </c>
      <c r="D16" t="s">
        <v>82</v>
      </c>
      <c r="E16">
        <v>54</v>
      </c>
      <c r="F16">
        <v>227</v>
      </c>
      <c r="G16" s="5">
        <v>0.155</v>
      </c>
      <c r="H16" s="5">
        <v>0.09</v>
      </c>
      <c r="I16" s="5">
        <v>0.114</v>
      </c>
      <c r="J16" s="5">
        <v>5.8000000000000003E-2</v>
      </c>
      <c r="K16" s="5">
        <v>2.8000000000000001E-2</v>
      </c>
      <c r="L16" s="5">
        <v>0.10299999999999999</v>
      </c>
      <c r="M16" s="5">
        <v>6.2E-2</v>
      </c>
      <c r="N16" s="5">
        <v>7.6999999999999999E-2</v>
      </c>
      <c r="O16" s="5">
        <v>5.2084190845489502</v>
      </c>
      <c r="P16" t="str">
        <f t="shared" si="0"/>
        <v>ft32_AdamW</v>
      </c>
    </row>
    <row r="17" spans="1:16">
      <c r="A17" s="11" t="s">
        <v>77</v>
      </c>
      <c r="B17" t="s">
        <v>78</v>
      </c>
      <c r="C17" t="s">
        <v>127</v>
      </c>
      <c r="D17" t="s">
        <v>82</v>
      </c>
      <c r="E17">
        <v>54</v>
      </c>
      <c r="F17">
        <v>227</v>
      </c>
      <c r="G17" s="5">
        <v>0.38500000000000001</v>
      </c>
      <c r="H17" s="5">
        <v>0.30399999999999999</v>
      </c>
      <c r="I17" s="5">
        <v>0.34</v>
      </c>
      <c r="J17" s="5">
        <v>0.248</v>
      </c>
      <c r="K17" s="5">
        <v>8.5999999999999993E-2</v>
      </c>
      <c r="L17" s="5">
        <v>0.33400000000000002</v>
      </c>
      <c r="M17" s="5">
        <v>0.27800000000000002</v>
      </c>
      <c r="N17" s="5">
        <v>0.30299999999999999</v>
      </c>
      <c r="O17" s="5">
        <v>4.9512476921081499</v>
      </c>
      <c r="P17" t="str">
        <f t="shared" si="0"/>
        <v>ft32_AdamW_finloop.pt</v>
      </c>
    </row>
    <row r="18" spans="1:16">
      <c r="A18" s="11" t="s">
        <v>77</v>
      </c>
      <c r="B18" t="s">
        <v>78</v>
      </c>
      <c r="C18" t="s">
        <v>128</v>
      </c>
      <c r="D18" t="s">
        <v>82</v>
      </c>
      <c r="E18">
        <v>54</v>
      </c>
      <c r="F18">
        <v>227</v>
      </c>
      <c r="G18" s="5">
        <v>0.27500000000000002</v>
      </c>
      <c r="H18" s="5">
        <v>0.13700000000000001</v>
      </c>
      <c r="I18" s="5">
        <v>0.182</v>
      </c>
      <c r="J18" s="5">
        <v>0.123</v>
      </c>
      <c r="K18" s="5">
        <v>5.0999999999999997E-2</v>
      </c>
      <c r="L18" s="5">
        <v>0.25600000000000001</v>
      </c>
      <c r="M18" s="5">
        <v>0.13700000000000001</v>
      </c>
      <c r="N18" s="5">
        <v>0.17799999999999999</v>
      </c>
      <c r="O18" s="5">
        <v>5.1416761875152499</v>
      </c>
      <c r="P18" t="str">
        <f t="shared" si="0"/>
        <v>ft32_SGD</v>
      </c>
    </row>
    <row r="19" spans="1:16">
      <c r="A19" s="11" t="s">
        <v>77</v>
      </c>
      <c r="B19" t="s">
        <v>78</v>
      </c>
      <c r="C19" t="s">
        <v>129</v>
      </c>
      <c r="D19" t="s">
        <v>82</v>
      </c>
      <c r="E19">
        <v>54</v>
      </c>
      <c r="F19">
        <v>227</v>
      </c>
      <c r="G19" s="5">
        <v>0.33100000000000002</v>
      </c>
      <c r="H19" s="5">
        <v>0.313</v>
      </c>
      <c r="I19" s="5">
        <v>0.32100000000000001</v>
      </c>
      <c r="J19" s="5">
        <v>0.21199999999999999</v>
      </c>
      <c r="K19" s="5">
        <v>8.3000000000000004E-2</v>
      </c>
      <c r="L19" s="5">
        <v>0.36199999999999999</v>
      </c>
      <c r="M19" s="5">
        <v>0.308</v>
      </c>
      <c r="N19" s="5">
        <v>0.33300000000000002</v>
      </c>
      <c r="O19" s="5">
        <v>5.0633335113525302</v>
      </c>
      <c r="P19" t="str">
        <f t="shared" si="0"/>
        <v>ft32_SGD_finloop.pt</v>
      </c>
    </row>
    <row r="20" spans="1:16">
      <c r="A20" s="11" t="s">
        <v>77</v>
      </c>
      <c r="B20" t="s">
        <v>78</v>
      </c>
      <c r="C20" t="s">
        <v>130</v>
      </c>
      <c r="D20" t="s">
        <v>82</v>
      </c>
      <c r="E20">
        <v>54</v>
      </c>
      <c r="F20">
        <v>227</v>
      </c>
      <c r="G20" s="5">
        <v>0.11700000000000001</v>
      </c>
      <c r="H20" s="5">
        <v>0.185</v>
      </c>
      <c r="I20" s="5">
        <v>0.14299999999999999</v>
      </c>
      <c r="J20" s="5">
        <v>0.123</v>
      </c>
      <c r="K20" s="5">
        <v>5.5E-2</v>
      </c>
      <c r="L20" s="5">
        <v>0.123</v>
      </c>
      <c r="M20" s="5">
        <v>0.19400000000000001</v>
      </c>
      <c r="N20" s="5">
        <v>0.15</v>
      </c>
      <c r="O20" s="5">
        <v>5.2414364814758301</v>
      </c>
      <c r="P20" t="str">
        <f t="shared" si="0"/>
        <v>ft33_AdamW</v>
      </c>
    </row>
    <row r="21" spans="1:16">
      <c r="A21" s="11" t="s">
        <v>77</v>
      </c>
      <c r="B21" t="s">
        <v>78</v>
      </c>
      <c r="C21" t="s">
        <v>131</v>
      </c>
      <c r="D21" t="s">
        <v>82</v>
      </c>
      <c r="E21">
        <v>54</v>
      </c>
      <c r="F21">
        <v>227</v>
      </c>
      <c r="G21" s="5">
        <v>0.40600000000000003</v>
      </c>
      <c r="H21" s="5">
        <v>0.24099999999999999</v>
      </c>
      <c r="I21" s="5">
        <v>0.30199999999999999</v>
      </c>
      <c r="J21" s="5">
        <v>0.23200000000000001</v>
      </c>
      <c r="K21" s="5">
        <v>9.7000000000000003E-2</v>
      </c>
      <c r="L21" s="5">
        <v>0.38900000000000001</v>
      </c>
      <c r="M21" s="5">
        <v>0.24099999999999999</v>
      </c>
      <c r="N21" s="5">
        <v>0.29799999999999999</v>
      </c>
      <c r="O21" s="5">
        <v>4.9116785526275599</v>
      </c>
      <c r="P21" t="str">
        <f t="shared" si="0"/>
        <v>ft33_AdamW_finloop.pt</v>
      </c>
    </row>
    <row r="22" spans="1:16">
      <c r="A22" s="11" t="s">
        <v>77</v>
      </c>
      <c r="B22" t="s">
        <v>78</v>
      </c>
      <c r="C22" t="s">
        <v>132</v>
      </c>
      <c r="D22" t="s">
        <v>82</v>
      </c>
      <c r="E22">
        <v>54</v>
      </c>
      <c r="F22">
        <v>227</v>
      </c>
      <c r="G22" s="5">
        <v>0.33100000000000002</v>
      </c>
      <c r="H22" s="5">
        <v>0.159</v>
      </c>
      <c r="I22" s="5">
        <v>0.214</v>
      </c>
      <c r="J22" s="5">
        <v>0.13400000000000001</v>
      </c>
      <c r="K22" s="5">
        <v>5.7000000000000002E-2</v>
      </c>
      <c r="L22" s="5">
        <v>0.27500000000000002</v>
      </c>
      <c r="M22" s="5">
        <v>0.14499999999999999</v>
      </c>
      <c r="N22" s="5">
        <v>0.19</v>
      </c>
      <c r="O22" s="5">
        <v>5.4470891952514604</v>
      </c>
      <c r="P22" t="str">
        <f t="shared" si="0"/>
        <v>ft33_SGD</v>
      </c>
    </row>
    <row r="23" spans="1:16" s="7" customFormat="1">
      <c r="A23" s="12" t="s">
        <v>77</v>
      </c>
      <c r="B23" s="7" t="s">
        <v>78</v>
      </c>
      <c r="C23" s="7" t="s">
        <v>133</v>
      </c>
      <c r="D23" s="7" t="s">
        <v>82</v>
      </c>
      <c r="E23" s="7">
        <v>54</v>
      </c>
      <c r="F23" s="7">
        <v>227</v>
      </c>
      <c r="G23" s="10">
        <v>0.42299999999999999</v>
      </c>
      <c r="H23" s="10">
        <v>0.29499999999999998</v>
      </c>
      <c r="I23" s="10">
        <v>0.34799999999999998</v>
      </c>
      <c r="J23" s="10">
        <v>0.25</v>
      </c>
      <c r="K23" s="10">
        <v>0.108</v>
      </c>
      <c r="L23" s="10">
        <v>0.36399999999999999</v>
      </c>
      <c r="M23" s="10">
        <v>0.25600000000000001</v>
      </c>
      <c r="N23" s="10">
        <v>0.3</v>
      </c>
      <c r="O23" s="10">
        <v>5.3308999538421604</v>
      </c>
      <c r="P23" s="7" t="str">
        <f t="shared" si="0"/>
        <v>ft33_SGD_finloop.pt</v>
      </c>
    </row>
    <row r="24" spans="1:16">
      <c r="A24" s="13" t="s">
        <v>86</v>
      </c>
      <c r="B24" t="s">
        <v>87</v>
      </c>
      <c r="C24" t="s">
        <v>79</v>
      </c>
      <c r="D24" t="s">
        <v>80</v>
      </c>
      <c r="E24">
        <v>8440</v>
      </c>
      <c r="F24">
        <v>66301</v>
      </c>
      <c r="G24" s="5">
        <v>0.96299999999999997</v>
      </c>
      <c r="H24" s="5">
        <v>0.92900000000000005</v>
      </c>
      <c r="I24" s="5">
        <v>0.94599999999999995</v>
      </c>
      <c r="J24" s="5">
        <v>0.96099999999999997</v>
      </c>
      <c r="K24" s="5">
        <v>0.64200000000000002</v>
      </c>
      <c r="L24" s="5">
        <v>0.93600000000000005</v>
      </c>
      <c r="M24" s="5">
        <v>0.871</v>
      </c>
      <c r="N24" s="5">
        <v>0.90200000000000002</v>
      </c>
      <c r="O24" s="5">
        <v>122.898443937301</v>
      </c>
      <c r="P24" t="str">
        <f t="shared" si="0"/>
        <v>finloop</v>
      </c>
    </row>
    <row r="25" spans="1:16">
      <c r="A25" s="13" t="s">
        <v>86</v>
      </c>
      <c r="B25" t="s">
        <v>87</v>
      </c>
      <c r="C25" t="s">
        <v>81</v>
      </c>
      <c r="D25" t="s">
        <v>82</v>
      </c>
      <c r="E25">
        <v>8440</v>
      </c>
      <c r="F25">
        <v>66301</v>
      </c>
      <c r="G25" s="5">
        <v>0.63700000000000001</v>
      </c>
      <c r="H25" s="5">
        <v>0.42099999999999999</v>
      </c>
      <c r="I25" s="5">
        <v>0.50700000000000001</v>
      </c>
      <c r="J25" s="5">
        <v>0.44500000000000001</v>
      </c>
      <c r="K25" s="5">
        <v>0.26400000000000001</v>
      </c>
      <c r="L25" s="5">
        <v>0.621</v>
      </c>
      <c r="M25" s="5">
        <v>0.40699999999999997</v>
      </c>
      <c r="N25" s="5">
        <v>0.49199999999999999</v>
      </c>
      <c r="O25" s="5">
        <v>70.603033781051593</v>
      </c>
      <c r="P25" t="str">
        <f t="shared" si="0"/>
        <v>ft21SGD</v>
      </c>
    </row>
    <row r="26" spans="1:16">
      <c r="A26" s="13" t="s">
        <v>86</v>
      </c>
      <c r="B26" t="s">
        <v>87</v>
      </c>
      <c r="C26" t="s">
        <v>114</v>
      </c>
      <c r="D26" t="s">
        <v>82</v>
      </c>
      <c r="E26">
        <v>8440</v>
      </c>
      <c r="F26">
        <v>66301</v>
      </c>
      <c r="G26" s="5">
        <v>0.63500000000000001</v>
      </c>
      <c r="H26" s="5">
        <v>0.4</v>
      </c>
      <c r="I26" s="5">
        <v>0.49099999999999999</v>
      </c>
      <c r="J26" s="5">
        <v>0.43099999999999999</v>
      </c>
      <c r="K26" s="5">
        <v>0.26300000000000001</v>
      </c>
      <c r="L26" s="5">
        <v>0.61199999999999999</v>
      </c>
      <c r="M26" s="5">
        <v>0.38100000000000001</v>
      </c>
      <c r="N26" s="5">
        <v>0.46899999999999997</v>
      </c>
      <c r="O26" s="5">
        <v>69.853934049606295</v>
      </c>
      <c r="P26" t="str">
        <f t="shared" si="0"/>
        <v>ft29_AdamW</v>
      </c>
    </row>
    <row r="27" spans="1:16">
      <c r="A27" s="13" t="s">
        <v>86</v>
      </c>
      <c r="B27" t="s">
        <v>87</v>
      </c>
      <c r="C27" t="s">
        <v>115</v>
      </c>
      <c r="D27" t="s">
        <v>82</v>
      </c>
      <c r="E27">
        <v>8440</v>
      </c>
      <c r="F27">
        <v>66301</v>
      </c>
      <c r="G27" s="5">
        <v>0.89400000000000002</v>
      </c>
      <c r="H27" s="5">
        <v>0.80300000000000005</v>
      </c>
      <c r="I27" s="5">
        <v>0.84599999999999997</v>
      </c>
      <c r="J27" s="5">
        <v>0.88500000000000001</v>
      </c>
      <c r="K27" s="5">
        <v>0.56499999999999995</v>
      </c>
      <c r="L27" s="5">
        <v>0.876</v>
      </c>
      <c r="M27" s="5">
        <v>0.76200000000000001</v>
      </c>
      <c r="N27" s="5">
        <v>0.81499999999999995</v>
      </c>
      <c r="O27" s="5">
        <v>52.408755064010599</v>
      </c>
      <c r="P27" t="str">
        <f t="shared" si="0"/>
        <v>ft29_AdamW_finloop.pt</v>
      </c>
    </row>
    <row r="28" spans="1:16">
      <c r="A28" s="13" t="s">
        <v>86</v>
      </c>
      <c r="B28" t="s">
        <v>87</v>
      </c>
      <c r="C28" t="s">
        <v>116</v>
      </c>
      <c r="D28" t="s">
        <v>82</v>
      </c>
      <c r="E28">
        <v>8440</v>
      </c>
      <c r="F28">
        <v>66301</v>
      </c>
      <c r="G28" s="5">
        <v>0.57699999999999996</v>
      </c>
      <c r="H28" s="5">
        <v>0.40799999999999997</v>
      </c>
      <c r="I28" s="5">
        <v>0.47799999999999998</v>
      </c>
      <c r="J28" s="5">
        <v>0.41499999999999998</v>
      </c>
      <c r="K28" s="5">
        <v>0.23899999999999999</v>
      </c>
      <c r="L28" s="5">
        <v>0.56599999999999995</v>
      </c>
      <c r="M28" s="5">
        <v>0.39400000000000002</v>
      </c>
      <c r="N28" s="5">
        <v>0.46500000000000002</v>
      </c>
      <c r="O28" s="5">
        <v>73.922101259231496</v>
      </c>
      <c r="P28" t="str">
        <f t="shared" si="0"/>
        <v>ft29_SGD</v>
      </c>
    </row>
    <row r="29" spans="1:16">
      <c r="A29" s="13" t="s">
        <v>86</v>
      </c>
      <c r="B29" t="s">
        <v>87</v>
      </c>
      <c r="C29" t="s">
        <v>117</v>
      </c>
      <c r="D29" t="s">
        <v>82</v>
      </c>
      <c r="E29">
        <v>8440</v>
      </c>
      <c r="F29">
        <v>66301</v>
      </c>
      <c r="G29" s="5">
        <v>0.94599999999999995</v>
      </c>
      <c r="H29" s="5">
        <v>0.89500000000000002</v>
      </c>
      <c r="I29" s="5">
        <v>0.92</v>
      </c>
      <c r="J29" s="5">
        <v>0.94599999999999995</v>
      </c>
      <c r="K29" s="5">
        <v>0.621</v>
      </c>
      <c r="L29" s="5">
        <v>0.92600000000000005</v>
      </c>
      <c r="M29" s="5">
        <v>0.85599999999999998</v>
      </c>
      <c r="N29" s="5">
        <v>0.88900000000000001</v>
      </c>
      <c r="O29" s="5">
        <v>52.915857315063398</v>
      </c>
      <c r="P29" t="str">
        <f t="shared" si="0"/>
        <v>ft29_SGD_finloop.pt</v>
      </c>
    </row>
    <row r="30" spans="1:16">
      <c r="A30" s="13" t="s">
        <v>86</v>
      </c>
      <c r="B30" t="s">
        <v>87</v>
      </c>
      <c r="C30" t="s">
        <v>118</v>
      </c>
      <c r="D30" t="s">
        <v>82</v>
      </c>
      <c r="E30">
        <v>8440</v>
      </c>
      <c r="F30">
        <v>66301</v>
      </c>
      <c r="G30" s="5">
        <v>0.63700000000000001</v>
      </c>
      <c r="H30" s="5">
        <v>0.42</v>
      </c>
      <c r="I30" s="5">
        <v>0.50600000000000001</v>
      </c>
      <c r="J30" s="5">
        <v>0.442</v>
      </c>
      <c r="K30" s="5">
        <v>0.26500000000000001</v>
      </c>
      <c r="L30" s="5">
        <v>0.61899999999999999</v>
      </c>
      <c r="M30" s="5">
        <v>0.40400000000000003</v>
      </c>
      <c r="N30" s="5">
        <v>0.48899999999999999</v>
      </c>
      <c r="O30" s="5">
        <v>70.465574026107703</v>
      </c>
      <c r="P30" t="str">
        <f t="shared" si="0"/>
        <v>ft30_AdamW</v>
      </c>
    </row>
    <row r="31" spans="1:16">
      <c r="A31" s="13" t="s">
        <v>86</v>
      </c>
      <c r="B31" t="s">
        <v>87</v>
      </c>
      <c r="C31" t="s">
        <v>119</v>
      </c>
      <c r="D31" t="s">
        <v>82</v>
      </c>
      <c r="E31">
        <v>8440</v>
      </c>
      <c r="F31">
        <v>66301</v>
      </c>
      <c r="G31" s="5">
        <v>0.89400000000000002</v>
      </c>
      <c r="H31" s="5">
        <v>0.81699999999999995</v>
      </c>
      <c r="I31" s="5">
        <v>0.85399999999999998</v>
      </c>
      <c r="J31" s="5">
        <v>0.89100000000000001</v>
      </c>
      <c r="K31" s="5">
        <v>0.56599999999999995</v>
      </c>
      <c r="L31" s="5">
        <v>0.88100000000000001</v>
      </c>
      <c r="M31" s="5">
        <v>0.78200000000000003</v>
      </c>
      <c r="N31" s="5">
        <v>0.82899999999999996</v>
      </c>
      <c r="O31" s="5">
        <v>52.0640385150909</v>
      </c>
      <c r="P31" t="str">
        <f t="shared" si="0"/>
        <v>ft30_AdamW_finloop.pt</v>
      </c>
    </row>
    <row r="32" spans="1:16">
      <c r="A32" s="13" t="s">
        <v>86</v>
      </c>
      <c r="B32" t="s">
        <v>87</v>
      </c>
      <c r="C32" t="s">
        <v>120</v>
      </c>
      <c r="D32" t="s">
        <v>82</v>
      </c>
      <c r="E32">
        <v>8440</v>
      </c>
      <c r="F32">
        <v>66301</v>
      </c>
      <c r="G32" s="5">
        <v>0.56499999999999995</v>
      </c>
      <c r="H32" s="5">
        <v>0.39500000000000002</v>
      </c>
      <c r="I32" s="5">
        <v>0.46500000000000002</v>
      </c>
      <c r="J32" s="5">
        <v>0.40300000000000002</v>
      </c>
      <c r="K32" s="5">
        <v>0.23</v>
      </c>
      <c r="L32" s="5">
        <v>0.55300000000000005</v>
      </c>
      <c r="M32" s="5">
        <v>0.38300000000000001</v>
      </c>
      <c r="N32" s="5">
        <v>0.45300000000000001</v>
      </c>
      <c r="O32" s="5">
        <v>74.149321317672701</v>
      </c>
      <c r="P32" t="str">
        <f t="shared" si="0"/>
        <v>ft30_SGD</v>
      </c>
    </row>
    <row r="33" spans="1:16">
      <c r="A33" s="13" t="s">
        <v>86</v>
      </c>
      <c r="B33" t="s">
        <v>87</v>
      </c>
      <c r="C33" t="s">
        <v>121</v>
      </c>
      <c r="D33" t="s">
        <v>82</v>
      </c>
      <c r="E33">
        <v>8440</v>
      </c>
      <c r="F33">
        <v>66301</v>
      </c>
      <c r="G33" s="5">
        <v>0.94099999999999995</v>
      </c>
      <c r="H33" s="5">
        <v>0.89200000000000002</v>
      </c>
      <c r="I33" s="5">
        <v>0.91600000000000004</v>
      </c>
      <c r="J33" s="5">
        <v>0.94399999999999995</v>
      </c>
      <c r="K33" s="5">
        <v>0.61699999999999999</v>
      </c>
      <c r="L33" s="5">
        <v>0.92300000000000004</v>
      </c>
      <c r="M33" s="5">
        <v>0.85199999999999998</v>
      </c>
      <c r="N33" s="5">
        <v>0.88600000000000001</v>
      </c>
      <c r="O33" s="5">
        <v>53.706554889678898</v>
      </c>
      <c r="P33" t="str">
        <f t="shared" si="0"/>
        <v>ft30_SGD_finloop.pt</v>
      </c>
    </row>
    <row r="34" spans="1:16">
      <c r="A34" s="13" t="s">
        <v>86</v>
      </c>
      <c r="B34" t="s">
        <v>87</v>
      </c>
      <c r="C34" t="s">
        <v>122</v>
      </c>
      <c r="D34" t="s">
        <v>82</v>
      </c>
      <c r="E34">
        <v>8440</v>
      </c>
      <c r="F34">
        <v>66301</v>
      </c>
      <c r="G34" s="5">
        <v>0.63</v>
      </c>
      <c r="H34" s="5">
        <v>0.42</v>
      </c>
      <c r="I34" s="5">
        <v>0.504</v>
      </c>
      <c r="J34" s="5">
        <v>0.443</v>
      </c>
      <c r="K34" s="5">
        <v>0.26400000000000001</v>
      </c>
      <c r="L34" s="5">
        <v>0.61399999999999999</v>
      </c>
      <c r="M34" s="5">
        <v>0.40400000000000003</v>
      </c>
      <c r="N34" s="5">
        <v>0.48799999999999999</v>
      </c>
      <c r="O34" s="5">
        <v>70.311576366424504</v>
      </c>
      <c r="P34" t="str">
        <f t="shared" si="0"/>
        <v>ft31_AdamW</v>
      </c>
    </row>
    <row r="35" spans="1:16">
      <c r="A35" s="13" t="s">
        <v>86</v>
      </c>
      <c r="B35" t="s">
        <v>87</v>
      </c>
      <c r="C35" t="s">
        <v>123</v>
      </c>
      <c r="D35" t="s">
        <v>82</v>
      </c>
      <c r="E35">
        <v>8440</v>
      </c>
      <c r="F35">
        <v>66301</v>
      </c>
      <c r="G35" s="5">
        <v>0.89500000000000002</v>
      </c>
      <c r="H35" s="5">
        <v>0.81699999999999995</v>
      </c>
      <c r="I35" s="5">
        <v>0.85399999999999998</v>
      </c>
      <c r="J35" s="5">
        <v>0.89100000000000001</v>
      </c>
      <c r="K35" s="5">
        <v>0.56499999999999995</v>
      </c>
      <c r="L35" s="5">
        <v>0.876</v>
      </c>
      <c r="M35" s="5">
        <v>0.77700000000000002</v>
      </c>
      <c r="N35" s="5">
        <v>0.82399999999999995</v>
      </c>
      <c r="O35" s="5">
        <v>52.1577277183532</v>
      </c>
      <c r="P35" t="str">
        <f t="shared" si="0"/>
        <v>ft31_AdamW_finloop.pt</v>
      </c>
    </row>
    <row r="36" spans="1:16">
      <c r="A36" s="13" t="s">
        <v>86</v>
      </c>
      <c r="B36" t="s">
        <v>87</v>
      </c>
      <c r="C36" t="s">
        <v>124</v>
      </c>
      <c r="D36" t="s">
        <v>82</v>
      </c>
      <c r="E36">
        <v>8440</v>
      </c>
      <c r="F36">
        <v>66301</v>
      </c>
      <c r="G36" s="5">
        <v>0.56699999999999995</v>
      </c>
      <c r="H36" s="5">
        <v>0.39900000000000002</v>
      </c>
      <c r="I36" s="5">
        <v>0.46800000000000003</v>
      </c>
      <c r="J36" s="5">
        <v>0.40600000000000003</v>
      </c>
      <c r="K36" s="5">
        <v>0.23200000000000001</v>
      </c>
      <c r="L36" s="5">
        <v>0.55600000000000005</v>
      </c>
      <c r="M36" s="5">
        <v>0.38600000000000001</v>
      </c>
      <c r="N36" s="5">
        <v>0.45600000000000002</v>
      </c>
      <c r="O36" s="5">
        <v>73.339875221252399</v>
      </c>
      <c r="P36" t="str">
        <f t="shared" si="0"/>
        <v>ft31_SGD</v>
      </c>
    </row>
    <row r="37" spans="1:16">
      <c r="A37" s="13" t="s">
        <v>86</v>
      </c>
      <c r="B37" t="s">
        <v>87</v>
      </c>
      <c r="C37" t="s">
        <v>125</v>
      </c>
      <c r="D37" t="s">
        <v>82</v>
      </c>
      <c r="E37">
        <v>8440</v>
      </c>
      <c r="F37">
        <v>66301</v>
      </c>
      <c r="G37" s="5">
        <v>0.94199999999999995</v>
      </c>
      <c r="H37" s="5">
        <v>0.89200000000000002</v>
      </c>
      <c r="I37" s="5">
        <v>0.91700000000000004</v>
      </c>
      <c r="J37" s="5">
        <v>0.94399999999999995</v>
      </c>
      <c r="K37" s="5">
        <v>0.61799999999999999</v>
      </c>
      <c r="L37" s="5">
        <v>0.92500000000000004</v>
      </c>
      <c r="M37" s="5">
        <v>0.85099999999999998</v>
      </c>
      <c r="N37" s="5">
        <v>0.88600000000000001</v>
      </c>
      <c r="O37" s="5">
        <v>53.748420953750603</v>
      </c>
      <c r="P37" t="str">
        <f t="shared" si="0"/>
        <v>ft31_SGD_finloop.pt</v>
      </c>
    </row>
    <row r="38" spans="1:16">
      <c r="A38" s="13" t="s">
        <v>86</v>
      </c>
      <c r="B38" t="s">
        <v>87</v>
      </c>
      <c r="C38" t="s">
        <v>126</v>
      </c>
      <c r="D38" t="s">
        <v>82</v>
      </c>
      <c r="E38">
        <v>8440</v>
      </c>
      <c r="F38">
        <v>66301</v>
      </c>
      <c r="G38" s="5">
        <v>0.62</v>
      </c>
      <c r="H38" s="5">
        <v>0.41199999999999998</v>
      </c>
      <c r="I38" s="5">
        <v>0.495</v>
      </c>
      <c r="J38" s="5">
        <v>0.43099999999999999</v>
      </c>
      <c r="K38" s="5">
        <v>0.255</v>
      </c>
      <c r="L38" s="5">
        <v>0.60299999999999998</v>
      </c>
      <c r="M38" s="5">
        <v>0.39200000000000002</v>
      </c>
      <c r="N38" s="5">
        <v>0.47499999999999998</v>
      </c>
      <c r="O38" s="5">
        <v>70.7573788166046</v>
      </c>
      <c r="P38" t="str">
        <f t="shared" si="0"/>
        <v>ft32_AdamW</v>
      </c>
    </row>
    <row r="39" spans="1:16">
      <c r="A39" s="13" t="s">
        <v>86</v>
      </c>
      <c r="B39" t="s">
        <v>87</v>
      </c>
      <c r="C39" t="s">
        <v>127</v>
      </c>
      <c r="D39" t="s">
        <v>82</v>
      </c>
      <c r="E39">
        <v>8440</v>
      </c>
      <c r="F39">
        <v>66301</v>
      </c>
      <c r="G39" s="5">
        <v>0.88900000000000001</v>
      </c>
      <c r="H39" s="5">
        <v>0.78700000000000003</v>
      </c>
      <c r="I39" s="5">
        <v>0.83499999999999996</v>
      </c>
      <c r="J39" s="5">
        <v>0.872</v>
      </c>
      <c r="K39" s="5">
        <v>0.54800000000000004</v>
      </c>
      <c r="L39" s="5">
        <v>0.874</v>
      </c>
      <c r="M39" s="5">
        <v>0.751</v>
      </c>
      <c r="N39" s="5">
        <v>0.80800000000000005</v>
      </c>
      <c r="O39" s="5">
        <v>52.407024383544901</v>
      </c>
      <c r="P39" t="str">
        <f t="shared" si="0"/>
        <v>ft32_AdamW_finloop.pt</v>
      </c>
    </row>
    <row r="40" spans="1:16">
      <c r="A40" s="13" t="s">
        <v>86</v>
      </c>
      <c r="B40" t="s">
        <v>87</v>
      </c>
      <c r="C40" t="s">
        <v>128</v>
      </c>
      <c r="D40" t="s">
        <v>82</v>
      </c>
      <c r="E40">
        <v>8440</v>
      </c>
      <c r="F40">
        <v>66301</v>
      </c>
      <c r="G40" s="5">
        <v>0.55400000000000005</v>
      </c>
      <c r="H40" s="5">
        <v>0.39800000000000002</v>
      </c>
      <c r="I40" s="5">
        <v>0.46300000000000002</v>
      </c>
      <c r="J40" s="5">
        <v>0.39800000000000002</v>
      </c>
      <c r="K40" s="5">
        <v>0.22500000000000001</v>
      </c>
      <c r="L40" s="5">
        <v>0.54300000000000004</v>
      </c>
      <c r="M40" s="5">
        <v>0.38600000000000001</v>
      </c>
      <c r="N40" s="5">
        <v>0.45100000000000001</v>
      </c>
      <c r="O40" s="5">
        <v>73.774534940719604</v>
      </c>
      <c r="P40" t="str">
        <f t="shared" si="0"/>
        <v>ft32_SGD</v>
      </c>
    </row>
    <row r="41" spans="1:16">
      <c r="A41" s="13" t="s">
        <v>86</v>
      </c>
      <c r="B41" t="s">
        <v>87</v>
      </c>
      <c r="C41" t="s">
        <v>129</v>
      </c>
      <c r="D41" t="s">
        <v>82</v>
      </c>
      <c r="E41">
        <v>8440</v>
      </c>
      <c r="F41">
        <v>66301</v>
      </c>
      <c r="G41" s="5">
        <v>0.93899999999999995</v>
      </c>
      <c r="H41" s="5">
        <v>0.88600000000000001</v>
      </c>
      <c r="I41" s="5">
        <v>0.91200000000000003</v>
      </c>
      <c r="J41" s="5">
        <v>0.94099999999999995</v>
      </c>
      <c r="K41" s="5">
        <v>0.60899999999999999</v>
      </c>
      <c r="L41" s="5">
        <v>0.92500000000000004</v>
      </c>
      <c r="M41" s="5">
        <v>0.84799999999999998</v>
      </c>
      <c r="N41" s="5">
        <v>0.88500000000000001</v>
      </c>
      <c r="O41" s="5">
        <v>53.567198991775498</v>
      </c>
      <c r="P41" t="str">
        <f t="shared" si="0"/>
        <v>ft32_SGD_finloop.pt</v>
      </c>
    </row>
    <row r="42" spans="1:16">
      <c r="A42" s="13" t="s">
        <v>86</v>
      </c>
      <c r="B42" t="s">
        <v>87</v>
      </c>
      <c r="C42" t="s">
        <v>130</v>
      </c>
      <c r="D42" t="s">
        <v>82</v>
      </c>
      <c r="E42">
        <v>8440</v>
      </c>
      <c r="F42">
        <v>66301</v>
      </c>
      <c r="G42" s="5">
        <v>0.65600000000000003</v>
      </c>
      <c r="H42" s="5">
        <v>0.41799999999999998</v>
      </c>
      <c r="I42" s="5">
        <v>0.51100000000000001</v>
      </c>
      <c r="J42" s="5">
        <v>0.45100000000000001</v>
      </c>
      <c r="K42" s="5">
        <v>0.27600000000000002</v>
      </c>
      <c r="L42" s="5">
        <v>0.64100000000000001</v>
      </c>
      <c r="M42" s="5">
        <v>0.40200000000000002</v>
      </c>
      <c r="N42" s="5">
        <v>0.49399999999999999</v>
      </c>
      <c r="O42" s="5">
        <v>69.926180362701402</v>
      </c>
      <c r="P42" t="str">
        <f t="shared" si="0"/>
        <v>ft33_AdamW</v>
      </c>
    </row>
    <row r="43" spans="1:16">
      <c r="A43" s="13" t="s">
        <v>86</v>
      </c>
      <c r="B43" t="s">
        <v>87</v>
      </c>
      <c r="C43" t="s">
        <v>131</v>
      </c>
      <c r="D43" t="s">
        <v>82</v>
      </c>
      <c r="E43">
        <v>8440</v>
      </c>
      <c r="F43">
        <v>66301</v>
      </c>
      <c r="G43" s="5">
        <v>0.91900000000000004</v>
      </c>
      <c r="H43" s="5">
        <v>0.84499999999999997</v>
      </c>
      <c r="I43" s="5">
        <v>0.88</v>
      </c>
      <c r="J43" s="5">
        <v>0.91600000000000004</v>
      </c>
      <c r="K43" s="5">
        <v>0.61299999999999999</v>
      </c>
      <c r="L43" s="5">
        <v>0.91</v>
      </c>
      <c r="M43" s="5">
        <v>0.81200000000000006</v>
      </c>
      <c r="N43" s="5">
        <v>0.85799999999999998</v>
      </c>
      <c r="O43" s="5">
        <v>52.524948358535703</v>
      </c>
      <c r="P43" t="str">
        <f t="shared" si="0"/>
        <v>ft33_AdamW_finloop.pt</v>
      </c>
    </row>
    <row r="44" spans="1:16">
      <c r="A44" s="13" t="s">
        <v>86</v>
      </c>
      <c r="B44" t="s">
        <v>87</v>
      </c>
      <c r="C44" t="s">
        <v>132</v>
      </c>
      <c r="D44" t="s">
        <v>82</v>
      </c>
      <c r="E44">
        <v>8440</v>
      </c>
      <c r="F44">
        <v>66301</v>
      </c>
      <c r="G44" s="5">
        <v>0.57699999999999996</v>
      </c>
      <c r="H44" s="5">
        <v>0.40300000000000002</v>
      </c>
      <c r="I44" s="5">
        <v>0.47399999999999998</v>
      </c>
      <c r="J44" s="5">
        <v>0.41</v>
      </c>
      <c r="K44" s="5">
        <v>0.23499999999999999</v>
      </c>
      <c r="L44" s="5">
        <v>0.56499999999999995</v>
      </c>
      <c r="M44" s="5">
        <v>0.39100000000000001</v>
      </c>
      <c r="N44" s="5">
        <v>0.46200000000000002</v>
      </c>
      <c r="O44" s="5">
        <v>73.120245933532701</v>
      </c>
      <c r="P44" t="str">
        <f t="shared" si="0"/>
        <v>ft33_SGD</v>
      </c>
    </row>
    <row r="45" spans="1:16" s="7" customFormat="1">
      <c r="A45" s="14" t="s">
        <v>86</v>
      </c>
      <c r="B45" s="7" t="s">
        <v>87</v>
      </c>
      <c r="C45" s="7" t="s">
        <v>133</v>
      </c>
      <c r="D45" s="7" t="s">
        <v>82</v>
      </c>
      <c r="E45" s="7">
        <v>8440</v>
      </c>
      <c r="F45" s="7">
        <v>66301</v>
      </c>
      <c r="G45" s="10">
        <v>0.94799999999999995</v>
      </c>
      <c r="H45" s="10">
        <v>0.90100000000000002</v>
      </c>
      <c r="I45" s="10">
        <v>0.92400000000000004</v>
      </c>
      <c r="J45" s="10">
        <v>0.94899999999999995</v>
      </c>
      <c r="K45" s="10">
        <v>0.629</v>
      </c>
      <c r="L45" s="10">
        <v>0.93200000000000005</v>
      </c>
      <c r="M45" s="10">
        <v>0.85899999999999999</v>
      </c>
      <c r="N45" s="10">
        <v>0.89400000000000002</v>
      </c>
      <c r="O45" s="10">
        <v>53.698592901229802</v>
      </c>
      <c r="P45" s="7" t="str">
        <f t="shared" si="0"/>
        <v>ft33_SGD_finloop.pt</v>
      </c>
    </row>
    <row r="46" spans="1:16">
      <c r="A46" t="s">
        <v>86</v>
      </c>
      <c r="B46" t="s">
        <v>78</v>
      </c>
      <c r="C46" t="s">
        <v>79</v>
      </c>
      <c r="D46" t="s">
        <v>80</v>
      </c>
      <c r="E46">
        <v>661</v>
      </c>
      <c r="F46">
        <v>2767</v>
      </c>
      <c r="G46" s="5">
        <v>0.89600000000000002</v>
      </c>
      <c r="H46" s="5">
        <v>0.78600000000000003</v>
      </c>
      <c r="I46" s="5">
        <v>0.83699999999999997</v>
      </c>
      <c r="J46" s="5">
        <v>0.82399999999999995</v>
      </c>
      <c r="K46" s="5">
        <v>0.58299999999999996</v>
      </c>
      <c r="L46" s="5">
        <v>0.88</v>
      </c>
      <c r="M46" s="5">
        <v>0.73</v>
      </c>
      <c r="N46" s="5">
        <v>0.79800000000000004</v>
      </c>
      <c r="O46" s="5">
        <v>18.227146148681602</v>
      </c>
      <c r="P46" t="str">
        <f t="shared" si="0"/>
        <v>finloop</v>
      </c>
    </row>
    <row r="47" spans="1:16">
      <c r="A47" t="s">
        <v>86</v>
      </c>
      <c r="B47" t="s">
        <v>78</v>
      </c>
      <c r="C47" t="s">
        <v>81</v>
      </c>
      <c r="D47" t="s">
        <v>82</v>
      </c>
      <c r="E47">
        <v>661</v>
      </c>
      <c r="F47">
        <v>2767</v>
      </c>
      <c r="G47" s="5">
        <v>0.67500000000000004</v>
      </c>
      <c r="H47" s="5">
        <v>0.49</v>
      </c>
      <c r="I47" s="5">
        <v>0.56799999999999995</v>
      </c>
      <c r="J47" s="5">
        <v>0.52900000000000003</v>
      </c>
      <c r="K47" s="5">
        <v>0.35699999999999998</v>
      </c>
      <c r="L47" s="5">
        <v>0.66400000000000003</v>
      </c>
      <c r="M47" s="5">
        <v>0.48199999999999998</v>
      </c>
      <c r="N47" s="5">
        <v>0.55900000000000005</v>
      </c>
      <c r="O47" s="5">
        <v>12.0972201824188</v>
      </c>
      <c r="P47" t="str">
        <f t="shared" si="0"/>
        <v>ft21SGD</v>
      </c>
    </row>
    <row r="48" spans="1:16">
      <c r="A48" t="s">
        <v>86</v>
      </c>
      <c r="B48" t="s">
        <v>78</v>
      </c>
      <c r="C48" t="s">
        <v>114</v>
      </c>
      <c r="D48" t="s">
        <v>82</v>
      </c>
      <c r="E48">
        <v>661</v>
      </c>
      <c r="F48">
        <v>2767</v>
      </c>
      <c r="G48" s="5">
        <v>0.68500000000000005</v>
      </c>
      <c r="H48" s="5">
        <v>0.47799999999999998</v>
      </c>
      <c r="I48" s="5">
        <v>0.56299999999999994</v>
      </c>
      <c r="J48" s="5">
        <v>0.48699999999999999</v>
      </c>
      <c r="K48" s="5">
        <v>0.317</v>
      </c>
      <c r="L48" s="5">
        <v>0.65600000000000003</v>
      </c>
      <c r="M48" s="5">
        <v>0.45700000000000002</v>
      </c>
      <c r="N48" s="5">
        <v>0.53900000000000003</v>
      </c>
      <c r="O48" s="5">
        <v>12.3210937976837</v>
      </c>
      <c r="P48" t="str">
        <f t="shared" si="0"/>
        <v>ft29_AdamW</v>
      </c>
    </row>
    <row r="49" spans="1:16">
      <c r="A49" t="s">
        <v>86</v>
      </c>
      <c r="B49" t="s">
        <v>78</v>
      </c>
      <c r="C49" t="s">
        <v>115</v>
      </c>
      <c r="D49" t="s">
        <v>82</v>
      </c>
      <c r="E49">
        <v>661</v>
      </c>
      <c r="F49">
        <v>2767</v>
      </c>
      <c r="G49" s="5">
        <v>0.84899999999999998</v>
      </c>
      <c r="H49" s="5">
        <v>0.71299999999999997</v>
      </c>
      <c r="I49" s="5">
        <v>0.77500000000000002</v>
      </c>
      <c r="J49" s="5">
        <v>0.75700000000000001</v>
      </c>
      <c r="K49" s="5">
        <v>0.52800000000000002</v>
      </c>
      <c r="L49" s="5">
        <v>0.81899999999999995</v>
      </c>
      <c r="M49" s="5">
        <v>0.67700000000000005</v>
      </c>
      <c r="N49" s="5">
        <v>0.74099999999999999</v>
      </c>
      <c r="O49" s="5">
        <v>11.0557324886322</v>
      </c>
      <c r="P49" t="str">
        <f t="shared" si="0"/>
        <v>ft29_AdamW_finloop.pt</v>
      </c>
    </row>
    <row r="50" spans="1:16">
      <c r="A50" t="s">
        <v>86</v>
      </c>
      <c r="B50" t="s">
        <v>78</v>
      </c>
      <c r="C50" t="s">
        <v>116</v>
      </c>
      <c r="D50" t="s">
        <v>82</v>
      </c>
      <c r="E50">
        <v>661</v>
      </c>
      <c r="F50">
        <v>2767</v>
      </c>
      <c r="G50" s="5">
        <v>0.626</v>
      </c>
      <c r="H50" s="5">
        <v>0.48199999999999998</v>
      </c>
      <c r="I50" s="5">
        <v>0.54500000000000004</v>
      </c>
      <c r="J50" s="5">
        <v>0.497</v>
      </c>
      <c r="K50" s="5">
        <v>0.32900000000000001</v>
      </c>
      <c r="L50" s="5">
        <v>0.61399999999999999</v>
      </c>
      <c r="M50" s="5">
        <v>0.47099999999999997</v>
      </c>
      <c r="N50" s="5">
        <v>0.53300000000000003</v>
      </c>
      <c r="O50" s="5">
        <v>12.8273746967315</v>
      </c>
      <c r="P50" t="str">
        <f t="shared" si="0"/>
        <v>ft29_SGD</v>
      </c>
    </row>
    <row r="51" spans="1:16">
      <c r="A51" t="s">
        <v>86</v>
      </c>
      <c r="B51" t="s">
        <v>78</v>
      </c>
      <c r="C51" t="s">
        <v>117</v>
      </c>
      <c r="D51" t="s">
        <v>82</v>
      </c>
      <c r="E51">
        <v>661</v>
      </c>
      <c r="F51">
        <v>2767</v>
      </c>
      <c r="G51" s="5">
        <v>0.88200000000000001</v>
      </c>
      <c r="H51" s="5">
        <v>0.746</v>
      </c>
      <c r="I51" s="5">
        <v>0.80800000000000005</v>
      </c>
      <c r="J51" s="5">
        <v>0.79700000000000004</v>
      </c>
      <c r="K51" s="5">
        <v>0.56000000000000005</v>
      </c>
      <c r="L51" s="5">
        <v>0.88600000000000001</v>
      </c>
      <c r="M51" s="5">
        <v>0.70599999999999996</v>
      </c>
      <c r="N51" s="5">
        <v>0.78600000000000003</v>
      </c>
      <c r="O51" s="5">
        <v>10.9117887020111</v>
      </c>
      <c r="P51" t="str">
        <f t="shared" si="0"/>
        <v>ft29_SGD_finloop.pt</v>
      </c>
    </row>
    <row r="52" spans="1:16">
      <c r="A52" t="s">
        <v>86</v>
      </c>
      <c r="B52" t="s">
        <v>78</v>
      </c>
      <c r="C52" t="s">
        <v>118</v>
      </c>
      <c r="D52" t="s">
        <v>82</v>
      </c>
      <c r="E52">
        <v>661</v>
      </c>
      <c r="F52">
        <v>2767</v>
      </c>
      <c r="G52" s="5">
        <v>0.69699999999999995</v>
      </c>
      <c r="H52" s="5">
        <v>0.46899999999999997</v>
      </c>
      <c r="I52" s="5">
        <v>0.56100000000000005</v>
      </c>
      <c r="J52" s="5">
        <v>0.502</v>
      </c>
      <c r="K52" s="5">
        <v>0.32</v>
      </c>
      <c r="L52" s="5">
        <v>0.67600000000000005</v>
      </c>
      <c r="M52" s="5">
        <v>0.45200000000000001</v>
      </c>
      <c r="N52" s="5">
        <v>0.54100000000000004</v>
      </c>
      <c r="O52" s="5">
        <v>12.7428538799285</v>
      </c>
      <c r="P52" t="str">
        <f t="shared" si="0"/>
        <v>ft30_AdamW</v>
      </c>
    </row>
    <row r="53" spans="1:16">
      <c r="A53" t="s">
        <v>86</v>
      </c>
      <c r="B53" t="s">
        <v>78</v>
      </c>
      <c r="C53" t="s">
        <v>119</v>
      </c>
      <c r="D53" t="s">
        <v>82</v>
      </c>
      <c r="E53">
        <v>661</v>
      </c>
      <c r="F53">
        <v>2767</v>
      </c>
      <c r="G53" s="5">
        <v>0.84599999999999997</v>
      </c>
      <c r="H53" s="5">
        <v>0.70699999999999996</v>
      </c>
      <c r="I53" s="5">
        <v>0.77</v>
      </c>
      <c r="J53" s="5">
        <v>0.75900000000000001</v>
      </c>
      <c r="K53" s="5">
        <v>0.52100000000000002</v>
      </c>
      <c r="L53" s="5">
        <v>0.84</v>
      </c>
      <c r="M53" s="5">
        <v>0.67800000000000005</v>
      </c>
      <c r="N53" s="5">
        <v>0.75</v>
      </c>
      <c r="O53" s="5">
        <v>10.8114020824432</v>
      </c>
      <c r="P53" t="str">
        <f t="shared" si="0"/>
        <v>ft30_AdamW_finloop.pt</v>
      </c>
    </row>
    <row r="54" spans="1:16">
      <c r="A54" t="s">
        <v>86</v>
      </c>
      <c r="B54" t="s">
        <v>78</v>
      </c>
      <c r="C54" t="s">
        <v>120</v>
      </c>
      <c r="D54" t="s">
        <v>82</v>
      </c>
      <c r="E54">
        <v>661</v>
      </c>
      <c r="F54">
        <v>2767</v>
      </c>
      <c r="G54" s="5">
        <v>0.56899999999999995</v>
      </c>
      <c r="H54" s="5">
        <v>0.46200000000000002</v>
      </c>
      <c r="I54" s="5">
        <v>0.51</v>
      </c>
      <c r="J54" s="5">
        <v>0.46300000000000002</v>
      </c>
      <c r="K54" s="5">
        <v>0.30599999999999999</v>
      </c>
      <c r="L54" s="5">
        <v>0.55100000000000005</v>
      </c>
      <c r="M54" s="5">
        <v>0.45300000000000001</v>
      </c>
      <c r="N54" s="5">
        <v>0.497</v>
      </c>
      <c r="O54" s="5">
        <v>13.4606070518493</v>
      </c>
      <c r="P54" t="str">
        <f t="shared" si="0"/>
        <v>ft30_SGD</v>
      </c>
    </row>
    <row r="55" spans="1:16">
      <c r="A55" t="s">
        <v>86</v>
      </c>
      <c r="B55" t="s">
        <v>78</v>
      </c>
      <c r="C55" t="s">
        <v>121</v>
      </c>
      <c r="D55" t="s">
        <v>82</v>
      </c>
      <c r="E55">
        <v>661</v>
      </c>
      <c r="F55">
        <v>2767</v>
      </c>
      <c r="G55" s="5">
        <v>0.876</v>
      </c>
      <c r="H55" s="5">
        <v>0.74299999999999999</v>
      </c>
      <c r="I55" s="5">
        <v>0.80400000000000005</v>
      </c>
      <c r="J55" s="5">
        <v>0.79100000000000004</v>
      </c>
      <c r="K55" s="5">
        <v>0.55200000000000005</v>
      </c>
      <c r="L55" s="5">
        <v>0.872</v>
      </c>
      <c r="M55" s="5">
        <v>0.70899999999999996</v>
      </c>
      <c r="N55" s="5">
        <v>0.78200000000000003</v>
      </c>
      <c r="O55" s="5">
        <v>10.643692255020101</v>
      </c>
      <c r="P55" t="str">
        <f t="shared" si="0"/>
        <v>ft30_SGD_finloop.pt</v>
      </c>
    </row>
    <row r="56" spans="1:16">
      <c r="A56" t="s">
        <v>86</v>
      </c>
      <c r="B56" t="s">
        <v>78</v>
      </c>
      <c r="C56" t="s">
        <v>122</v>
      </c>
      <c r="D56" t="s">
        <v>82</v>
      </c>
      <c r="E56">
        <v>661</v>
      </c>
      <c r="F56">
        <v>2767</v>
      </c>
      <c r="G56" s="5">
        <v>0.69399999999999995</v>
      </c>
      <c r="H56" s="5">
        <v>0.47499999999999998</v>
      </c>
      <c r="I56" s="5">
        <v>0.56399999999999995</v>
      </c>
      <c r="J56" s="5">
        <v>0.501</v>
      </c>
      <c r="K56" s="5">
        <v>0.32200000000000001</v>
      </c>
      <c r="L56" s="5">
        <v>0.67700000000000005</v>
      </c>
      <c r="M56" s="5">
        <v>0.46200000000000002</v>
      </c>
      <c r="N56" s="5">
        <v>0.54900000000000004</v>
      </c>
      <c r="O56" s="5">
        <v>12.9583203792572</v>
      </c>
      <c r="P56" t="str">
        <f t="shared" si="0"/>
        <v>ft31_AdamW</v>
      </c>
    </row>
    <row r="57" spans="1:16">
      <c r="A57" t="s">
        <v>86</v>
      </c>
      <c r="B57" t="s">
        <v>78</v>
      </c>
      <c r="C57" t="s">
        <v>123</v>
      </c>
      <c r="D57" t="s">
        <v>82</v>
      </c>
      <c r="E57">
        <v>661</v>
      </c>
      <c r="F57">
        <v>2767</v>
      </c>
      <c r="G57" s="5">
        <v>0.83399999999999996</v>
      </c>
      <c r="H57" s="5">
        <v>0.71699999999999997</v>
      </c>
      <c r="I57" s="5">
        <v>0.77100000000000002</v>
      </c>
      <c r="J57" s="5">
        <v>0.75600000000000001</v>
      </c>
      <c r="K57" s="5">
        <v>0.51900000000000002</v>
      </c>
      <c r="L57" s="5">
        <v>0.83099999999999996</v>
      </c>
      <c r="M57" s="5">
        <v>0.68500000000000005</v>
      </c>
      <c r="N57" s="5">
        <v>0.751</v>
      </c>
      <c r="O57" s="5">
        <v>10.8305430412292</v>
      </c>
      <c r="P57" t="str">
        <f t="shared" si="0"/>
        <v>ft31_AdamW_finloop.pt</v>
      </c>
    </row>
    <row r="58" spans="1:16">
      <c r="A58" t="s">
        <v>86</v>
      </c>
      <c r="B58" t="s">
        <v>78</v>
      </c>
      <c r="C58" t="s">
        <v>124</v>
      </c>
      <c r="D58" t="s">
        <v>82</v>
      </c>
      <c r="E58">
        <v>661</v>
      </c>
      <c r="F58">
        <v>2767</v>
      </c>
      <c r="G58" s="5">
        <v>0.6</v>
      </c>
      <c r="H58" s="5">
        <v>0.45700000000000002</v>
      </c>
      <c r="I58" s="5">
        <v>0.51900000000000002</v>
      </c>
      <c r="J58" s="5">
        <v>0.47199999999999998</v>
      </c>
      <c r="K58" s="5">
        <v>0.311</v>
      </c>
      <c r="L58" s="5">
        <v>0.58199999999999996</v>
      </c>
      <c r="M58" s="5">
        <v>0.44700000000000001</v>
      </c>
      <c r="N58" s="5">
        <v>0.50600000000000001</v>
      </c>
      <c r="O58" s="5">
        <v>13.3987884521484</v>
      </c>
      <c r="P58" t="str">
        <f t="shared" si="0"/>
        <v>ft31_SGD</v>
      </c>
    </row>
    <row r="59" spans="1:16">
      <c r="A59" t="s">
        <v>86</v>
      </c>
      <c r="B59" t="s">
        <v>78</v>
      </c>
      <c r="C59" t="s">
        <v>125</v>
      </c>
      <c r="D59" t="s">
        <v>82</v>
      </c>
      <c r="E59">
        <v>661</v>
      </c>
      <c r="F59">
        <v>2767</v>
      </c>
      <c r="G59" s="5">
        <v>0.871</v>
      </c>
      <c r="H59" s="5">
        <v>0.747</v>
      </c>
      <c r="I59" s="5">
        <v>0.80400000000000005</v>
      </c>
      <c r="J59" s="5">
        <v>0.79200000000000004</v>
      </c>
      <c r="K59" s="5">
        <v>0.55300000000000005</v>
      </c>
      <c r="L59" s="5">
        <v>0.88400000000000001</v>
      </c>
      <c r="M59" s="5">
        <v>0.7</v>
      </c>
      <c r="N59" s="5">
        <v>0.78200000000000003</v>
      </c>
      <c r="O59" s="5">
        <v>10.864948749542201</v>
      </c>
      <c r="P59" t="str">
        <f t="shared" si="0"/>
        <v>ft31_SGD_finloop.pt</v>
      </c>
    </row>
    <row r="60" spans="1:16">
      <c r="A60" t="s">
        <v>86</v>
      </c>
      <c r="B60" t="s">
        <v>78</v>
      </c>
      <c r="C60" t="s">
        <v>126</v>
      </c>
      <c r="D60" t="s">
        <v>82</v>
      </c>
      <c r="E60">
        <v>661</v>
      </c>
      <c r="F60">
        <v>2767</v>
      </c>
      <c r="G60" s="5">
        <v>0.66</v>
      </c>
      <c r="H60" s="5">
        <v>0.47</v>
      </c>
      <c r="I60" s="5">
        <v>0.54900000000000004</v>
      </c>
      <c r="J60" s="5">
        <v>0.47799999999999998</v>
      </c>
      <c r="K60" s="5">
        <v>0.30599999999999999</v>
      </c>
      <c r="L60" s="5">
        <v>0.63700000000000001</v>
      </c>
      <c r="M60" s="5">
        <v>0.45300000000000001</v>
      </c>
      <c r="N60" s="5">
        <v>0.52900000000000003</v>
      </c>
      <c r="O60" s="5">
        <v>12.838976621627801</v>
      </c>
      <c r="P60" t="str">
        <f t="shared" si="0"/>
        <v>ft32_AdamW</v>
      </c>
    </row>
    <row r="61" spans="1:16">
      <c r="A61" t="s">
        <v>86</v>
      </c>
      <c r="B61" t="s">
        <v>78</v>
      </c>
      <c r="C61" t="s">
        <v>127</v>
      </c>
      <c r="D61" t="s">
        <v>82</v>
      </c>
      <c r="E61">
        <v>661</v>
      </c>
      <c r="F61">
        <v>2767</v>
      </c>
      <c r="G61" s="5">
        <v>0.82799999999999996</v>
      </c>
      <c r="H61" s="5">
        <v>0.68</v>
      </c>
      <c r="I61" s="5">
        <v>0.747</v>
      </c>
      <c r="J61" s="5">
        <v>0.73</v>
      </c>
      <c r="K61" s="5">
        <v>0.49199999999999999</v>
      </c>
      <c r="L61" s="5">
        <v>0.81100000000000005</v>
      </c>
      <c r="M61" s="5">
        <v>0.65500000000000003</v>
      </c>
      <c r="N61" s="5">
        <v>0.72499999999999998</v>
      </c>
      <c r="O61" s="5">
        <v>10.693361520767199</v>
      </c>
      <c r="P61" t="str">
        <f t="shared" si="0"/>
        <v>ft32_AdamW_finloop.pt</v>
      </c>
    </row>
    <row r="62" spans="1:16">
      <c r="A62" t="s">
        <v>86</v>
      </c>
      <c r="B62" t="s">
        <v>78</v>
      </c>
      <c r="C62" t="s">
        <v>128</v>
      </c>
      <c r="D62" t="s">
        <v>82</v>
      </c>
      <c r="E62">
        <v>661</v>
      </c>
      <c r="F62">
        <v>2767</v>
      </c>
      <c r="G62" s="5">
        <v>0.56799999999999995</v>
      </c>
      <c r="H62" s="5">
        <v>0.442</v>
      </c>
      <c r="I62" s="5">
        <v>0.497</v>
      </c>
      <c r="J62" s="5">
        <v>0.44400000000000001</v>
      </c>
      <c r="K62" s="5">
        <v>0.28999999999999998</v>
      </c>
      <c r="L62" s="5">
        <v>0.54800000000000004</v>
      </c>
      <c r="M62" s="5">
        <v>0.42799999999999999</v>
      </c>
      <c r="N62" s="5">
        <v>0.48099999999999998</v>
      </c>
      <c r="O62" s="5">
        <v>13.1854224205017</v>
      </c>
      <c r="P62" t="str">
        <f t="shared" si="0"/>
        <v>ft32_SGD</v>
      </c>
    </row>
    <row r="63" spans="1:16">
      <c r="A63" t="s">
        <v>86</v>
      </c>
      <c r="B63" t="s">
        <v>78</v>
      </c>
      <c r="C63" t="s">
        <v>129</v>
      </c>
      <c r="D63" t="s">
        <v>82</v>
      </c>
      <c r="E63">
        <v>661</v>
      </c>
      <c r="F63">
        <v>2767</v>
      </c>
      <c r="G63" s="5">
        <v>0.876</v>
      </c>
      <c r="H63" s="5">
        <v>0.73099999999999998</v>
      </c>
      <c r="I63" s="5">
        <v>0.79700000000000004</v>
      </c>
      <c r="J63" s="5">
        <v>0.78600000000000003</v>
      </c>
      <c r="K63" s="5">
        <v>0.54200000000000004</v>
      </c>
      <c r="L63" s="5">
        <v>0.86</v>
      </c>
      <c r="M63" s="5">
        <v>0.70399999999999996</v>
      </c>
      <c r="N63" s="5">
        <v>0.77400000000000002</v>
      </c>
      <c r="O63" s="5">
        <v>10.9110097885131</v>
      </c>
      <c r="P63" t="str">
        <f t="shared" si="0"/>
        <v>ft32_SGD_finloop.pt</v>
      </c>
    </row>
    <row r="64" spans="1:16">
      <c r="A64" t="s">
        <v>86</v>
      </c>
      <c r="B64" t="s">
        <v>78</v>
      </c>
      <c r="C64" t="s">
        <v>130</v>
      </c>
      <c r="D64" t="s">
        <v>82</v>
      </c>
      <c r="E64">
        <v>661</v>
      </c>
      <c r="F64">
        <v>2767</v>
      </c>
      <c r="G64" s="5">
        <v>0.69599999999999995</v>
      </c>
      <c r="H64" s="5">
        <v>0.47499999999999998</v>
      </c>
      <c r="I64" s="5">
        <v>0.56399999999999995</v>
      </c>
      <c r="J64" s="5">
        <v>0.50600000000000001</v>
      </c>
      <c r="K64" s="5">
        <v>0.33500000000000002</v>
      </c>
      <c r="L64" s="5">
        <v>0.66800000000000004</v>
      </c>
      <c r="M64" s="5">
        <v>0.47199999999999998</v>
      </c>
      <c r="N64" s="5">
        <v>0.55300000000000005</v>
      </c>
      <c r="O64" s="5">
        <v>12.3365452289581</v>
      </c>
      <c r="P64" t="str">
        <f t="shared" si="0"/>
        <v>ft33_AdamW</v>
      </c>
    </row>
    <row r="65" spans="1:16">
      <c r="A65" t="s">
        <v>86</v>
      </c>
      <c r="B65" t="s">
        <v>78</v>
      </c>
      <c r="C65" t="s">
        <v>131</v>
      </c>
      <c r="D65" t="s">
        <v>82</v>
      </c>
      <c r="E65">
        <v>661</v>
      </c>
      <c r="F65">
        <v>2767</v>
      </c>
      <c r="G65" s="5">
        <v>0.86099999999999999</v>
      </c>
      <c r="H65" s="5">
        <v>0.72799999999999998</v>
      </c>
      <c r="I65" s="5">
        <v>0.78900000000000003</v>
      </c>
      <c r="J65" s="5">
        <v>0.77600000000000002</v>
      </c>
      <c r="K65" s="5">
        <v>0.54900000000000004</v>
      </c>
      <c r="L65" s="5">
        <v>0.86599999999999999</v>
      </c>
      <c r="M65" s="5">
        <v>0.68300000000000005</v>
      </c>
      <c r="N65" s="5">
        <v>0.76400000000000001</v>
      </c>
      <c r="O65" s="5">
        <v>10.556018352508501</v>
      </c>
      <c r="P65" t="str">
        <f t="shared" si="0"/>
        <v>ft33_AdamW_finloop.pt</v>
      </c>
    </row>
    <row r="66" spans="1:16">
      <c r="A66" t="s">
        <v>86</v>
      </c>
      <c r="B66" t="s">
        <v>78</v>
      </c>
      <c r="C66" t="s">
        <v>132</v>
      </c>
      <c r="D66" t="s">
        <v>82</v>
      </c>
      <c r="E66">
        <v>661</v>
      </c>
      <c r="F66">
        <v>2767</v>
      </c>
      <c r="G66" s="5">
        <v>0.58899999999999997</v>
      </c>
      <c r="H66" s="5">
        <v>0.47799999999999998</v>
      </c>
      <c r="I66" s="5">
        <v>0.52800000000000002</v>
      </c>
      <c r="J66" s="5">
        <v>0.48199999999999998</v>
      </c>
      <c r="K66" s="5">
        <v>0.31900000000000001</v>
      </c>
      <c r="L66" s="5">
        <v>0.57299999999999995</v>
      </c>
      <c r="M66" s="5">
        <v>0.46500000000000002</v>
      </c>
      <c r="N66" s="5">
        <v>0.51400000000000001</v>
      </c>
      <c r="O66" s="5">
        <v>12.935642004012999</v>
      </c>
      <c r="P66" t="str">
        <f t="shared" ref="P66:P129" si="1">C66</f>
        <v>ft33_SGD</v>
      </c>
    </row>
    <row r="67" spans="1:16" s="7" customFormat="1">
      <c r="A67" s="7" t="s">
        <v>86</v>
      </c>
      <c r="B67" s="7" t="s">
        <v>78</v>
      </c>
      <c r="C67" s="7" t="s">
        <v>133</v>
      </c>
      <c r="D67" s="7" t="s">
        <v>82</v>
      </c>
      <c r="E67" s="7">
        <v>661</v>
      </c>
      <c r="F67" s="7">
        <v>2767</v>
      </c>
      <c r="G67" s="10">
        <v>0.877</v>
      </c>
      <c r="H67" s="10">
        <v>0.755</v>
      </c>
      <c r="I67" s="10">
        <v>0.81100000000000005</v>
      </c>
      <c r="J67" s="10">
        <v>0.79600000000000004</v>
      </c>
      <c r="K67" s="10">
        <v>0.56200000000000006</v>
      </c>
      <c r="L67" s="10">
        <v>0.89400000000000002</v>
      </c>
      <c r="M67" s="10">
        <v>0.70699999999999996</v>
      </c>
      <c r="N67" s="10">
        <v>0.78900000000000003</v>
      </c>
      <c r="O67" s="10">
        <v>11.0025310516357</v>
      </c>
      <c r="P67" s="7" t="str">
        <f t="shared" si="1"/>
        <v>ft33_SGD_finloop.pt</v>
      </c>
    </row>
    <row r="68" spans="1:16">
      <c r="A68" t="s">
        <v>86</v>
      </c>
      <c r="B68" t="s">
        <v>88</v>
      </c>
      <c r="C68" t="s">
        <v>79</v>
      </c>
      <c r="D68" t="s">
        <v>80</v>
      </c>
      <c r="E68">
        <v>435</v>
      </c>
      <c r="F68">
        <v>1692</v>
      </c>
      <c r="G68" s="5">
        <v>0.92</v>
      </c>
      <c r="H68" s="5">
        <v>0.89500000000000002</v>
      </c>
      <c r="I68" s="5">
        <v>0.90700000000000003</v>
      </c>
      <c r="J68" s="5">
        <v>0.92900000000000005</v>
      </c>
      <c r="K68" s="5">
        <v>0.65700000000000003</v>
      </c>
      <c r="L68" s="5">
        <v>0.86099999999999999</v>
      </c>
      <c r="M68" s="5">
        <v>0.83899999999999997</v>
      </c>
      <c r="N68" s="5">
        <v>0.85</v>
      </c>
      <c r="O68" s="5">
        <v>14.900458574295</v>
      </c>
      <c r="P68" t="str">
        <f t="shared" si="1"/>
        <v>finloop</v>
      </c>
    </row>
    <row r="69" spans="1:16">
      <c r="A69" t="s">
        <v>86</v>
      </c>
      <c r="B69" t="s">
        <v>88</v>
      </c>
      <c r="C69" t="s">
        <v>81</v>
      </c>
      <c r="D69" t="s">
        <v>82</v>
      </c>
      <c r="E69">
        <v>435</v>
      </c>
      <c r="F69">
        <v>1692</v>
      </c>
      <c r="G69" s="5">
        <v>0.90600000000000003</v>
      </c>
      <c r="H69" s="5">
        <v>0.83699999999999997</v>
      </c>
      <c r="I69" s="5">
        <v>0.87</v>
      </c>
      <c r="J69" s="5">
        <v>0.91700000000000004</v>
      </c>
      <c r="K69" s="5">
        <v>0.68799999999999994</v>
      </c>
      <c r="L69" s="5">
        <v>0.88400000000000001</v>
      </c>
      <c r="M69" s="5">
        <v>0.79700000000000004</v>
      </c>
      <c r="N69" s="5">
        <v>0.83799999999999997</v>
      </c>
      <c r="O69" s="5">
        <v>10.8905172348022</v>
      </c>
      <c r="P69" t="str">
        <f t="shared" si="1"/>
        <v>ft21SGD</v>
      </c>
    </row>
    <row r="70" spans="1:16">
      <c r="A70" t="s">
        <v>86</v>
      </c>
      <c r="B70" t="s">
        <v>88</v>
      </c>
      <c r="C70" t="s">
        <v>114</v>
      </c>
      <c r="D70" t="s">
        <v>82</v>
      </c>
      <c r="E70">
        <v>435</v>
      </c>
      <c r="F70">
        <v>1692</v>
      </c>
      <c r="G70" s="5">
        <v>0.91700000000000004</v>
      </c>
      <c r="H70" s="5">
        <v>0.86799999999999999</v>
      </c>
      <c r="I70" s="5">
        <v>0.89200000000000002</v>
      </c>
      <c r="J70" s="5">
        <v>0.92900000000000005</v>
      </c>
      <c r="K70" s="5">
        <v>0.71399999999999997</v>
      </c>
      <c r="L70" s="5">
        <v>0.89200000000000002</v>
      </c>
      <c r="M70" s="5">
        <v>0.81699999999999995</v>
      </c>
      <c r="N70" s="5">
        <v>0.85299999999999998</v>
      </c>
      <c r="O70" s="5">
        <v>10.8516364097595</v>
      </c>
      <c r="P70" t="str">
        <f t="shared" si="1"/>
        <v>ft29_AdamW</v>
      </c>
    </row>
    <row r="71" spans="1:16">
      <c r="A71" t="s">
        <v>86</v>
      </c>
      <c r="B71" t="s">
        <v>88</v>
      </c>
      <c r="C71" t="s">
        <v>115</v>
      </c>
      <c r="D71" t="s">
        <v>82</v>
      </c>
      <c r="E71">
        <v>435</v>
      </c>
      <c r="F71">
        <v>1692</v>
      </c>
      <c r="G71" s="5">
        <v>0.93899999999999995</v>
      </c>
      <c r="H71" s="5">
        <v>0.89</v>
      </c>
      <c r="I71" s="5">
        <v>0.91400000000000003</v>
      </c>
      <c r="J71" s="5">
        <v>0.95</v>
      </c>
      <c r="K71" s="5">
        <v>0.72399999999999998</v>
      </c>
      <c r="L71" s="5">
        <v>0.88900000000000001</v>
      </c>
      <c r="M71" s="5">
        <v>0.84</v>
      </c>
      <c r="N71" s="5">
        <v>0.86399999999999999</v>
      </c>
      <c r="O71" s="5">
        <v>9.6999270915985107</v>
      </c>
      <c r="P71" t="str">
        <f t="shared" si="1"/>
        <v>ft29_AdamW_finloop.pt</v>
      </c>
    </row>
    <row r="72" spans="1:16">
      <c r="A72" t="s">
        <v>86</v>
      </c>
      <c r="B72" t="s">
        <v>88</v>
      </c>
      <c r="C72" t="s">
        <v>116</v>
      </c>
      <c r="D72" t="s">
        <v>82</v>
      </c>
      <c r="E72">
        <v>435</v>
      </c>
      <c r="F72">
        <v>1692</v>
      </c>
      <c r="G72" s="5">
        <v>0.79200000000000004</v>
      </c>
      <c r="H72" s="5">
        <v>0.67700000000000005</v>
      </c>
      <c r="I72" s="5">
        <v>0.73</v>
      </c>
      <c r="J72" s="5">
        <v>0.76300000000000001</v>
      </c>
      <c r="K72" s="5">
        <v>0.53900000000000003</v>
      </c>
      <c r="L72" s="5">
        <v>0.79100000000000004</v>
      </c>
      <c r="M72" s="5">
        <v>0.64800000000000002</v>
      </c>
      <c r="N72" s="5">
        <v>0.71299999999999997</v>
      </c>
      <c r="O72" s="5">
        <v>11.318921804428101</v>
      </c>
      <c r="P72" t="str">
        <f t="shared" si="1"/>
        <v>ft29_SGD</v>
      </c>
    </row>
    <row r="73" spans="1:16">
      <c r="A73" t="s">
        <v>86</v>
      </c>
      <c r="B73" t="s">
        <v>88</v>
      </c>
      <c r="C73" t="s">
        <v>117</v>
      </c>
      <c r="D73" t="s">
        <v>82</v>
      </c>
      <c r="E73">
        <v>435</v>
      </c>
      <c r="F73">
        <v>1692</v>
      </c>
      <c r="G73" s="5">
        <v>0.90100000000000002</v>
      </c>
      <c r="H73" s="5">
        <v>0.89200000000000002</v>
      </c>
      <c r="I73" s="5">
        <v>0.89700000000000002</v>
      </c>
      <c r="J73" s="5">
        <v>0.92500000000000004</v>
      </c>
      <c r="K73" s="5">
        <v>0.67</v>
      </c>
      <c r="L73" s="5">
        <v>0.876</v>
      </c>
      <c r="M73" s="5">
        <v>0.83499999999999996</v>
      </c>
      <c r="N73" s="5">
        <v>0.85499999999999998</v>
      </c>
      <c r="O73" s="5">
        <v>9.4108791351318306</v>
      </c>
      <c r="P73" t="str">
        <f t="shared" si="1"/>
        <v>ft29_SGD_finloop.pt</v>
      </c>
    </row>
    <row r="74" spans="1:16">
      <c r="A74" t="s">
        <v>86</v>
      </c>
      <c r="B74" t="s">
        <v>88</v>
      </c>
      <c r="C74" t="s">
        <v>118</v>
      </c>
      <c r="D74" t="s">
        <v>82</v>
      </c>
      <c r="E74">
        <v>435</v>
      </c>
      <c r="F74">
        <v>1692</v>
      </c>
      <c r="G74" s="5">
        <v>0.91600000000000004</v>
      </c>
      <c r="H74" s="5">
        <v>0.80700000000000005</v>
      </c>
      <c r="I74" s="5">
        <v>0.85799999999999998</v>
      </c>
      <c r="J74" s="5">
        <v>0.90800000000000003</v>
      </c>
      <c r="K74" s="5">
        <v>0.67600000000000005</v>
      </c>
      <c r="L74" s="5">
        <v>0.91</v>
      </c>
      <c r="M74" s="5">
        <v>0.79100000000000004</v>
      </c>
      <c r="N74" s="5">
        <v>0.84599999999999997</v>
      </c>
      <c r="O74" s="5">
        <v>10.6884834766387</v>
      </c>
      <c r="P74" t="str">
        <f t="shared" si="1"/>
        <v>ft30_AdamW</v>
      </c>
    </row>
    <row r="75" spans="1:16">
      <c r="A75" t="s">
        <v>86</v>
      </c>
      <c r="B75" t="s">
        <v>88</v>
      </c>
      <c r="C75" t="s">
        <v>119</v>
      </c>
      <c r="D75" t="s">
        <v>82</v>
      </c>
      <c r="E75">
        <v>435</v>
      </c>
      <c r="F75">
        <v>1692</v>
      </c>
      <c r="G75" s="5">
        <v>0.91700000000000004</v>
      </c>
      <c r="H75" s="5">
        <v>0.88400000000000001</v>
      </c>
      <c r="I75" s="5">
        <v>0.9</v>
      </c>
      <c r="J75" s="5">
        <v>0.93899999999999995</v>
      </c>
      <c r="K75" s="5">
        <v>0.69499999999999995</v>
      </c>
      <c r="L75" s="5">
        <v>0.90100000000000002</v>
      </c>
      <c r="M75" s="5">
        <v>0.84199999999999997</v>
      </c>
      <c r="N75" s="5">
        <v>0.871</v>
      </c>
      <c r="O75" s="5">
        <v>9.5424385070800692</v>
      </c>
      <c r="P75" t="str">
        <f t="shared" si="1"/>
        <v>ft30_AdamW_finloop.pt</v>
      </c>
    </row>
    <row r="76" spans="1:16">
      <c r="A76" t="s">
        <v>86</v>
      </c>
      <c r="B76" t="s">
        <v>88</v>
      </c>
      <c r="C76" t="s">
        <v>120</v>
      </c>
      <c r="D76" t="s">
        <v>82</v>
      </c>
      <c r="E76">
        <v>435</v>
      </c>
      <c r="F76">
        <v>1692</v>
      </c>
      <c r="G76" s="5">
        <v>0.747</v>
      </c>
      <c r="H76" s="5">
        <v>0.58699999999999997</v>
      </c>
      <c r="I76" s="5">
        <v>0.65700000000000003</v>
      </c>
      <c r="J76" s="5">
        <v>0.67700000000000005</v>
      </c>
      <c r="K76" s="5">
        <v>0.46600000000000003</v>
      </c>
      <c r="L76" s="5">
        <v>0.76100000000000001</v>
      </c>
      <c r="M76" s="5">
        <v>0.56299999999999994</v>
      </c>
      <c r="N76" s="5">
        <v>0.64700000000000002</v>
      </c>
      <c r="O76" s="5">
        <v>11.302794218063299</v>
      </c>
      <c r="P76" t="str">
        <f t="shared" si="1"/>
        <v>ft30_SGD</v>
      </c>
    </row>
    <row r="77" spans="1:16">
      <c r="A77" t="s">
        <v>86</v>
      </c>
      <c r="B77" t="s">
        <v>88</v>
      </c>
      <c r="C77" t="s">
        <v>121</v>
      </c>
      <c r="D77" t="s">
        <v>82</v>
      </c>
      <c r="E77">
        <v>435</v>
      </c>
      <c r="F77">
        <v>1692</v>
      </c>
      <c r="G77" s="5">
        <v>0.9</v>
      </c>
      <c r="H77" s="5">
        <v>0.876</v>
      </c>
      <c r="I77" s="5">
        <v>0.88800000000000001</v>
      </c>
      <c r="J77" s="5">
        <v>0.91800000000000004</v>
      </c>
      <c r="K77" s="5">
        <v>0.65700000000000003</v>
      </c>
      <c r="L77" s="5">
        <v>0.86799999999999999</v>
      </c>
      <c r="M77" s="5">
        <v>0.83</v>
      </c>
      <c r="N77" s="5">
        <v>0.84899999999999998</v>
      </c>
      <c r="O77" s="5">
        <v>9.5472555160522408</v>
      </c>
      <c r="P77" t="str">
        <f t="shared" si="1"/>
        <v>ft30_SGD_finloop.pt</v>
      </c>
    </row>
    <row r="78" spans="1:16">
      <c r="A78" t="s">
        <v>86</v>
      </c>
      <c r="B78" t="s">
        <v>88</v>
      </c>
      <c r="C78" t="s">
        <v>122</v>
      </c>
      <c r="D78" t="s">
        <v>82</v>
      </c>
      <c r="E78">
        <v>435</v>
      </c>
      <c r="F78">
        <v>1692</v>
      </c>
      <c r="G78" s="5">
        <v>0.92</v>
      </c>
      <c r="H78" s="5">
        <v>0.83</v>
      </c>
      <c r="I78" s="5">
        <v>0.873</v>
      </c>
      <c r="J78" s="5">
        <v>0.92</v>
      </c>
      <c r="K78" s="5">
        <v>0.69399999999999995</v>
      </c>
      <c r="L78" s="5">
        <v>0.9</v>
      </c>
      <c r="M78" s="5">
        <v>0.80500000000000005</v>
      </c>
      <c r="N78" s="5">
        <v>0.85</v>
      </c>
      <c r="O78" s="5">
        <v>11.091284036636299</v>
      </c>
      <c r="P78" t="str">
        <f t="shared" si="1"/>
        <v>ft31_AdamW</v>
      </c>
    </row>
    <row r="79" spans="1:16">
      <c r="A79" t="s">
        <v>86</v>
      </c>
      <c r="B79" t="s">
        <v>88</v>
      </c>
      <c r="C79" t="s">
        <v>123</v>
      </c>
      <c r="D79" t="s">
        <v>82</v>
      </c>
      <c r="E79">
        <v>435</v>
      </c>
      <c r="F79">
        <v>1692</v>
      </c>
      <c r="G79" s="5">
        <v>0.91800000000000004</v>
      </c>
      <c r="H79" s="5">
        <v>0.88500000000000001</v>
      </c>
      <c r="I79" s="5">
        <v>0.90100000000000002</v>
      </c>
      <c r="J79" s="5">
        <v>0.94099999999999995</v>
      </c>
      <c r="K79" s="5">
        <v>0.70099999999999996</v>
      </c>
      <c r="L79" s="5">
        <v>0.91100000000000003</v>
      </c>
      <c r="M79" s="5">
        <v>0.83599999999999997</v>
      </c>
      <c r="N79" s="5">
        <v>0.872</v>
      </c>
      <c r="O79" s="5">
        <v>9.4260005950927699</v>
      </c>
      <c r="P79" t="str">
        <f t="shared" si="1"/>
        <v>ft31_AdamW_finloop.pt</v>
      </c>
    </row>
    <row r="80" spans="1:16">
      <c r="A80" t="s">
        <v>86</v>
      </c>
      <c r="B80" t="s">
        <v>88</v>
      </c>
      <c r="C80" t="s">
        <v>124</v>
      </c>
      <c r="D80" t="s">
        <v>82</v>
      </c>
      <c r="E80">
        <v>435</v>
      </c>
      <c r="F80">
        <v>1692</v>
      </c>
      <c r="G80" s="5">
        <v>0.754</v>
      </c>
      <c r="H80" s="5">
        <v>0.61299999999999999</v>
      </c>
      <c r="I80" s="5">
        <v>0.67600000000000005</v>
      </c>
      <c r="J80" s="5">
        <v>0.69399999999999995</v>
      </c>
      <c r="K80" s="5">
        <v>0.48099999999999998</v>
      </c>
      <c r="L80" s="5">
        <v>0.74199999999999999</v>
      </c>
      <c r="M80" s="5">
        <v>0.59599999999999997</v>
      </c>
      <c r="N80" s="5">
        <v>0.66100000000000003</v>
      </c>
      <c r="O80" s="5">
        <v>11.5064842700958</v>
      </c>
      <c r="P80" t="str">
        <f t="shared" si="1"/>
        <v>ft31_SGD</v>
      </c>
    </row>
    <row r="81" spans="1:16">
      <c r="A81" t="s">
        <v>86</v>
      </c>
      <c r="B81" t="s">
        <v>88</v>
      </c>
      <c r="C81" t="s">
        <v>125</v>
      </c>
      <c r="D81" t="s">
        <v>82</v>
      </c>
      <c r="E81">
        <v>435</v>
      </c>
      <c r="F81">
        <v>1692</v>
      </c>
      <c r="G81" s="5">
        <v>0.90600000000000003</v>
      </c>
      <c r="H81" s="5">
        <v>0.877</v>
      </c>
      <c r="I81" s="5">
        <v>0.89100000000000001</v>
      </c>
      <c r="J81" s="5">
        <v>0.92</v>
      </c>
      <c r="K81" s="5">
        <v>0.66</v>
      </c>
      <c r="L81" s="5">
        <v>0.86199999999999999</v>
      </c>
      <c r="M81" s="5">
        <v>0.83299999999999996</v>
      </c>
      <c r="N81" s="5">
        <v>0.84699999999999998</v>
      </c>
      <c r="O81" s="5">
        <v>9.5944766998290998</v>
      </c>
      <c r="P81" t="str">
        <f t="shared" si="1"/>
        <v>ft31_SGD_finloop.pt</v>
      </c>
    </row>
    <row r="82" spans="1:16">
      <c r="A82" t="s">
        <v>86</v>
      </c>
      <c r="B82" t="s">
        <v>88</v>
      </c>
      <c r="C82" t="s">
        <v>126</v>
      </c>
      <c r="D82" t="s">
        <v>82</v>
      </c>
      <c r="E82">
        <v>435</v>
      </c>
      <c r="F82">
        <v>1692</v>
      </c>
      <c r="G82" s="5">
        <v>0.875</v>
      </c>
      <c r="H82" s="5">
        <v>0.79100000000000004</v>
      </c>
      <c r="I82" s="5">
        <v>0.83099999999999996</v>
      </c>
      <c r="J82" s="5">
        <v>0.871</v>
      </c>
      <c r="K82" s="5">
        <v>0.63900000000000001</v>
      </c>
      <c r="L82" s="5">
        <v>0.872</v>
      </c>
      <c r="M82" s="5">
        <v>0.77300000000000002</v>
      </c>
      <c r="N82" s="5">
        <v>0.81899999999999995</v>
      </c>
      <c r="O82" s="5">
        <v>11.024126052856399</v>
      </c>
      <c r="P82" t="str">
        <f t="shared" si="1"/>
        <v>ft32_AdamW</v>
      </c>
    </row>
    <row r="83" spans="1:16">
      <c r="A83" t="s">
        <v>86</v>
      </c>
      <c r="B83" t="s">
        <v>88</v>
      </c>
      <c r="C83" t="s">
        <v>127</v>
      </c>
      <c r="D83" t="s">
        <v>82</v>
      </c>
      <c r="E83">
        <v>435</v>
      </c>
      <c r="F83">
        <v>1692</v>
      </c>
      <c r="G83" s="5">
        <v>0.88300000000000001</v>
      </c>
      <c r="H83" s="5">
        <v>0.86299999999999999</v>
      </c>
      <c r="I83" s="5">
        <v>0.873</v>
      </c>
      <c r="J83" s="5">
        <v>0.92100000000000004</v>
      </c>
      <c r="K83" s="5">
        <v>0.67600000000000005</v>
      </c>
      <c r="L83" s="5">
        <v>0.88800000000000001</v>
      </c>
      <c r="M83" s="5">
        <v>0.79900000000000004</v>
      </c>
      <c r="N83" s="5">
        <v>0.84099999999999997</v>
      </c>
      <c r="O83" s="5">
        <v>9.5997016429901105</v>
      </c>
      <c r="P83" t="str">
        <f t="shared" si="1"/>
        <v>ft32_AdamW_finloop.pt</v>
      </c>
    </row>
    <row r="84" spans="1:16">
      <c r="A84" t="s">
        <v>86</v>
      </c>
      <c r="B84" t="s">
        <v>88</v>
      </c>
      <c r="C84" t="s">
        <v>128</v>
      </c>
      <c r="D84" t="s">
        <v>82</v>
      </c>
      <c r="E84">
        <v>435</v>
      </c>
      <c r="F84">
        <v>1692</v>
      </c>
      <c r="G84" s="5">
        <v>0.65800000000000003</v>
      </c>
      <c r="H84" s="5">
        <v>0.57199999999999995</v>
      </c>
      <c r="I84" s="5">
        <v>0.61199999999999999</v>
      </c>
      <c r="J84" s="5">
        <v>0.61199999999999999</v>
      </c>
      <c r="K84" s="5">
        <v>0.42299999999999999</v>
      </c>
      <c r="L84" s="5">
        <v>0.67500000000000004</v>
      </c>
      <c r="M84" s="5">
        <v>0.55500000000000005</v>
      </c>
      <c r="N84" s="5">
        <v>0.60899999999999999</v>
      </c>
      <c r="O84" s="5">
        <v>11.573613166809</v>
      </c>
      <c r="P84" t="str">
        <f t="shared" si="1"/>
        <v>ft32_SGD</v>
      </c>
    </row>
    <row r="85" spans="1:16">
      <c r="A85" t="s">
        <v>86</v>
      </c>
      <c r="B85" t="s">
        <v>88</v>
      </c>
      <c r="C85" t="s">
        <v>129</v>
      </c>
      <c r="D85" t="s">
        <v>82</v>
      </c>
      <c r="E85">
        <v>435</v>
      </c>
      <c r="F85">
        <v>1692</v>
      </c>
      <c r="G85" s="5">
        <v>0.89600000000000002</v>
      </c>
      <c r="H85" s="5">
        <v>0.87</v>
      </c>
      <c r="I85" s="5">
        <v>0.88300000000000001</v>
      </c>
      <c r="J85" s="5">
        <v>0.91500000000000004</v>
      </c>
      <c r="K85" s="5">
        <v>0.64300000000000002</v>
      </c>
      <c r="L85" s="5">
        <v>0.86199999999999999</v>
      </c>
      <c r="M85" s="5">
        <v>0.82399999999999995</v>
      </c>
      <c r="N85" s="5">
        <v>0.84299999999999997</v>
      </c>
      <c r="O85" s="5">
        <v>9.8805575370788503</v>
      </c>
      <c r="P85" t="str">
        <f t="shared" si="1"/>
        <v>ft32_SGD_finloop.pt</v>
      </c>
    </row>
    <row r="86" spans="1:16">
      <c r="A86" t="s">
        <v>86</v>
      </c>
      <c r="B86" t="s">
        <v>88</v>
      </c>
      <c r="C86" t="s">
        <v>130</v>
      </c>
      <c r="D86" t="s">
        <v>82</v>
      </c>
      <c r="E86">
        <v>435</v>
      </c>
      <c r="F86">
        <v>1692</v>
      </c>
      <c r="G86" s="5">
        <v>0.92300000000000004</v>
      </c>
      <c r="H86" s="5">
        <v>0.88200000000000001</v>
      </c>
      <c r="I86" s="5">
        <v>0.90200000000000002</v>
      </c>
      <c r="J86" s="5">
        <v>0.94299999999999995</v>
      </c>
      <c r="K86" s="5">
        <v>0.74</v>
      </c>
      <c r="L86" s="5">
        <v>0.93300000000000005</v>
      </c>
      <c r="M86" s="5">
        <v>0.82899999999999996</v>
      </c>
      <c r="N86" s="5">
        <v>0.878</v>
      </c>
      <c r="O86" s="5">
        <v>11.010465145111</v>
      </c>
      <c r="P86" t="str">
        <f t="shared" si="1"/>
        <v>ft33_AdamW</v>
      </c>
    </row>
    <row r="87" spans="1:16">
      <c r="A87" t="s">
        <v>86</v>
      </c>
      <c r="B87" t="s">
        <v>88</v>
      </c>
      <c r="C87" t="s">
        <v>131</v>
      </c>
      <c r="D87" t="s">
        <v>82</v>
      </c>
      <c r="E87">
        <v>435</v>
      </c>
      <c r="F87">
        <v>1692</v>
      </c>
      <c r="G87" s="5">
        <v>0.93700000000000006</v>
      </c>
      <c r="H87" s="5">
        <v>0.91100000000000003</v>
      </c>
      <c r="I87" s="5">
        <v>0.92400000000000004</v>
      </c>
      <c r="J87" s="5">
        <v>0.96099999999999997</v>
      </c>
      <c r="K87" s="5">
        <v>0.747</v>
      </c>
      <c r="L87" s="5">
        <v>0.90500000000000003</v>
      </c>
      <c r="M87" s="5">
        <v>0.86499999999999999</v>
      </c>
      <c r="N87" s="5">
        <v>0.88500000000000001</v>
      </c>
      <c r="O87" s="5">
        <v>9.7743999958038295</v>
      </c>
      <c r="P87" t="str">
        <f t="shared" si="1"/>
        <v>ft33_AdamW_finloop.pt</v>
      </c>
    </row>
    <row r="88" spans="1:16">
      <c r="A88" t="s">
        <v>86</v>
      </c>
      <c r="B88" t="s">
        <v>88</v>
      </c>
      <c r="C88" t="s">
        <v>132</v>
      </c>
      <c r="D88" t="s">
        <v>82</v>
      </c>
      <c r="E88">
        <v>435</v>
      </c>
      <c r="F88">
        <v>1692</v>
      </c>
      <c r="G88" s="5">
        <v>0.79100000000000004</v>
      </c>
      <c r="H88" s="5">
        <v>0.63200000000000001</v>
      </c>
      <c r="I88" s="5">
        <v>0.70299999999999996</v>
      </c>
      <c r="J88" s="5">
        <v>0.74</v>
      </c>
      <c r="K88" s="5">
        <v>0.51700000000000002</v>
      </c>
      <c r="L88" s="5">
        <v>0.76600000000000001</v>
      </c>
      <c r="M88" s="5">
        <v>0.61</v>
      </c>
      <c r="N88" s="5">
        <v>0.67900000000000005</v>
      </c>
      <c r="O88" s="5">
        <v>11.2556567192077</v>
      </c>
      <c r="P88" t="str">
        <f t="shared" si="1"/>
        <v>ft33_SGD</v>
      </c>
    </row>
    <row r="89" spans="1:16" s="7" customFormat="1">
      <c r="A89" s="7" t="s">
        <v>86</v>
      </c>
      <c r="B89" s="7" t="s">
        <v>88</v>
      </c>
      <c r="C89" s="7" t="s">
        <v>133</v>
      </c>
      <c r="D89" s="7" t="s">
        <v>82</v>
      </c>
      <c r="E89" s="7">
        <v>435</v>
      </c>
      <c r="F89" s="7">
        <v>1692</v>
      </c>
      <c r="G89" s="10">
        <v>0.91100000000000003</v>
      </c>
      <c r="H89" s="10">
        <v>0.88700000000000001</v>
      </c>
      <c r="I89" s="10">
        <v>0.89900000000000002</v>
      </c>
      <c r="J89" s="10">
        <v>0.92700000000000005</v>
      </c>
      <c r="K89" s="10">
        <v>0.67300000000000004</v>
      </c>
      <c r="L89" s="10">
        <v>0.872</v>
      </c>
      <c r="M89" s="10">
        <v>0.84199999999999997</v>
      </c>
      <c r="N89" s="10">
        <v>0.85699999999999998</v>
      </c>
      <c r="O89" s="10">
        <v>10.1489105224609</v>
      </c>
      <c r="P89" t="str">
        <f t="shared" si="1"/>
        <v>ft33_SGD_finloop.pt</v>
      </c>
    </row>
    <row r="90" spans="1:16">
      <c r="A90" s="13" t="s">
        <v>89</v>
      </c>
      <c r="B90" t="s">
        <v>87</v>
      </c>
      <c r="C90" t="s">
        <v>79</v>
      </c>
      <c r="D90" t="s">
        <v>80</v>
      </c>
      <c r="E90">
        <v>150</v>
      </c>
      <c r="F90">
        <v>374</v>
      </c>
      <c r="G90" s="5">
        <v>0.39600000000000002</v>
      </c>
      <c r="H90" s="5">
        <v>0.27500000000000002</v>
      </c>
      <c r="I90" s="5">
        <v>0.32500000000000001</v>
      </c>
      <c r="J90" s="5">
        <v>0.27300000000000002</v>
      </c>
      <c r="K90" s="5">
        <v>0.115</v>
      </c>
      <c r="L90" s="5">
        <v>0.254</v>
      </c>
      <c r="M90" s="5">
        <v>0.184</v>
      </c>
      <c r="N90" s="5">
        <v>0.214</v>
      </c>
      <c r="O90" s="5">
        <v>10.297110557556101</v>
      </c>
      <c r="P90" t="str">
        <f t="shared" si="1"/>
        <v>finloop</v>
      </c>
    </row>
    <row r="91" spans="1:16">
      <c r="A91" s="13" t="s">
        <v>89</v>
      </c>
      <c r="B91" t="s">
        <v>87</v>
      </c>
      <c r="C91" t="s">
        <v>81</v>
      </c>
      <c r="D91" t="s">
        <v>82</v>
      </c>
      <c r="E91">
        <v>150</v>
      </c>
      <c r="F91">
        <v>374</v>
      </c>
      <c r="G91" s="5">
        <v>0.42899999999999999</v>
      </c>
      <c r="H91" s="5">
        <v>0.28100000000000003</v>
      </c>
      <c r="I91" s="5">
        <v>0.33900000000000002</v>
      </c>
      <c r="J91" s="5">
        <v>0.27700000000000002</v>
      </c>
      <c r="K91" s="5">
        <v>0.13400000000000001</v>
      </c>
      <c r="L91" s="5">
        <v>0.36299999999999999</v>
      </c>
      <c r="M91" s="5">
        <v>0.251</v>
      </c>
      <c r="N91" s="5">
        <v>0.29699999999999999</v>
      </c>
      <c r="O91" s="5">
        <v>7.7247607707977197</v>
      </c>
      <c r="P91" t="str">
        <f t="shared" si="1"/>
        <v>ft21SGD</v>
      </c>
    </row>
    <row r="92" spans="1:16">
      <c r="A92" s="13" t="s">
        <v>89</v>
      </c>
      <c r="B92" t="s">
        <v>87</v>
      </c>
      <c r="C92" t="s">
        <v>114</v>
      </c>
      <c r="D92" t="s">
        <v>82</v>
      </c>
      <c r="E92">
        <v>150</v>
      </c>
      <c r="F92">
        <v>374</v>
      </c>
      <c r="G92" s="5">
        <v>0.307</v>
      </c>
      <c r="H92" s="5">
        <v>0.152</v>
      </c>
      <c r="I92" s="5">
        <v>0.20399999999999999</v>
      </c>
      <c r="J92" s="5">
        <v>0.14099999999999999</v>
      </c>
      <c r="K92" s="5">
        <v>6.2E-2</v>
      </c>
      <c r="L92" s="5">
        <v>0.23100000000000001</v>
      </c>
      <c r="M92" s="5">
        <v>0.115</v>
      </c>
      <c r="N92" s="5">
        <v>0.154</v>
      </c>
      <c r="O92" s="5">
        <v>7.0277724266052202</v>
      </c>
      <c r="P92" t="str">
        <f t="shared" si="1"/>
        <v>ft29_AdamW</v>
      </c>
    </row>
    <row r="93" spans="1:16">
      <c r="A93" s="13" t="s">
        <v>89</v>
      </c>
      <c r="B93" t="s">
        <v>87</v>
      </c>
      <c r="C93" t="s">
        <v>115</v>
      </c>
      <c r="D93" t="s">
        <v>82</v>
      </c>
      <c r="E93">
        <v>150</v>
      </c>
      <c r="F93">
        <v>374</v>
      </c>
      <c r="G93" s="5">
        <v>0.30499999999999999</v>
      </c>
      <c r="H93" s="5">
        <v>0.27800000000000002</v>
      </c>
      <c r="I93" s="5">
        <v>0.29099999999999998</v>
      </c>
      <c r="J93" s="5">
        <v>0.215</v>
      </c>
      <c r="K93" s="5">
        <v>8.3000000000000004E-2</v>
      </c>
      <c r="L93" s="5">
        <v>0.246</v>
      </c>
      <c r="M93" s="5">
        <v>0.222</v>
      </c>
      <c r="N93" s="5">
        <v>0.23300000000000001</v>
      </c>
      <c r="O93" s="5">
        <v>6.60768270492553</v>
      </c>
      <c r="P93" t="str">
        <f t="shared" si="1"/>
        <v>ft29_AdamW_finloop.pt</v>
      </c>
    </row>
    <row r="94" spans="1:16">
      <c r="A94" s="13" t="s">
        <v>89</v>
      </c>
      <c r="B94" t="s">
        <v>87</v>
      </c>
      <c r="C94" t="s">
        <v>116</v>
      </c>
      <c r="D94" t="s">
        <v>82</v>
      </c>
      <c r="E94">
        <v>150</v>
      </c>
      <c r="F94">
        <v>374</v>
      </c>
      <c r="G94" s="5">
        <v>0.36499999999999999</v>
      </c>
      <c r="H94" s="5">
        <v>0.33200000000000002</v>
      </c>
      <c r="I94" s="5">
        <v>0.34799999999999998</v>
      </c>
      <c r="J94" s="5">
        <v>0.26200000000000001</v>
      </c>
      <c r="K94" s="5">
        <v>0.122</v>
      </c>
      <c r="L94" s="5">
        <v>0.29299999999999998</v>
      </c>
      <c r="M94" s="5">
        <v>0.246</v>
      </c>
      <c r="N94" s="5">
        <v>0.26800000000000002</v>
      </c>
      <c r="O94" s="5">
        <v>8.1330540180206299</v>
      </c>
      <c r="P94" t="str">
        <f t="shared" si="1"/>
        <v>ft29_SGD</v>
      </c>
    </row>
    <row r="95" spans="1:16">
      <c r="A95" s="13" t="s">
        <v>89</v>
      </c>
      <c r="B95" t="s">
        <v>87</v>
      </c>
      <c r="C95" t="s">
        <v>117</v>
      </c>
      <c r="D95" t="s">
        <v>82</v>
      </c>
      <c r="E95">
        <v>150</v>
      </c>
      <c r="F95">
        <v>374</v>
      </c>
      <c r="G95" s="5">
        <v>0.36199999999999999</v>
      </c>
      <c r="H95" s="5">
        <v>0.31</v>
      </c>
      <c r="I95" s="5">
        <v>0.33400000000000002</v>
      </c>
      <c r="J95" s="5">
        <v>0.25700000000000001</v>
      </c>
      <c r="K95" s="5">
        <v>0.10199999999999999</v>
      </c>
      <c r="L95" s="5">
        <v>0.32500000000000001</v>
      </c>
      <c r="M95" s="5">
        <v>0.27800000000000002</v>
      </c>
      <c r="N95" s="5">
        <v>0.3</v>
      </c>
      <c r="O95" s="5">
        <v>6.9519860744476301</v>
      </c>
      <c r="P95" t="str">
        <f t="shared" si="1"/>
        <v>ft29_SGD_finloop.pt</v>
      </c>
    </row>
    <row r="96" spans="1:16">
      <c r="A96" s="13" t="s">
        <v>89</v>
      </c>
      <c r="B96" t="s">
        <v>87</v>
      </c>
      <c r="C96" t="s">
        <v>118</v>
      </c>
      <c r="D96" t="s">
        <v>82</v>
      </c>
      <c r="E96">
        <v>150</v>
      </c>
      <c r="F96">
        <v>374</v>
      </c>
      <c r="G96" s="5">
        <v>0.34</v>
      </c>
      <c r="H96" s="5">
        <v>0.20599999999999999</v>
      </c>
      <c r="I96" s="5">
        <v>0.25700000000000001</v>
      </c>
      <c r="J96" s="5">
        <v>0.16500000000000001</v>
      </c>
      <c r="K96" s="5">
        <v>6.3E-2</v>
      </c>
      <c r="L96" s="5">
        <v>0.25800000000000001</v>
      </c>
      <c r="M96" s="5">
        <v>0.126</v>
      </c>
      <c r="N96" s="5">
        <v>0.16900000000000001</v>
      </c>
      <c r="O96" s="5">
        <v>7.4841012954711896</v>
      </c>
      <c r="P96" t="str">
        <f t="shared" si="1"/>
        <v>ft30_AdamW</v>
      </c>
    </row>
    <row r="97" spans="1:16">
      <c r="A97" s="13" t="s">
        <v>89</v>
      </c>
      <c r="B97" t="s">
        <v>87</v>
      </c>
      <c r="C97" t="s">
        <v>119</v>
      </c>
      <c r="D97" t="s">
        <v>82</v>
      </c>
      <c r="E97">
        <v>150</v>
      </c>
      <c r="F97">
        <v>374</v>
      </c>
      <c r="G97" s="5">
        <v>0.40600000000000003</v>
      </c>
      <c r="H97" s="5">
        <v>0.30499999999999999</v>
      </c>
      <c r="I97" s="5">
        <v>0.34799999999999998</v>
      </c>
      <c r="J97" s="5">
        <v>0.27700000000000002</v>
      </c>
      <c r="K97" s="5">
        <v>0.11799999999999999</v>
      </c>
      <c r="L97" s="5">
        <v>0.33300000000000002</v>
      </c>
      <c r="M97" s="5">
        <v>0.253</v>
      </c>
      <c r="N97" s="5">
        <v>0.28799999999999998</v>
      </c>
      <c r="O97" s="5">
        <v>6.6648585796356201</v>
      </c>
      <c r="P97" t="str">
        <f t="shared" si="1"/>
        <v>ft30_AdamW_finloop.pt</v>
      </c>
    </row>
    <row r="98" spans="1:16">
      <c r="A98" s="13" t="s">
        <v>89</v>
      </c>
      <c r="B98" t="s">
        <v>87</v>
      </c>
      <c r="C98" t="s">
        <v>120</v>
      </c>
      <c r="D98" t="s">
        <v>82</v>
      </c>
      <c r="E98">
        <v>150</v>
      </c>
      <c r="F98">
        <v>374</v>
      </c>
      <c r="G98" s="5">
        <v>0.33</v>
      </c>
      <c r="H98" s="5">
        <v>0.34</v>
      </c>
      <c r="I98" s="5">
        <v>0.33500000000000002</v>
      </c>
      <c r="J98" s="5">
        <v>0.26300000000000001</v>
      </c>
      <c r="K98" s="5">
        <v>0.126</v>
      </c>
      <c r="L98" s="5">
        <v>0.25700000000000001</v>
      </c>
      <c r="M98" s="5">
        <v>0.26500000000000001</v>
      </c>
      <c r="N98" s="5">
        <v>0.26100000000000001</v>
      </c>
      <c r="O98" s="5">
        <v>8.2490820884704501</v>
      </c>
      <c r="P98" t="str">
        <f t="shared" si="1"/>
        <v>ft30_SGD</v>
      </c>
    </row>
    <row r="99" spans="1:16">
      <c r="A99" s="13" t="s">
        <v>89</v>
      </c>
      <c r="B99" t="s">
        <v>87</v>
      </c>
      <c r="C99" t="s">
        <v>121</v>
      </c>
      <c r="D99" t="s">
        <v>82</v>
      </c>
      <c r="E99">
        <v>150</v>
      </c>
      <c r="F99">
        <v>374</v>
      </c>
      <c r="G99" s="5">
        <v>0.47799999999999998</v>
      </c>
      <c r="H99" s="5">
        <v>0.30499999999999999</v>
      </c>
      <c r="I99" s="5">
        <v>0.372</v>
      </c>
      <c r="J99" s="5">
        <v>0.28999999999999998</v>
      </c>
      <c r="K99" s="5">
        <v>0.112</v>
      </c>
      <c r="L99" s="5">
        <v>0.36699999999999999</v>
      </c>
      <c r="M99" s="5">
        <v>0.27800000000000002</v>
      </c>
      <c r="N99" s="5">
        <v>0.316</v>
      </c>
      <c r="O99" s="5">
        <v>7.7512433528900102</v>
      </c>
      <c r="P99" t="str">
        <f t="shared" si="1"/>
        <v>ft30_SGD_finloop.pt</v>
      </c>
    </row>
    <row r="100" spans="1:16">
      <c r="A100" s="13" t="s">
        <v>89</v>
      </c>
      <c r="B100" t="s">
        <v>87</v>
      </c>
      <c r="C100" t="s">
        <v>122</v>
      </c>
      <c r="D100" t="s">
        <v>82</v>
      </c>
      <c r="E100">
        <v>150</v>
      </c>
      <c r="F100">
        <v>374</v>
      </c>
      <c r="G100" s="5">
        <v>0.318</v>
      </c>
      <c r="H100" s="5">
        <v>0.20300000000000001</v>
      </c>
      <c r="I100" s="5">
        <v>0.248</v>
      </c>
      <c r="J100" s="5">
        <v>0.151</v>
      </c>
      <c r="K100" s="5">
        <v>5.8999999999999997E-2</v>
      </c>
      <c r="L100" s="5">
        <v>0.20599999999999999</v>
      </c>
      <c r="M100" s="5">
        <v>0.13900000000000001</v>
      </c>
      <c r="N100" s="5">
        <v>0.16600000000000001</v>
      </c>
      <c r="O100" s="5">
        <v>8.0971515178680402</v>
      </c>
      <c r="P100" t="str">
        <f t="shared" si="1"/>
        <v>ft31_AdamW</v>
      </c>
    </row>
    <row r="101" spans="1:16">
      <c r="A101" s="13" t="s">
        <v>89</v>
      </c>
      <c r="B101" t="s">
        <v>87</v>
      </c>
      <c r="C101" t="s">
        <v>123</v>
      </c>
      <c r="D101" t="s">
        <v>82</v>
      </c>
      <c r="E101">
        <v>150</v>
      </c>
      <c r="F101">
        <v>374</v>
      </c>
      <c r="G101" s="5">
        <v>0.35499999999999998</v>
      </c>
      <c r="H101" s="5">
        <v>0.313</v>
      </c>
      <c r="I101" s="5">
        <v>0.33300000000000002</v>
      </c>
      <c r="J101" s="5">
        <v>0.26800000000000002</v>
      </c>
      <c r="K101" s="5">
        <v>0.114</v>
      </c>
      <c r="L101" s="5">
        <v>0.26400000000000001</v>
      </c>
      <c r="M101" s="5">
        <v>0.28599999999999998</v>
      </c>
      <c r="N101" s="5">
        <v>0.27500000000000002</v>
      </c>
      <c r="O101" s="5">
        <v>6.6299953460693297</v>
      </c>
      <c r="P101" t="str">
        <f t="shared" si="1"/>
        <v>ft31_AdamW_finloop.pt</v>
      </c>
    </row>
    <row r="102" spans="1:16">
      <c r="A102" s="13" t="s">
        <v>89</v>
      </c>
      <c r="B102" t="s">
        <v>87</v>
      </c>
      <c r="C102" t="s">
        <v>124</v>
      </c>
      <c r="D102" t="s">
        <v>82</v>
      </c>
      <c r="E102">
        <v>150</v>
      </c>
      <c r="F102">
        <v>374</v>
      </c>
      <c r="G102" s="5">
        <v>0.32400000000000001</v>
      </c>
      <c r="H102" s="5">
        <v>0.34499999999999997</v>
      </c>
      <c r="I102" s="5">
        <v>0.33400000000000002</v>
      </c>
      <c r="J102" s="5">
        <v>0.26700000000000002</v>
      </c>
      <c r="K102" s="5">
        <v>0.126</v>
      </c>
      <c r="L102" s="5">
        <v>0.25</v>
      </c>
      <c r="M102" s="5">
        <v>0.26700000000000002</v>
      </c>
      <c r="N102" s="5">
        <v>0.25800000000000001</v>
      </c>
      <c r="O102" s="5">
        <v>7.8628838062286297</v>
      </c>
      <c r="P102" t="str">
        <f t="shared" si="1"/>
        <v>ft31_SGD</v>
      </c>
    </row>
    <row r="103" spans="1:16">
      <c r="A103" s="13" t="s">
        <v>89</v>
      </c>
      <c r="B103" t="s">
        <v>87</v>
      </c>
      <c r="C103" t="s">
        <v>125</v>
      </c>
      <c r="D103" t="s">
        <v>82</v>
      </c>
      <c r="E103">
        <v>150</v>
      </c>
      <c r="F103">
        <v>374</v>
      </c>
      <c r="G103" s="5">
        <v>0.435</v>
      </c>
      <c r="H103" s="5">
        <v>0.316</v>
      </c>
      <c r="I103" s="5">
        <v>0.36599999999999999</v>
      </c>
      <c r="J103" s="5">
        <v>0.28299999999999997</v>
      </c>
      <c r="K103" s="5">
        <v>0.11</v>
      </c>
      <c r="L103" s="5">
        <v>0.35199999999999998</v>
      </c>
      <c r="M103" s="5">
        <v>0.27500000000000002</v>
      </c>
      <c r="N103" s="5">
        <v>0.309</v>
      </c>
      <c r="O103" s="5">
        <v>7.2903378009796098</v>
      </c>
      <c r="P103" t="str">
        <f t="shared" si="1"/>
        <v>ft31_SGD_finloop.pt</v>
      </c>
    </row>
    <row r="104" spans="1:16">
      <c r="A104" s="13" t="s">
        <v>89</v>
      </c>
      <c r="B104" t="s">
        <v>87</v>
      </c>
      <c r="C104" t="s">
        <v>126</v>
      </c>
      <c r="D104" t="s">
        <v>82</v>
      </c>
      <c r="E104">
        <v>150</v>
      </c>
      <c r="F104">
        <v>374</v>
      </c>
      <c r="G104" s="5">
        <v>0.29499999999999998</v>
      </c>
      <c r="H104" s="5">
        <v>0.17100000000000001</v>
      </c>
      <c r="I104" s="5">
        <v>0.217</v>
      </c>
      <c r="J104" s="5">
        <v>0.13200000000000001</v>
      </c>
      <c r="K104" s="5">
        <v>5.8000000000000003E-2</v>
      </c>
      <c r="L104" s="5">
        <v>0.23</v>
      </c>
      <c r="M104" s="5">
        <v>0.112</v>
      </c>
      <c r="N104" s="5">
        <v>0.151</v>
      </c>
      <c r="O104" s="5">
        <v>7.0115516185760498</v>
      </c>
      <c r="P104" t="str">
        <f t="shared" si="1"/>
        <v>ft32_AdamW</v>
      </c>
    </row>
    <row r="105" spans="1:16">
      <c r="A105" s="13" t="s">
        <v>89</v>
      </c>
      <c r="B105" t="s">
        <v>87</v>
      </c>
      <c r="C105" t="s">
        <v>127</v>
      </c>
      <c r="D105" t="s">
        <v>82</v>
      </c>
      <c r="E105">
        <v>150</v>
      </c>
      <c r="F105">
        <v>374</v>
      </c>
      <c r="G105" s="5">
        <v>0.38</v>
      </c>
      <c r="H105" s="5">
        <v>0.38500000000000001</v>
      </c>
      <c r="I105" s="5">
        <v>0.38200000000000001</v>
      </c>
      <c r="J105" s="5">
        <v>0.315</v>
      </c>
      <c r="K105" s="5">
        <v>0.128</v>
      </c>
      <c r="L105" s="5">
        <v>0.29199999999999998</v>
      </c>
      <c r="M105" s="5">
        <v>0.30199999999999999</v>
      </c>
      <c r="N105" s="5">
        <v>0.29699999999999999</v>
      </c>
      <c r="O105" s="5">
        <v>6.7559819221496502</v>
      </c>
      <c r="P105" t="str">
        <f t="shared" si="1"/>
        <v>ft32_AdamW_finloop.pt</v>
      </c>
    </row>
    <row r="106" spans="1:16">
      <c r="A106" s="13" t="s">
        <v>89</v>
      </c>
      <c r="B106" t="s">
        <v>87</v>
      </c>
      <c r="C106" t="s">
        <v>128</v>
      </c>
      <c r="D106" t="s">
        <v>82</v>
      </c>
      <c r="E106">
        <v>150</v>
      </c>
      <c r="F106">
        <v>374</v>
      </c>
      <c r="G106" s="5">
        <v>0.36599999999999999</v>
      </c>
      <c r="H106" s="5">
        <v>0.35299999999999998</v>
      </c>
      <c r="I106" s="5">
        <v>0.36</v>
      </c>
      <c r="J106" s="5">
        <v>0.3</v>
      </c>
      <c r="K106" s="5">
        <v>0.14099999999999999</v>
      </c>
      <c r="L106" s="5">
        <v>0.29699999999999999</v>
      </c>
      <c r="M106" s="5">
        <v>0.28599999999999998</v>
      </c>
      <c r="N106" s="5">
        <v>0.29099999999999998</v>
      </c>
      <c r="O106" s="5">
        <v>7.9731864929199201</v>
      </c>
      <c r="P106" t="str">
        <f t="shared" si="1"/>
        <v>ft32_SGD</v>
      </c>
    </row>
    <row r="107" spans="1:16">
      <c r="A107" s="13" t="s">
        <v>89</v>
      </c>
      <c r="B107" t="s">
        <v>87</v>
      </c>
      <c r="C107" t="s">
        <v>129</v>
      </c>
      <c r="D107" t="s">
        <v>82</v>
      </c>
      <c r="E107">
        <v>150</v>
      </c>
      <c r="F107">
        <v>374</v>
      </c>
      <c r="G107" s="5">
        <v>0.44800000000000001</v>
      </c>
      <c r="H107" s="5">
        <v>0.32400000000000001</v>
      </c>
      <c r="I107" s="5">
        <v>0.376</v>
      </c>
      <c r="J107" s="5">
        <v>0.28599999999999998</v>
      </c>
      <c r="K107" s="5">
        <v>0.109</v>
      </c>
      <c r="L107" s="5">
        <v>0.32</v>
      </c>
      <c r="M107" s="5">
        <v>0.29399999999999998</v>
      </c>
      <c r="N107" s="5">
        <v>0.307</v>
      </c>
      <c r="O107" s="5">
        <v>6.7952857017517001</v>
      </c>
      <c r="P107" t="str">
        <f t="shared" si="1"/>
        <v>ft32_SGD_finloop.pt</v>
      </c>
    </row>
    <row r="108" spans="1:16">
      <c r="A108" s="13" t="s">
        <v>89</v>
      </c>
      <c r="B108" t="s">
        <v>87</v>
      </c>
      <c r="C108" t="s">
        <v>130</v>
      </c>
      <c r="D108" t="s">
        <v>82</v>
      </c>
      <c r="E108">
        <v>150</v>
      </c>
      <c r="F108">
        <v>374</v>
      </c>
      <c r="G108" s="5">
        <v>0.46200000000000002</v>
      </c>
      <c r="H108" s="5">
        <v>0.25700000000000001</v>
      </c>
      <c r="I108" s="5">
        <v>0.33</v>
      </c>
      <c r="J108" s="5">
        <v>0.26300000000000001</v>
      </c>
      <c r="K108" s="5">
        <v>0.121</v>
      </c>
      <c r="L108" s="5">
        <v>0.34699999999999998</v>
      </c>
      <c r="M108" s="5">
        <v>0.193</v>
      </c>
      <c r="N108" s="5">
        <v>0.248</v>
      </c>
      <c r="O108" s="5">
        <v>6.9969460964202801</v>
      </c>
      <c r="P108" t="str">
        <f t="shared" si="1"/>
        <v>ft33_AdamW</v>
      </c>
    </row>
    <row r="109" spans="1:16">
      <c r="A109" s="13" t="s">
        <v>89</v>
      </c>
      <c r="B109" t="s">
        <v>87</v>
      </c>
      <c r="C109" t="s">
        <v>131</v>
      </c>
      <c r="D109" t="s">
        <v>82</v>
      </c>
      <c r="E109">
        <v>150</v>
      </c>
      <c r="F109">
        <v>374</v>
      </c>
      <c r="G109" s="5">
        <v>0.36299999999999999</v>
      </c>
      <c r="H109" s="5">
        <v>0.29099999999999998</v>
      </c>
      <c r="I109" s="5">
        <v>0.32300000000000001</v>
      </c>
      <c r="J109" s="5">
        <v>0.26400000000000001</v>
      </c>
      <c r="K109" s="5">
        <v>0.109</v>
      </c>
      <c r="L109" s="5">
        <v>0.313</v>
      </c>
      <c r="M109" s="5">
        <v>0.249</v>
      </c>
      <c r="N109" s="5">
        <v>0.27700000000000002</v>
      </c>
      <c r="O109" s="5">
        <v>6.4488408565521196</v>
      </c>
      <c r="P109" t="str">
        <f t="shared" si="1"/>
        <v>ft33_AdamW_finloop.pt</v>
      </c>
    </row>
    <row r="110" spans="1:16">
      <c r="A110" s="13" t="s">
        <v>89</v>
      </c>
      <c r="B110" t="s">
        <v>87</v>
      </c>
      <c r="C110" t="s">
        <v>132</v>
      </c>
      <c r="D110" t="s">
        <v>82</v>
      </c>
      <c r="E110">
        <v>150</v>
      </c>
      <c r="F110">
        <v>374</v>
      </c>
      <c r="G110" s="5">
        <v>0.38600000000000001</v>
      </c>
      <c r="H110" s="5">
        <v>0.29399999999999998</v>
      </c>
      <c r="I110" s="5">
        <v>0.33400000000000002</v>
      </c>
      <c r="J110" s="5">
        <v>0.26600000000000001</v>
      </c>
      <c r="K110" s="5">
        <v>0.129</v>
      </c>
      <c r="L110" s="5">
        <v>0.30399999999999999</v>
      </c>
      <c r="M110" s="5">
        <v>0.23799999999999999</v>
      </c>
      <c r="N110" s="5">
        <v>0.26700000000000002</v>
      </c>
      <c r="O110" s="5">
        <v>8.1914722919464094</v>
      </c>
      <c r="P110" t="str">
        <f t="shared" si="1"/>
        <v>ft33_SGD</v>
      </c>
    </row>
    <row r="111" spans="1:16" s="7" customFormat="1">
      <c r="A111" s="14" t="s">
        <v>89</v>
      </c>
      <c r="B111" s="7" t="s">
        <v>87</v>
      </c>
      <c r="C111" s="7" t="s">
        <v>133</v>
      </c>
      <c r="D111" s="7" t="s">
        <v>82</v>
      </c>
      <c r="E111" s="7">
        <v>150</v>
      </c>
      <c r="F111" s="7">
        <v>374</v>
      </c>
      <c r="G111" s="10">
        <v>0.38400000000000001</v>
      </c>
      <c r="H111" s="10">
        <v>0.34499999999999997</v>
      </c>
      <c r="I111" s="10">
        <v>0.36399999999999999</v>
      </c>
      <c r="J111" s="10">
        <v>0.28699999999999998</v>
      </c>
      <c r="K111" s="10">
        <v>0.111</v>
      </c>
      <c r="L111" s="10">
        <v>0.36899999999999999</v>
      </c>
      <c r="M111" s="10">
        <v>0.27800000000000002</v>
      </c>
      <c r="N111" s="10">
        <v>0.317</v>
      </c>
      <c r="O111" s="10">
        <v>7.0984029769897399</v>
      </c>
      <c r="P111" t="str">
        <f t="shared" si="1"/>
        <v>ft33_SGD_finloop.pt</v>
      </c>
    </row>
    <row r="112" spans="1:16">
      <c r="A112" t="s">
        <v>89</v>
      </c>
      <c r="B112" t="s">
        <v>78</v>
      </c>
      <c r="C112" t="s">
        <v>79</v>
      </c>
      <c r="D112" t="s">
        <v>80</v>
      </c>
      <c r="E112">
        <v>12</v>
      </c>
      <c r="F112">
        <v>35</v>
      </c>
      <c r="G112" s="5">
        <v>0.501</v>
      </c>
      <c r="H112" s="5">
        <v>0.57099999999999995</v>
      </c>
      <c r="I112" s="5">
        <v>0.53400000000000003</v>
      </c>
      <c r="J112" s="5">
        <v>0.53800000000000003</v>
      </c>
      <c r="K112" s="5">
        <v>0.25900000000000001</v>
      </c>
      <c r="L112" s="5">
        <v>0.36099999999999999</v>
      </c>
      <c r="M112" s="5">
        <v>0.42899999999999999</v>
      </c>
      <c r="N112" s="5">
        <v>0.39200000000000002</v>
      </c>
      <c r="O112" s="5">
        <v>4.64902544021606</v>
      </c>
      <c r="P112" t="str">
        <f t="shared" si="1"/>
        <v>finloop</v>
      </c>
    </row>
    <row r="113" spans="1:16">
      <c r="A113" t="s">
        <v>89</v>
      </c>
      <c r="B113" t="s">
        <v>78</v>
      </c>
      <c r="C113" t="s">
        <v>81</v>
      </c>
      <c r="D113" t="s">
        <v>82</v>
      </c>
      <c r="E113">
        <v>12</v>
      </c>
      <c r="F113">
        <v>35</v>
      </c>
      <c r="G113" s="5">
        <v>0.68799999999999994</v>
      </c>
      <c r="H113" s="5">
        <v>0.68600000000000005</v>
      </c>
      <c r="I113" s="5">
        <v>0.68700000000000006</v>
      </c>
      <c r="J113" s="5">
        <v>0.67400000000000004</v>
      </c>
      <c r="K113" s="5">
        <v>0.35499999999999998</v>
      </c>
      <c r="L113" s="5">
        <v>0.64600000000000002</v>
      </c>
      <c r="M113" s="5">
        <v>0.6</v>
      </c>
      <c r="N113" s="5">
        <v>0.622</v>
      </c>
      <c r="O113" s="5">
        <v>4.5140097141265798</v>
      </c>
      <c r="P113" t="str">
        <f t="shared" si="1"/>
        <v>ft21SGD</v>
      </c>
    </row>
    <row r="114" spans="1:16">
      <c r="A114" t="s">
        <v>89</v>
      </c>
      <c r="B114" t="s">
        <v>78</v>
      </c>
      <c r="C114" t="s">
        <v>114</v>
      </c>
      <c r="D114" t="s">
        <v>82</v>
      </c>
      <c r="E114">
        <v>12</v>
      </c>
      <c r="F114">
        <v>35</v>
      </c>
      <c r="G114" s="5">
        <v>0.77800000000000002</v>
      </c>
      <c r="H114" s="5">
        <v>0.54300000000000004</v>
      </c>
      <c r="I114" s="5">
        <v>0.63900000000000001</v>
      </c>
      <c r="J114" s="5">
        <v>0.56899999999999995</v>
      </c>
      <c r="K114" s="5">
        <v>0.27400000000000002</v>
      </c>
      <c r="L114" s="5">
        <v>0.73499999999999999</v>
      </c>
      <c r="M114" s="5">
        <v>0.51400000000000001</v>
      </c>
      <c r="N114" s="5">
        <v>0.60499999999999998</v>
      </c>
      <c r="O114" s="5">
        <v>4.3705818653106601</v>
      </c>
      <c r="P114" t="str">
        <f t="shared" si="1"/>
        <v>ft29_AdamW</v>
      </c>
    </row>
    <row r="115" spans="1:16">
      <c r="A115" t="s">
        <v>89</v>
      </c>
      <c r="B115" t="s">
        <v>78</v>
      </c>
      <c r="C115" t="s">
        <v>115</v>
      </c>
      <c r="D115" t="s">
        <v>82</v>
      </c>
      <c r="E115">
        <v>12</v>
      </c>
      <c r="F115">
        <v>35</v>
      </c>
      <c r="G115" s="5">
        <v>0.59599999999999997</v>
      </c>
      <c r="H115" s="5">
        <v>0.46400000000000002</v>
      </c>
      <c r="I115" s="5">
        <v>0.52200000000000002</v>
      </c>
      <c r="J115" s="5">
        <v>0.498</v>
      </c>
      <c r="K115" s="5">
        <v>0.22</v>
      </c>
      <c r="L115" s="5">
        <v>0.59599999999999997</v>
      </c>
      <c r="M115" s="5">
        <v>0.46400000000000002</v>
      </c>
      <c r="N115" s="5">
        <v>0.52200000000000002</v>
      </c>
      <c r="O115" s="5">
        <v>4.4655196666717503</v>
      </c>
      <c r="P115" t="str">
        <f t="shared" si="1"/>
        <v>ft29_AdamW_finloop.pt</v>
      </c>
    </row>
    <row r="116" spans="1:16">
      <c r="A116" t="s">
        <v>89</v>
      </c>
      <c r="B116" t="s">
        <v>78</v>
      </c>
      <c r="C116" t="s">
        <v>116</v>
      </c>
      <c r="D116" t="s">
        <v>82</v>
      </c>
      <c r="E116">
        <v>12</v>
      </c>
      <c r="F116">
        <v>35</v>
      </c>
      <c r="G116" s="5">
        <v>0.61099999999999999</v>
      </c>
      <c r="H116" s="5">
        <v>0.57099999999999995</v>
      </c>
      <c r="I116" s="5">
        <v>0.59</v>
      </c>
      <c r="J116" s="5">
        <v>0.60399999999999998</v>
      </c>
      <c r="K116" s="5">
        <v>0.29899999999999999</v>
      </c>
      <c r="L116" s="5">
        <v>0.57499999999999996</v>
      </c>
      <c r="M116" s="5">
        <v>0.54300000000000004</v>
      </c>
      <c r="N116" s="5">
        <v>0.55800000000000005</v>
      </c>
      <c r="O116" s="5">
        <v>4.51332259178161</v>
      </c>
      <c r="P116" t="str">
        <f t="shared" si="1"/>
        <v>ft29_SGD</v>
      </c>
    </row>
    <row r="117" spans="1:16">
      <c r="A117" t="s">
        <v>89</v>
      </c>
      <c r="B117" t="s">
        <v>78</v>
      </c>
      <c r="C117" t="s">
        <v>117</v>
      </c>
      <c r="D117" t="s">
        <v>82</v>
      </c>
      <c r="E117">
        <v>12</v>
      </c>
      <c r="F117">
        <v>35</v>
      </c>
      <c r="G117" s="5">
        <v>0.78800000000000003</v>
      </c>
      <c r="H117" s="5">
        <v>0.53100000000000003</v>
      </c>
      <c r="I117" s="5">
        <v>0.63400000000000001</v>
      </c>
      <c r="J117" s="5">
        <v>0.52300000000000002</v>
      </c>
      <c r="K117" s="5">
        <v>0.21</v>
      </c>
      <c r="L117" s="5">
        <v>0.78800000000000003</v>
      </c>
      <c r="M117" s="5">
        <v>0.53100000000000003</v>
      </c>
      <c r="N117" s="5">
        <v>0.63400000000000001</v>
      </c>
      <c r="O117" s="5">
        <v>4.2118642330169598</v>
      </c>
      <c r="P117" t="str">
        <f t="shared" si="1"/>
        <v>ft29_SGD_finloop.pt</v>
      </c>
    </row>
    <row r="118" spans="1:16">
      <c r="A118" t="s">
        <v>89</v>
      </c>
      <c r="B118" t="s">
        <v>78</v>
      </c>
      <c r="C118" t="s">
        <v>118</v>
      </c>
      <c r="D118" t="s">
        <v>82</v>
      </c>
      <c r="E118">
        <v>12</v>
      </c>
      <c r="F118">
        <v>35</v>
      </c>
      <c r="G118" s="5">
        <v>0.58099999999999996</v>
      </c>
      <c r="H118" s="5">
        <v>0.54300000000000004</v>
      </c>
      <c r="I118" s="5">
        <v>0.56100000000000005</v>
      </c>
      <c r="J118" s="5">
        <v>0.53800000000000003</v>
      </c>
      <c r="K118" s="5">
        <v>0.23300000000000001</v>
      </c>
      <c r="L118" s="5">
        <v>0.49399999999999999</v>
      </c>
      <c r="M118" s="5">
        <v>0.45700000000000002</v>
      </c>
      <c r="N118" s="5">
        <v>0.47499999999999998</v>
      </c>
      <c r="O118" s="5">
        <v>4.4782950878143302</v>
      </c>
      <c r="P118" t="str">
        <f t="shared" si="1"/>
        <v>ft30_AdamW</v>
      </c>
    </row>
    <row r="119" spans="1:16">
      <c r="A119" t="s">
        <v>89</v>
      </c>
      <c r="B119" t="s">
        <v>78</v>
      </c>
      <c r="C119" t="s">
        <v>119</v>
      </c>
      <c r="D119" t="s">
        <v>82</v>
      </c>
      <c r="E119">
        <v>12</v>
      </c>
      <c r="F119">
        <v>35</v>
      </c>
      <c r="G119" s="5">
        <v>0.63600000000000001</v>
      </c>
      <c r="H119" s="5">
        <v>0.45</v>
      </c>
      <c r="I119" s="5">
        <v>0.52700000000000002</v>
      </c>
      <c r="J119" s="5">
        <v>0.46500000000000002</v>
      </c>
      <c r="K119" s="5">
        <v>0.17499999999999999</v>
      </c>
      <c r="L119" s="5">
        <v>0.61799999999999999</v>
      </c>
      <c r="M119" s="5">
        <v>0.46300000000000002</v>
      </c>
      <c r="N119" s="5">
        <v>0.52900000000000003</v>
      </c>
      <c r="O119" s="5">
        <v>4.2218286991119296</v>
      </c>
      <c r="P119" t="str">
        <f t="shared" si="1"/>
        <v>ft30_AdamW_finloop.pt</v>
      </c>
    </row>
    <row r="120" spans="1:16">
      <c r="A120" t="s">
        <v>89</v>
      </c>
      <c r="B120" t="s">
        <v>78</v>
      </c>
      <c r="C120" t="s">
        <v>120</v>
      </c>
      <c r="D120" t="s">
        <v>82</v>
      </c>
      <c r="E120">
        <v>12</v>
      </c>
      <c r="F120">
        <v>35</v>
      </c>
      <c r="G120" s="5">
        <v>0.46899999999999997</v>
      </c>
      <c r="H120" s="5">
        <v>0.629</v>
      </c>
      <c r="I120" s="5">
        <v>0.53700000000000003</v>
      </c>
      <c r="J120" s="5">
        <v>0.58699999999999997</v>
      </c>
      <c r="K120" s="5">
        <v>0.309</v>
      </c>
      <c r="L120" s="5">
        <v>0.44700000000000001</v>
      </c>
      <c r="M120" s="5">
        <v>0.6</v>
      </c>
      <c r="N120" s="5">
        <v>0.51200000000000001</v>
      </c>
      <c r="O120" s="5">
        <v>4.7741219997405997</v>
      </c>
      <c r="P120" t="str">
        <f t="shared" si="1"/>
        <v>ft30_SGD</v>
      </c>
    </row>
    <row r="121" spans="1:16">
      <c r="A121" t="s">
        <v>89</v>
      </c>
      <c r="B121" t="s">
        <v>78</v>
      </c>
      <c r="C121" t="s">
        <v>121</v>
      </c>
      <c r="D121" t="s">
        <v>82</v>
      </c>
      <c r="E121">
        <v>12</v>
      </c>
      <c r="F121">
        <v>35</v>
      </c>
      <c r="G121" s="5">
        <v>0.68</v>
      </c>
      <c r="H121" s="5">
        <v>0.48599999999999999</v>
      </c>
      <c r="I121" s="5">
        <v>0.56699999999999995</v>
      </c>
      <c r="J121" s="5">
        <v>0.53100000000000003</v>
      </c>
      <c r="K121" s="5">
        <v>0.223</v>
      </c>
      <c r="L121" s="5">
        <v>0.71799999999999997</v>
      </c>
      <c r="M121" s="5">
        <v>0.54300000000000004</v>
      </c>
      <c r="N121" s="5">
        <v>0.61799999999999999</v>
      </c>
      <c r="O121" s="5">
        <v>4.1407361030578604</v>
      </c>
      <c r="P121" t="str">
        <f t="shared" si="1"/>
        <v>ft30_SGD_finloop.pt</v>
      </c>
    </row>
    <row r="122" spans="1:16">
      <c r="A122" t="s">
        <v>89</v>
      </c>
      <c r="B122" t="s">
        <v>78</v>
      </c>
      <c r="C122" t="s">
        <v>122</v>
      </c>
      <c r="D122" t="s">
        <v>82</v>
      </c>
      <c r="E122">
        <v>12</v>
      </c>
      <c r="F122">
        <v>35</v>
      </c>
      <c r="G122" s="5">
        <v>0.58499999999999996</v>
      </c>
      <c r="H122" s="5">
        <v>0.51400000000000001</v>
      </c>
      <c r="I122" s="5">
        <v>0.54700000000000004</v>
      </c>
      <c r="J122" s="5">
        <v>0.498</v>
      </c>
      <c r="K122" s="5">
        <v>0.21299999999999999</v>
      </c>
      <c r="L122" s="5">
        <v>0.52</v>
      </c>
      <c r="M122" s="5">
        <v>0.45700000000000002</v>
      </c>
      <c r="N122" s="5">
        <v>0.48599999999999999</v>
      </c>
      <c r="O122" s="5">
        <v>4.5215439796447701</v>
      </c>
      <c r="P122" t="str">
        <f t="shared" si="1"/>
        <v>ft31_AdamW</v>
      </c>
    </row>
    <row r="123" spans="1:16">
      <c r="A123" t="s">
        <v>89</v>
      </c>
      <c r="B123" t="s">
        <v>78</v>
      </c>
      <c r="C123" t="s">
        <v>123</v>
      </c>
      <c r="D123" t="s">
        <v>82</v>
      </c>
      <c r="E123">
        <v>12</v>
      </c>
      <c r="F123">
        <v>35</v>
      </c>
      <c r="G123" s="5">
        <v>0.65800000000000003</v>
      </c>
      <c r="H123" s="5">
        <v>0.42899999999999999</v>
      </c>
      <c r="I123" s="5">
        <v>0.51900000000000002</v>
      </c>
      <c r="J123" s="5">
        <v>0.436</v>
      </c>
      <c r="K123" s="5">
        <v>0.17899999999999999</v>
      </c>
      <c r="L123" s="5">
        <v>0.65800000000000003</v>
      </c>
      <c r="M123" s="5">
        <v>0.42899999999999999</v>
      </c>
      <c r="N123" s="5">
        <v>0.51900000000000002</v>
      </c>
      <c r="O123" s="5">
        <v>4.1847207546234104</v>
      </c>
      <c r="P123" t="str">
        <f t="shared" si="1"/>
        <v>ft31_AdamW_finloop.pt</v>
      </c>
    </row>
    <row r="124" spans="1:16">
      <c r="A124" t="s">
        <v>89</v>
      </c>
      <c r="B124" t="s">
        <v>78</v>
      </c>
      <c r="C124" t="s">
        <v>124</v>
      </c>
      <c r="D124" t="s">
        <v>82</v>
      </c>
      <c r="E124">
        <v>12</v>
      </c>
      <c r="F124">
        <v>35</v>
      </c>
      <c r="G124" s="5">
        <v>0.48899999999999999</v>
      </c>
      <c r="H124" s="5">
        <v>0.629</v>
      </c>
      <c r="I124" s="5">
        <v>0.55000000000000004</v>
      </c>
      <c r="J124" s="5">
        <v>0.59199999999999997</v>
      </c>
      <c r="K124" s="5">
        <v>0.30399999999999999</v>
      </c>
      <c r="L124" s="5">
        <v>0.44</v>
      </c>
      <c r="M124" s="5">
        <v>0.57099999999999995</v>
      </c>
      <c r="N124" s="5">
        <v>0.497</v>
      </c>
      <c r="O124" s="5">
        <v>4.4772768020629803</v>
      </c>
      <c r="P124" t="str">
        <f t="shared" si="1"/>
        <v>ft31_SGD</v>
      </c>
    </row>
    <row r="125" spans="1:16">
      <c r="A125" t="s">
        <v>89</v>
      </c>
      <c r="B125" t="s">
        <v>78</v>
      </c>
      <c r="C125" t="s">
        <v>125</v>
      </c>
      <c r="D125" t="s">
        <v>82</v>
      </c>
      <c r="E125">
        <v>12</v>
      </c>
      <c r="F125">
        <v>35</v>
      </c>
      <c r="G125" s="5">
        <v>0.80900000000000005</v>
      </c>
      <c r="H125" s="5">
        <v>0.48499999999999999</v>
      </c>
      <c r="I125" s="5">
        <v>0.60699999999999998</v>
      </c>
      <c r="J125" s="5">
        <v>0.52900000000000003</v>
      </c>
      <c r="K125" s="5">
        <v>0.22600000000000001</v>
      </c>
      <c r="L125" s="5">
        <v>0.60199999999999998</v>
      </c>
      <c r="M125" s="5">
        <v>0.629</v>
      </c>
      <c r="N125" s="5">
        <v>0.61499999999999999</v>
      </c>
      <c r="O125" s="5">
        <v>4.4206502437591499</v>
      </c>
      <c r="P125" t="str">
        <f t="shared" si="1"/>
        <v>ft31_SGD_finloop.pt</v>
      </c>
    </row>
    <row r="126" spans="1:16">
      <c r="A126" t="s">
        <v>89</v>
      </c>
      <c r="B126" t="s">
        <v>78</v>
      </c>
      <c r="C126" t="s">
        <v>126</v>
      </c>
      <c r="D126" t="s">
        <v>82</v>
      </c>
      <c r="E126">
        <v>12</v>
      </c>
      <c r="F126">
        <v>35</v>
      </c>
      <c r="G126" s="5">
        <v>0.60799999999999998</v>
      </c>
      <c r="H126" s="5">
        <v>0.48599999999999999</v>
      </c>
      <c r="I126" s="5">
        <v>0.54</v>
      </c>
      <c r="J126" s="5">
        <v>0.53600000000000003</v>
      </c>
      <c r="K126" s="5">
        <v>0.27300000000000002</v>
      </c>
      <c r="L126" s="5">
        <v>0.58599999999999997</v>
      </c>
      <c r="M126" s="5">
        <v>0.48599999999999999</v>
      </c>
      <c r="N126" s="5">
        <v>0.53100000000000003</v>
      </c>
      <c r="O126" s="5">
        <v>4.4297521114349303</v>
      </c>
      <c r="P126" t="str">
        <f t="shared" si="1"/>
        <v>ft32_AdamW</v>
      </c>
    </row>
    <row r="127" spans="1:16">
      <c r="A127" t="s">
        <v>89</v>
      </c>
      <c r="B127" t="s">
        <v>78</v>
      </c>
      <c r="C127" t="s">
        <v>127</v>
      </c>
      <c r="D127" t="s">
        <v>82</v>
      </c>
      <c r="E127">
        <v>12</v>
      </c>
      <c r="F127">
        <v>35</v>
      </c>
      <c r="G127" s="5">
        <v>0.76300000000000001</v>
      </c>
      <c r="H127" s="5">
        <v>0.6</v>
      </c>
      <c r="I127" s="5">
        <v>0.67200000000000004</v>
      </c>
      <c r="J127" s="5">
        <v>0.52300000000000002</v>
      </c>
      <c r="K127" s="5">
        <v>0.23699999999999999</v>
      </c>
      <c r="L127" s="5">
        <v>0.72599999999999998</v>
      </c>
      <c r="M127" s="5">
        <v>0.57099999999999995</v>
      </c>
      <c r="N127" s="5">
        <v>0.64</v>
      </c>
      <c r="O127" s="5">
        <v>4.3217136859893799</v>
      </c>
      <c r="P127" t="str">
        <f t="shared" si="1"/>
        <v>ft32_AdamW_finloop.pt</v>
      </c>
    </row>
    <row r="128" spans="1:16">
      <c r="A128" t="s">
        <v>89</v>
      </c>
      <c r="B128" t="s">
        <v>78</v>
      </c>
      <c r="C128" t="s">
        <v>128</v>
      </c>
      <c r="D128" t="s">
        <v>82</v>
      </c>
      <c r="E128">
        <v>12</v>
      </c>
      <c r="F128">
        <v>35</v>
      </c>
      <c r="G128" s="5">
        <v>0.49099999999999999</v>
      </c>
      <c r="H128" s="5">
        <v>0.57999999999999996</v>
      </c>
      <c r="I128" s="5">
        <v>0.53200000000000003</v>
      </c>
      <c r="J128" s="5">
        <v>0.58599999999999997</v>
      </c>
      <c r="K128" s="5">
        <v>0.307</v>
      </c>
      <c r="L128" s="5">
        <v>0.46800000000000003</v>
      </c>
      <c r="M128" s="5">
        <v>0.55200000000000005</v>
      </c>
      <c r="N128" s="5">
        <v>0.50600000000000001</v>
      </c>
      <c r="O128" s="5">
        <v>4.7089569568633998</v>
      </c>
      <c r="P128" t="str">
        <f t="shared" si="1"/>
        <v>ft32_SGD</v>
      </c>
    </row>
    <row r="129" spans="1:16">
      <c r="A129" t="s">
        <v>89</v>
      </c>
      <c r="B129" t="s">
        <v>78</v>
      </c>
      <c r="C129" t="s">
        <v>129</v>
      </c>
      <c r="D129" t="s">
        <v>82</v>
      </c>
      <c r="E129">
        <v>12</v>
      </c>
      <c r="F129">
        <v>35</v>
      </c>
      <c r="G129" s="5">
        <v>0.64600000000000002</v>
      </c>
      <c r="H129" s="5">
        <v>0.629</v>
      </c>
      <c r="I129" s="5">
        <v>0.63700000000000001</v>
      </c>
      <c r="J129" s="5">
        <v>0.55700000000000005</v>
      </c>
      <c r="K129" s="5">
        <v>0.22800000000000001</v>
      </c>
      <c r="L129" s="5">
        <v>0.66100000000000003</v>
      </c>
      <c r="M129" s="5">
        <v>0.629</v>
      </c>
      <c r="N129" s="5">
        <v>0.64400000000000002</v>
      </c>
      <c r="O129" s="5">
        <v>4.3057365417480398</v>
      </c>
      <c r="P129" t="str">
        <f t="shared" si="1"/>
        <v>ft32_SGD_finloop.pt</v>
      </c>
    </row>
    <row r="130" spans="1:16">
      <c r="A130" t="s">
        <v>89</v>
      </c>
      <c r="B130" t="s">
        <v>78</v>
      </c>
      <c r="C130" t="s">
        <v>130</v>
      </c>
      <c r="D130" t="s">
        <v>82</v>
      </c>
      <c r="E130">
        <v>12</v>
      </c>
      <c r="F130">
        <v>35</v>
      </c>
      <c r="G130" s="5">
        <v>0.747</v>
      </c>
      <c r="H130" s="5">
        <v>0.42899999999999999</v>
      </c>
      <c r="I130" s="5">
        <v>0.54500000000000004</v>
      </c>
      <c r="J130" s="5">
        <v>0.53700000000000003</v>
      </c>
      <c r="K130" s="5">
        <v>0.254</v>
      </c>
      <c r="L130" s="5">
        <v>0.52900000000000003</v>
      </c>
      <c r="M130" s="5">
        <v>0.42899999999999999</v>
      </c>
      <c r="N130" s="5">
        <v>0.47399999999999998</v>
      </c>
      <c r="O130" s="5">
        <v>4.5526442527770996</v>
      </c>
      <c r="P130" t="str">
        <f t="shared" ref="P130:P193" si="2">C130</f>
        <v>ft33_AdamW</v>
      </c>
    </row>
    <row r="131" spans="1:16">
      <c r="A131" t="s">
        <v>89</v>
      </c>
      <c r="B131" t="s">
        <v>78</v>
      </c>
      <c r="C131" t="s">
        <v>131</v>
      </c>
      <c r="D131" t="s">
        <v>82</v>
      </c>
      <c r="E131">
        <v>12</v>
      </c>
      <c r="F131">
        <v>35</v>
      </c>
      <c r="G131" s="5">
        <v>0.72299999999999998</v>
      </c>
      <c r="H131" s="5">
        <v>0.45700000000000002</v>
      </c>
      <c r="I131" s="5">
        <v>0.56000000000000005</v>
      </c>
      <c r="J131" s="5">
        <v>0.439</v>
      </c>
      <c r="K131" s="5">
        <v>0.20100000000000001</v>
      </c>
      <c r="L131" s="5">
        <v>0.72299999999999998</v>
      </c>
      <c r="M131" s="5">
        <v>0.45700000000000002</v>
      </c>
      <c r="N131" s="5">
        <v>0.56000000000000005</v>
      </c>
      <c r="O131" s="5">
        <v>4.1183583736419598</v>
      </c>
      <c r="P131" t="str">
        <f t="shared" si="2"/>
        <v>ft33_AdamW_finloop.pt</v>
      </c>
    </row>
    <row r="132" spans="1:16">
      <c r="A132" t="s">
        <v>89</v>
      </c>
      <c r="B132" t="s">
        <v>78</v>
      </c>
      <c r="C132" t="s">
        <v>132</v>
      </c>
      <c r="D132" t="s">
        <v>82</v>
      </c>
      <c r="E132">
        <v>12</v>
      </c>
      <c r="F132">
        <v>35</v>
      </c>
      <c r="G132" s="5">
        <v>0.52100000000000002</v>
      </c>
      <c r="H132" s="5">
        <v>0.57099999999999995</v>
      </c>
      <c r="I132" s="5">
        <v>0.54500000000000004</v>
      </c>
      <c r="J132" s="5">
        <v>0.57499999999999996</v>
      </c>
      <c r="K132" s="5">
        <v>0.30399999999999999</v>
      </c>
      <c r="L132" s="5">
        <v>0.47299999999999998</v>
      </c>
      <c r="M132" s="5">
        <v>0.54300000000000004</v>
      </c>
      <c r="N132" s="5">
        <v>0.50600000000000001</v>
      </c>
      <c r="O132" s="5">
        <v>4.6807484626770002</v>
      </c>
      <c r="P132" t="str">
        <f t="shared" si="2"/>
        <v>ft33_SGD</v>
      </c>
    </row>
    <row r="133" spans="1:16" s="7" customFormat="1">
      <c r="A133" s="7" t="s">
        <v>89</v>
      </c>
      <c r="B133" s="7" t="s">
        <v>78</v>
      </c>
      <c r="C133" s="7" t="s">
        <v>133</v>
      </c>
      <c r="D133" s="7" t="s">
        <v>82</v>
      </c>
      <c r="E133" s="7">
        <v>12</v>
      </c>
      <c r="F133" s="7">
        <v>35</v>
      </c>
      <c r="G133" s="10">
        <v>0.79</v>
      </c>
      <c r="H133" s="10">
        <v>0.57099999999999995</v>
      </c>
      <c r="I133" s="10">
        <v>0.66300000000000003</v>
      </c>
      <c r="J133" s="10">
        <v>0.56599999999999995</v>
      </c>
      <c r="K133" s="10">
        <v>0.21099999999999999</v>
      </c>
      <c r="L133" s="10">
        <v>0.78400000000000003</v>
      </c>
      <c r="M133" s="10">
        <v>0.57099999999999995</v>
      </c>
      <c r="N133" s="10">
        <v>0.66100000000000003</v>
      </c>
      <c r="O133" s="10">
        <v>4.1815431118011404</v>
      </c>
      <c r="P133" t="str">
        <f t="shared" si="2"/>
        <v>ft33_SGD_finloop.pt</v>
      </c>
    </row>
    <row r="134" spans="1:16">
      <c r="A134" t="s">
        <v>89</v>
      </c>
      <c r="B134" t="s">
        <v>88</v>
      </c>
      <c r="C134" t="s">
        <v>79</v>
      </c>
      <c r="D134" t="s">
        <v>80</v>
      </c>
      <c r="E134">
        <v>18</v>
      </c>
      <c r="F134">
        <v>32</v>
      </c>
      <c r="G134" s="5">
        <v>0.34200000000000003</v>
      </c>
      <c r="H134" s="5">
        <v>0.375</v>
      </c>
      <c r="I134" s="5">
        <v>0.35799999999999998</v>
      </c>
      <c r="J134" s="5">
        <v>0.29799999999999999</v>
      </c>
      <c r="K134" s="5">
        <v>9.5000000000000001E-2</v>
      </c>
      <c r="L134" s="5">
        <v>0.222</v>
      </c>
      <c r="M134" s="5">
        <v>0.219</v>
      </c>
      <c r="N134" s="5">
        <v>0.22</v>
      </c>
      <c r="O134" s="5">
        <v>4.48577427864074</v>
      </c>
      <c r="P134" t="str">
        <f t="shared" si="2"/>
        <v>finloop</v>
      </c>
    </row>
    <row r="135" spans="1:16">
      <c r="A135" t="s">
        <v>89</v>
      </c>
      <c r="B135" t="s">
        <v>88</v>
      </c>
      <c r="C135" t="s">
        <v>81</v>
      </c>
      <c r="D135" t="s">
        <v>82</v>
      </c>
      <c r="E135">
        <v>18</v>
      </c>
      <c r="F135">
        <v>32</v>
      </c>
      <c r="G135" s="5">
        <v>0.441</v>
      </c>
      <c r="H135" s="5">
        <v>0.46899999999999997</v>
      </c>
      <c r="I135" s="5">
        <v>0.45500000000000002</v>
      </c>
      <c r="J135" s="5">
        <v>0.379</v>
      </c>
      <c r="K135" s="5">
        <v>0.19</v>
      </c>
      <c r="L135" s="5">
        <v>0.49399999999999999</v>
      </c>
      <c r="M135" s="5">
        <v>0.25</v>
      </c>
      <c r="N135" s="5">
        <v>0.33200000000000002</v>
      </c>
      <c r="O135" s="5">
        <v>4.6135656833648602</v>
      </c>
      <c r="P135" t="str">
        <f t="shared" si="2"/>
        <v>ft21SGD</v>
      </c>
    </row>
    <row r="136" spans="1:16">
      <c r="A136" t="s">
        <v>89</v>
      </c>
      <c r="B136" t="s">
        <v>88</v>
      </c>
      <c r="C136" t="s">
        <v>114</v>
      </c>
      <c r="D136" t="s">
        <v>82</v>
      </c>
      <c r="E136">
        <v>18</v>
      </c>
      <c r="F136">
        <v>32</v>
      </c>
      <c r="G136" s="5">
        <v>0.42699999999999999</v>
      </c>
      <c r="H136" s="5">
        <v>0.219</v>
      </c>
      <c r="I136" s="5">
        <v>0.28899999999999998</v>
      </c>
      <c r="J136" s="5">
        <v>0.23599999999999999</v>
      </c>
      <c r="K136" s="5">
        <v>0.14099999999999999</v>
      </c>
      <c r="L136" s="5">
        <v>0.30299999999999999</v>
      </c>
      <c r="M136" s="5">
        <v>0.156</v>
      </c>
      <c r="N136" s="5">
        <v>0.20599999999999999</v>
      </c>
      <c r="O136" s="5">
        <v>4.4125730991363499</v>
      </c>
      <c r="P136" t="str">
        <f t="shared" si="2"/>
        <v>ft29_AdamW</v>
      </c>
    </row>
    <row r="137" spans="1:16">
      <c r="A137" t="s">
        <v>89</v>
      </c>
      <c r="B137" t="s">
        <v>88</v>
      </c>
      <c r="C137" t="s">
        <v>115</v>
      </c>
      <c r="D137" t="s">
        <v>82</v>
      </c>
      <c r="E137">
        <v>18</v>
      </c>
      <c r="F137">
        <v>32</v>
      </c>
      <c r="G137" s="5">
        <v>0.24199999999999999</v>
      </c>
      <c r="H137" s="5">
        <v>0.219</v>
      </c>
      <c r="I137" s="5">
        <v>0.23</v>
      </c>
      <c r="J137" s="5">
        <v>9.9000000000000005E-2</v>
      </c>
      <c r="K137" s="5">
        <v>5.5E-2</v>
      </c>
      <c r="L137" s="5">
        <v>0.253</v>
      </c>
      <c r="M137" s="5">
        <v>9.4E-2</v>
      </c>
      <c r="N137" s="5">
        <v>0.13700000000000001</v>
      </c>
      <c r="O137" s="5">
        <v>4.1620993614196697</v>
      </c>
      <c r="P137" t="str">
        <f t="shared" si="2"/>
        <v>ft29_AdamW_finloop.pt</v>
      </c>
    </row>
    <row r="138" spans="1:16">
      <c r="A138" t="s">
        <v>89</v>
      </c>
      <c r="B138" t="s">
        <v>88</v>
      </c>
      <c r="C138" t="s">
        <v>116</v>
      </c>
      <c r="D138" t="s">
        <v>82</v>
      </c>
      <c r="E138">
        <v>18</v>
      </c>
      <c r="F138">
        <v>32</v>
      </c>
      <c r="G138" s="5">
        <v>0.28299999999999997</v>
      </c>
      <c r="H138" s="5">
        <v>0.40600000000000003</v>
      </c>
      <c r="I138" s="5">
        <v>0.33400000000000002</v>
      </c>
      <c r="J138" s="5">
        <v>0.30299999999999999</v>
      </c>
      <c r="K138" s="5">
        <v>0.16400000000000001</v>
      </c>
      <c r="L138" s="5">
        <v>0.26500000000000001</v>
      </c>
      <c r="M138" s="5">
        <v>0.188</v>
      </c>
      <c r="N138" s="5">
        <v>0.22</v>
      </c>
      <c r="O138" s="5">
        <v>4.5124318599700901</v>
      </c>
      <c r="P138" t="str">
        <f t="shared" si="2"/>
        <v>ft29_SGD</v>
      </c>
    </row>
    <row r="139" spans="1:16">
      <c r="A139" t="s">
        <v>89</v>
      </c>
      <c r="B139" t="s">
        <v>88</v>
      </c>
      <c r="C139" t="s">
        <v>117</v>
      </c>
      <c r="D139" t="s">
        <v>82</v>
      </c>
      <c r="E139">
        <v>18</v>
      </c>
      <c r="F139">
        <v>32</v>
      </c>
      <c r="G139" s="5">
        <v>0.28199999999999997</v>
      </c>
      <c r="H139" s="5">
        <v>0.28100000000000003</v>
      </c>
      <c r="I139" s="5">
        <v>0.28100000000000003</v>
      </c>
      <c r="J139" s="5">
        <v>0.19</v>
      </c>
      <c r="K139" s="5">
        <v>0.106</v>
      </c>
      <c r="L139" s="5">
        <v>0.36099999999999999</v>
      </c>
      <c r="M139" s="5">
        <v>0.125</v>
      </c>
      <c r="N139" s="5">
        <v>0.186</v>
      </c>
      <c r="O139" s="5">
        <v>4.2357082366943297</v>
      </c>
      <c r="P139" t="str">
        <f t="shared" si="2"/>
        <v>ft29_SGD_finloop.pt</v>
      </c>
    </row>
    <row r="140" spans="1:16">
      <c r="A140" t="s">
        <v>89</v>
      </c>
      <c r="B140" t="s">
        <v>88</v>
      </c>
      <c r="C140" t="s">
        <v>118</v>
      </c>
      <c r="D140" t="s">
        <v>82</v>
      </c>
      <c r="E140">
        <v>18</v>
      </c>
      <c r="F140">
        <v>32</v>
      </c>
      <c r="G140" s="5">
        <v>0.31</v>
      </c>
      <c r="H140" s="5">
        <v>0.28100000000000003</v>
      </c>
      <c r="I140" s="5">
        <v>0.29499999999999998</v>
      </c>
      <c r="J140" s="5">
        <v>0.187</v>
      </c>
      <c r="K140" s="5">
        <v>0.1</v>
      </c>
      <c r="L140" s="5">
        <v>0.222</v>
      </c>
      <c r="M140" s="5">
        <v>0.156</v>
      </c>
      <c r="N140" s="5">
        <v>0.183</v>
      </c>
      <c r="O140" s="5">
        <v>4.6965677738189697</v>
      </c>
      <c r="P140" t="str">
        <f t="shared" si="2"/>
        <v>ft30_AdamW</v>
      </c>
    </row>
    <row r="141" spans="1:16">
      <c r="A141" t="s">
        <v>89</v>
      </c>
      <c r="B141" t="s">
        <v>88</v>
      </c>
      <c r="C141" t="s">
        <v>119</v>
      </c>
      <c r="D141" t="s">
        <v>82</v>
      </c>
      <c r="E141">
        <v>18</v>
      </c>
      <c r="F141">
        <v>32</v>
      </c>
      <c r="G141" s="5">
        <v>0.27800000000000002</v>
      </c>
      <c r="H141" s="5">
        <v>0.375</v>
      </c>
      <c r="I141" s="5">
        <v>0.31900000000000001</v>
      </c>
      <c r="J141" s="5">
        <v>0.17899999999999999</v>
      </c>
      <c r="K141" s="5">
        <v>9.4E-2</v>
      </c>
      <c r="L141" s="5">
        <v>0.27900000000000003</v>
      </c>
      <c r="M141" s="5">
        <v>0.125</v>
      </c>
      <c r="N141" s="5">
        <v>0.17299999999999999</v>
      </c>
      <c r="O141" s="5">
        <v>4.240234375</v>
      </c>
      <c r="P141" t="str">
        <f t="shared" si="2"/>
        <v>ft30_AdamW_finloop.pt</v>
      </c>
    </row>
    <row r="142" spans="1:16">
      <c r="A142" t="s">
        <v>89</v>
      </c>
      <c r="B142" t="s">
        <v>88</v>
      </c>
      <c r="C142" t="s">
        <v>120</v>
      </c>
      <c r="D142" t="s">
        <v>82</v>
      </c>
      <c r="E142">
        <v>18</v>
      </c>
      <c r="F142">
        <v>32</v>
      </c>
      <c r="G142" s="5">
        <v>0.36</v>
      </c>
      <c r="H142" s="5">
        <v>0.375</v>
      </c>
      <c r="I142" s="5">
        <v>0.36799999999999999</v>
      </c>
      <c r="J142" s="5">
        <v>0.33300000000000002</v>
      </c>
      <c r="K142" s="5">
        <v>0.17599999999999999</v>
      </c>
      <c r="L142" s="5">
        <v>0.20300000000000001</v>
      </c>
      <c r="M142" s="5">
        <v>0.219</v>
      </c>
      <c r="N142" s="5">
        <v>0.21099999999999999</v>
      </c>
      <c r="O142" s="5">
        <v>4.8690280914306596</v>
      </c>
      <c r="P142" t="str">
        <f t="shared" si="2"/>
        <v>ft30_SGD</v>
      </c>
    </row>
    <row r="143" spans="1:16">
      <c r="A143" t="s">
        <v>89</v>
      </c>
      <c r="B143" t="s">
        <v>88</v>
      </c>
      <c r="C143" t="s">
        <v>121</v>
      </c>
      <c r="D143" t="s">
        <v>82</v>
      </c>
      <c r="E143">
        <v>18</v>
      </c>
      <c r="F143">
        <v>32</v>
      </c>
      <c r="G143" s="5">
        <v>0.27700000000000002</v>
      </c>
      <c r="H143" s="5">
        <v>0.312</v>
      </c>
      <c r="I143" s="5">
        <v>0.29399999999999998</v>
      </c>
      <c r="J143" s="5">
        <v>0.20699999999999999</v>
      </c>
      <c r="K143" s="5">
        <v>0.113</v>
      </c>
      <c r="L143" s="5">
        <v>0.28100000000000003</v>
      </c>
      <c r="M143" s="5">
        <v>0.125</v>
      </c>
      <c r="N143" s="5">
        <v>0.17299999999999999</v>
      </c>
      <c r="O143" s="5">
        <v>4.3458473682403502</v>
      </c>
      <c r="P143" t="str">
        <f t="shared" si="2"/>
        <v>ft30_SGD_finloop.pt</v>
      </c>
    </row>
    <row r="144" spans="1:16">
      <c r="A144" t="s">
        <v>89</v>
      </c>
      <c r="B144" t="s">
        <v>88</v>
      </c>
      <c r="C144" t="s">
        <v>122</v>
      </c>
      <c r="D144" t="s">
        <v>82</v>
      </c>
      <c r="E144">
        <v>18</v>
      </c>
      <c r="F144">
        <v>32</v>
      </c>
      <c r="G144" s="5">
        <v>0.23200000000000001</v>
      </c>
      <c r="H144" s="5">
        <v>0.34399999999999997</v>
      </c>
      <c r="I144" s="5">
        <v>0.27700000000000002</v>
      </c>
      <c r="J144" s="5">
        <v>0.17499999999999999</v>
      </c>
      <c r="K144" s="5">
        <v>9.7000000000000003E-2</v>
      </c>
      <c r="L144" s="5">
        <v>0.19</v>
      </c>
      <c r="M144" s="5">
        <v>0.28100000000000003</v>
      </c>
      <c r="N144" s="5">
        <v>0.22700000000000001</v>
      </c>
      <c r="O144" s="5">
        <v>4.5483424663543701</v>
      </c>
      <c r="P144" t="str">
        <f t="shared" si="2"/>
        <v>ft31_AdamW</v>
      </c>
    </row>
    <row r="145" spans="1:16">
      <c r="A145" t="s">
        <v>89</v>
      </c>
      <c r="B145" t="s">
        <v>88</v>
      </c>
      <c r="C145" t="s">
        <v>123</v>
      </c>
      <c r="D145" t="s">
        <v>82</v>
      </c>
      <c r="E145">
        <v>18</v>
      </c>
      <c r="F145">
        <v>32</v>
      </c>
      <c r="G145" s="5">
        <v>0.23799999999999999</v>
      </c>
      <c r="H145" s="5">
        <v>0.375</v>
      </c>
      <c r="I145" s="5">
        <v>0.29099999999999998</v>
      </c>
      <c r="J145" s="5">
        <v>0.189</v>
      </c>
      <c r="K145" s="5">
        <v>0.10199999999999999</v>
      </c>
      <c r="L145" s="5">
        <v>0.23</v>
      </c>
      <c r="M145" s="5">
        <v>0.125</v>
      </c>
      <c r="N145" s="5">
        <v>0.16200000000000001</v>
      </c>
      <c r="O145" s="5">
        <v>4.50457334518432</v>
      </c>
      <c r="P145" t="str">
        <f t="shared" si="2"/>
        <v>ft31_AdamW_finloop.pt</v>
      </c>
    </row>
    <row r="146" spans="1:16">
      <c r="A146" t="s">
        <v>89</v>
      </c>
      <c r="B146" t="s">
        <v>88</v>
      </c>
      <c r="C146" t="s">
        <v>124</v>
      </c>
      <c r="D146" t="s">
        <v>82</v>
      </c>
      <c r="E146">
        <v>18</v>
      </c>
      <c r="F146">
        <v>32</v>
      </c>
      <c r="G146" s="5">
        <v>0.35399999999999998</v>
      </c>
      <c r="H146" s="5">
        <v>0.35899999999999999</v>
      </c>
      <c r="I146" s="5">
        <v>0.35699999999999998</v>
      </c>
      <c r="J146" s="5">
        <v>0.33</v>
      </c>
      <c r="K146" s="5">
        <v>0.17699999999999999</v>
      </c>
      <c r="L146" s="5">
        <v>0.19900000000000001</v>
      </c>
      <c r="M146" s="5">
        <v>0.219</v>
      </c>
      <c r="N146" s="5">
        <v>0.20799999999999999</v>
      </c>
      <c r="O146" s="5">
        <v>4.4648711681365896</v>
      </c>
      <c r="P146" t="str">
        <f t="shared" si="2"/>
        <v>ft31_SGD</v>
      </c>
    </row>
    <row r="147" spans="1:16">
      <c r="A147" t="s">
        <v>89</v>
      </c>
      <c r="B147" t="s">
        <v>88</v>
      </c>
      <c r="C147" t="s">
        <v>125</v>
      </c>
      <c r="D147" t="s">
        <v>82</v>
      </c>
      <c r="E147">
        <v>18</v>
      </c>
      <c r="F147">
        <v>32</v>
      </c>
      <c r="G147" s="5">
        <v>0.27400000000000002</v>
      </c>
      <c r="H147" s="5">
        <v>0.312</v>
      </c>
      <c r="I147" s="5">
        <v>0.29199999999999998</v>
      </c>
      <c r="J147" s="5">
        <v>0.19</v>
      </c>
      <c r="K147" s="5">
        <v>0.10299999999999999</v>
      </c>
      <c r="L147" s="5">
        <v>0.27800000000000002</v>
      </c>
      <c r="M147" s="5">
        <v>0.125</v>
      </c>
      <c r="N147" s="5">
        <v>0.17199999999999999</v>
      </c>
      <c r="O147" s="5">
        <v>4.4316172599792401</v>
      </c>
      <c r="P147" t="str">
        <f t="shared" si="2"/>
        <v>ft31_SGD_finloop.pt</v>
      </c>
    </row>
    <row r="148" spans="1:16">
      <c r="A148" t="s">
        <v>89</v>
      </c>
      <c r="B148" t="s">
        <v>88</v>
      </c>
      <c r="C148" t="s">
        <v>126</v>
      </c>
      <c r="D148" t="s">
        <v>82</v>
      </c>
      <c r="E148">
        <v>18</v>
      </c>
      <c r="F148">
        <v>32</v>
      </c>
      <c r="G148" s="5">
        <v>0.63100000000000001</v>
      </c>
      <c r="H148" s="5">
        <v>0.28100000000000003</v>
      </c>
      <c r="I148" s="5">
        <v>0.38900000000000001</v>
      </c>
      <c r="J148" s="5">
        <v>0.28499999999999998</v>
      </c>
      <c r="K148" s="5">
        <v>0.17399999999999999</v>
      </c>
      <c r="L148" s="5">
        <v>0.55800000000000005</v>
      </c>
      <c r="M148" s="5">
        <v>0.25</v>
      </c>
      <c r="N148" s="5">
        <v>0.34499999999999997</v>
      </c>
      <c r="O148" s="5">
        <v>4.4364378452300999</v>
      </c>
      <c r="P148" t="str">
        <f t="shared" si="2"/>
        <v>ft32_AdamW</v>
      </c>
    </row>
    <row r="149" spans="1:16">
      <c r="A149" t="s">
        <v>89</v>
      </c>
      <c r="B149" t="s">
        <v>88</v>
      </c>
      <c r="C149" t="s">
        <v>127</v>
      </c>
      <c r="D149" t="s">
        <v>82</v>
      </c>
      <c r="E149">
        <v>18</v>
      </c>
      <c r="F149">
        <v>32</v>
      </c>
      <c r="G149" s="5">
        <v>0.38900000000000001</v>
      </c>
      <c r="H149" s="5">
        <v>0.28100000000000003</v>
      </c>
      <c r="I149" s="5">
        <v>0.32700000000000001</v>
      </c>
      <c r="J149" s="5">
        <v>0.20200000000000001</v>
      </c>
      <c r="K149" s="5">
        <v>0.10199999999999999</v>
      </c>
      <c r="L149" s="5">
        <v>0.21099999999999999</v>
      </c>
      <c r="M149" s="5">
        <v>0.156</v>
      </c>
      <c r="N149" s="5">
        <v>0.18</v>
      </c>
      <c r="O149" s="5">
        <v>4.2026216983795104</v>
      </c>
      <c r="P149" t="str">
        <f t="shared" si="2"/>
        <v>ft32_AdamW_finloop.pt</v>
      </c>
    </row>
    <row r="150" spans="1:16">
      <c r="A150" t="s">
        <v>89</v>
      </c>
      <c r="B150" t="s">
        <v>88</v>
      </c>
      <c r="C150" t="s">
        <v>128</v>
      </c>
      <c r="D150" t="s">
        <v>82</v>
      </c>
      <c r="E150">
        <v>18</v>
      </c>
      <c r="F150">
        <v>32</v>
      </c>
      <c r="G150" s="5">
        <v>0.32800000000000001</v>
      </c>
      <c r="H150" s="5">
        <v>0.375</v>
      </c>
      <c r="I150" s="5">
        <v>0.35</v>
      </c>
      <c r="J150" s="5">
        <v>0.29299999999999998</v>
      </c>
      <c r="K150" s="5">
        <v>0.14499999999999999</v>
      </c>
      <c r="L150" s="5">
        <v>0.16800000000000001</v>
      </c>
      <c r="M150" s="5">
        <v>0.375</v>
      </c>
      <c r="N150" s="5">
        <v>0.23200000000000001</v>
      </c>
      <c r="O150" s="5">
        <v>4.43450856208801</v>
      </c>
      <c r="P150" t="str">
        <f t="shared" si="2"/>
        <v>ft32_SGD</v>
      </c>
    </row>
    <row r="151" spans="1:16">
      <c r="A151" t="s">
        <v>89</v>
      </c>
      <c r="B151" t="s">
        <v>88</v>
      </c>
      <c r="C151" t="s">
        <v>129</v>
      </c>
      <c r="D151" t="s">
        <v>82</v>
      </c>
      <c r="E151">
        <v>18</v>
      </c>
      <c r="F151">
        <v>32</v>
      </c>
      <c r="G151" s="5">
        <v>0.378</v>
      </c>
      <c r="H151" s="5">
        <v>0.28100000000000003</v>
      </c>
      <c r="I151" s="5">
        <v>0.32200000000000001</v>
      </c>
      <c r="J151" s="5">
        <v>0.21199999999999999</v>
      </c>
      <c r="K151" s="5">
        <v>0.112</v>
      </c>
      <c r="L151" s="5">
        <v>0.192</v>
      </c>
      <c r="M151" s="5">
        <v>0.156</v>
      </c>
      <c r="N151" s="5">
        <v>0.17199999999999999</v>
      </c>
      <c r="O151" s="5">
        <v>4.1826546192169101</v>
      </c>
      <c r="P151" t="str">
        <f t="shared" si="2"/>
        <v>ft32_SGD_finloop.pt</v>
      </c>
    </row>
    <row r="152" spans="1:16">
      <c r="A152" t="s">
        <v>89</v>
      </c>
      <c r="B152" t="s">
        <v>88</v>
      </c>
      <c r="C152" t="s">
        <v>130</v>
      </c>
      <c r="D152" t="s">
        <v>82</v>
      </c>
      <c r="E152">
        <v>18</v>
      </c>
      <c r="F152">
        <v>32</v>
      </c>
      <c r="G152" s="5">
        <v>0.34899999999999998</v>
      </c>
      <c r="H152" s="5">
        <v>0.312</v>
      </c>
      <c r="I152" s="5">
        <v>0.33</v>
      </c>
      <c r="J152" s="5">
        <v>0.23599999999999999</v>
      </c>
      <c r="K152" s="5">
        <v>0.112</v>
      </c>
      <c r="L152" s="5">
        <v>0.30499999999999999</v>
      </c>
      <c r="M152" s="5">
        <v>0.188</v>
      </c>
      <c r="N152" s="5">
        <v>0.23200000000000001</v>
      </c>
      <c r="O152" s="5">
        <v>4.6332163810729901</v>
      </c>
      <c r="P152" t="str">
        <f t="shared" si="2"/>
        <v>ft33_AdamW</v>
      </c>
    </row>
    <row r="153" spans="1:16">
      <c r="A153" t="s">
        <v>89</v>
      </c>
      <c r="B153" t="s">
        <v>88</v>
      </c>
      <c r="C153" t="s">
        <v>131</v>
      </c>
      <c r="D153" t="s">
        <v>82</v>
      </c>
      <c r="E153">
        <v>18</v>
      </c>
      <c r="F153">
        <v>32</v>
      </c>
      <c r="G153" s="5">
        <v>0.56799999999999995</v>
      </c>
      <c r="H153" s="5">
        <v>0.188</v>
      </c>
      <c r="I153" s="5">
        <v>0.28199999999999997</v>
      </c>
      <c r="J153" s="5">
        <v>0.184</v>
      </c>
      <c r="K153" s="5">
        <v>0.1</v>
      </c>
      <c r="L153" s="5">
        <v>0.16300000000000001</v>
      </c>
      <c r="M153" s="5">
        <v>0.156</v>
      </c>
      <c r="N153" s="5">
        <v>0.159</v>
      </c>
      <c r="O153" s="5">
        <v>4.3206212520599303</v>
      </c>
      <c r="P153" t="str">
        <f t="shared" si="2"/>
        <v>ft33_AdamW_finloop.pt</v>
      </c>
    </row>
    <row r="154" spans="1:16">
      <c r="A154" t="s">
        <v>89</v>
      </c>
      <c r="B154" t="s">
        <v>88</v>
      </c>
      <c r="C154" t="s">
        <v>132</v>
      </c>
      <c r="D154" t="s">
        <v>82</v>
      </c>
      <c r="E154">
        <v>18</v>
      </c>
      <c r="F154">
        <v>32</v>
      </c>
      <c r="G154" s="5">
        <v>0.39800000000000002</v>
      </c>
      <c r="H154" s="5">
        <v>0.34399999999999997</v>
      </c>
      <c r="I154" s="5">
        <v>0.36899999999999999</v>
      </c>
      <c r="J154" s="5">
        <v>0.32100000000000001</v>
      </c>
      <c r="K154" s="5">
        <v>0.16900000000000001</v>
      </c>
      <c r="L154" s="5">
        <v>0.19</v>
      </c>
      <c r="M154" s="5">
        <v>0.28100000000000003</v>
      </c>
      <c r="N154" s="5">
        <v>0.22700000000000001</v>
      </c>
      <c r="O154" s="5">
        <v>4.7811865806579501</v>
      </c>
      <c r="P154" t="str">
        <f t="shared" si="2"/>
        <v>ft33_SGD</v>
      </c>
    </row>
    <row r="155" spans="1:16" s="7" customFormat="1">
      <c r="A155" s="7" t="s">
        <v>89</v>
      </c>
      <c r="B155" s="7" t="s">
        <v>88</v>
      </c>
      <c r="C155" s="7" t="s">
        <v>133</v>
      </c>
      <c r="D155" s="7" t="s">
        <v>82</v>
      </c>
      <c r="E155" s="7">
        <v>18</v>
      </c>
      <c r="F155" s="7">
        <v>32</v>
      </c>
      <c r="G155" s="10">
        <v>0.36799999999999999</v>
      </c>
      <c r="H155" s="10">
        <v>0.28100000000000003</v>
      </c>
      <c r="I155" s="10">
        <v>0.31900000000000001</v>
      </c>
      <c r="J155" s="10">
        <v>0.189</v>
      </c>
      <c r="K155" s="10">
        <v>9.5000000000000001E-2</v>
      </c>
      <c r="L155" s="10">
        <v>0.29399999999999998</v>
      </c>
      <c r="M155" s="10">
        <v>0.125</v>
      </c>
      <c r="N155" s="10">
        <v>0.17499999999999999</v>
      </c>
      <c r="O155" s="10">
        <v>4.28295803070068</v>
      </c>
      <c r="P155" t="str">
        <f t="shared" si="2"/>
        <v>ft33_SGD_finloop.pt</v>
      </c>
    </row>
    <row r="156" spans="1:16">
      <c r="A156" t="s">
        <v>90</v>
      </c>
      <c r="B156" t="s">
        <v>87</v>
      </c>
      <c r="C156" t="s">
        <v>79</v>
      </c>
      <c r="D156" t="s">
        <v>80</v>
      </c>
      <c r="E156">
        <v>789</v>
      </c>
      <c r="F156">
        <v>789</v>
      </c>
      <c r="G156" s="5">
        <v>6.2E-2</v>
      </c>
      <c r="H156" s="5">
        <v>2.7E-2</v>
      </c>
      <c r="I156" s="5">
        <v>3.6999999999999998E-2</v>
      </c>
      <c r="J156" s="5">
        <v>8.0000000000000002E-3</v>
      </c>
      <c r="K156" s="5">
        <v>1E-3</v>
      </c>
      <c r="L156" s="5">
        <v>0</v>
      </c>
      <c r="M156" s="5">
        <v>0</v>
      </c>
      <c r="N156" s="5">
        <v>0</v>
      </c>
      <c r="O156" s="5">
        <v>23.187821149826</v>
      </c>
      <c r="P156" t="str">
        <f t="shared" si="2"/>
        <v>finloop</v>
      </c>
    </row>
    <row r="157" spans="1:16">
      <c r="A157" t="s">
        <v>90</v>
      </c>
      <c r="B157" t="s">
        <v>87</v>
      </c>
      <c r="C157" t="s">
        <v>81</v>
      </c>
      <c r="D157" t="s">
        <v>82</v>
      </c>
      <c r="E157">
        <v>789</v>
      </c>
      <c r="F157">
        <v>789</v>
      </c>
      <c r="G157" s="5">
        <v>0.999</v>
      </c>
      <c r="H157" s="5">
        <v>0.99099999999999999</v>
      </c>
      <c r="I157" s="5">
        <v>0.995</v>
      </c>
      <c r="J157" s="5">
        <v>0.995</v>
      </c>
      <c r="K157" s="5">
        <v>0.91200000000000003</v>
      </c>
      <c r="L157" s="5">
        <v>0.999</v>
      </c>
      <c r="M157" s="5">
        <v>0.99099999999999999</v>
      </c>
      <c r="N157" s="5">
        <v>0.995</v>
      </c>
      <c r="O157" s="5">
        <v>12.5086109638214</v>
      </c>
      <c r="P157" t="str">
        <f t="shared" si="2"/>
        <v>ft21SGD</v>
      </c>
    </row>
    <row r="158" spans="1:16">
      <c r="A158" t="s">
        <v>90</v>
      </c>
      <c r="B158" t="s">
        <v>87</v>
      </c>
      <c r="C158" t="s">
        <v>114</v>
      </c>
      <c r="D158" t="s">
        <v>82</v>
      </c>
      <c r="E158">
        <v>789</v>
      </c>
      <c r="F158">
        <v>789</v>
      </c>
      <c r="G158" s="5">
        <v>0.999</v>
      </c>
      <c r="H158" s="5">
        <v>0.99399999999999999</v>
      </c>
      <c r="I158" s="5">
        <v>0.996</v>
      </c>
      <c r="J158" s="5">
        <v>0.995</v>
      </c>
      <c r="K158" s="5">
        <v>0.93700000000000006</v>
      </c>
      <c r="L158" s="5">
        <v>0.999</v>
      </c>
      <c r="M158" s="5">
        <v>0.99399999999999999</v>
      </c>
      <c r="N158" s="5">
        <v>0.996</v>
      </c>
      <c r="O158" s="5">
        <v>12.4267883300781</v>
      </c>
      <c r="P158" t="str">
        <f t="shared" si="2"/>
        <v>ft29_AdamW</v>
      </c>
    </row>
    <row r="159" spans="1:16">
      <c r="A159" t="s">
        <v>90</v>
      </c>
      <c r="B159" t="s">
        <v>87</v>
      </c>
      <c r="C159" t="s">
        <v>115</v>
      </c>
      <c r="D159" t="s">
        <v>82</v>
      </c>
      <c r="E159">
        <v>789</v>
      </c>
      <c r="F159">
        <v>789</v>
      </c>
      <c r="G159" s="5">
        <v>0.996</v>
      </c>
      <c r="H159" s="5">
        <v>0.97099999999999997</v>
      </c>
      <c r="I159" s="5">
        <v>0.98299999999999998</v>
      </c>
      <c r="J159" s="5">
        <v>0.98899999999999999</v>
      </c>
      <c r="K159" s="5">
        <v>0.80900000000000005</v>
      </c>
      <c r="L159" s="5">
        <v>0.99399999999999999</v>
      </c>
      <c r="M159" s="5">
        <v>0.96799999999999997</v>
      </c>
      <c r="N159" s="5">
        <v>0.98099999999999998</v>
      </c>
      <c r="O159" s="5">
        <v>11.0014147758483</v>
      </c>
      <c r="P159" t="str">
        <f t="shared" si="2"/>
        <v>ft29_AdamW_finloop.pt</v>
      </c>
    </row>
    <row r="160" spans="1:16">
      <c r="A160" t="s">
        <v>90</v>
      </c>
      <c r="B160" t="s">
        <v>87</v>
      </c>
      <c r="C160" t="s">
        <v>116</v>
      </c>
      <c r="D160" t="s">
        <v>82</v>
      </c>
      <c r="E160">
        <v>789</v>
      </c>
      <c r="F160">
        <v>789</v>
      </c>
      <c r="G160" s="5">
        <v>0.99199999999999999</v>
      </c>
      <c r="H160" s="5">
        <v>0.98</v>
      </c>
      <c r="I160" s="5">
        <v>0.98599999999999999</v>
      </c>
      <c r="J160" s="5">
        <v>0.99299999999999999</v>
      </c>
      <c r="K160" s="5">
        <v>0.81100000000000005</v>
      </c>
      <c r="L160" s="5">
        <v>0.99199999999999999</v>
      </c>
      <c r="M160" s="5">
        <v>0.98</v>
      </c>
      <c r="N160" s="5">
        <v>0.98599999999999999</v>
      </c>
      <c r="O160" s="5">
        <v>12.8108792304992</v>
      </c>
      <c r="P160" t="str">
        <f t="shared" si="2"/>
        <v>ft29_SGD</v>
      </c>
    </row>
    <row r="161" spans="1:16">
      <c r="A161" t="s">
        <v>90</v>
      </c>
      <c r="B161" t="s">
        <v>87</v>
      </c>
      <c r="C161" t="s">
        <v>117</v>
      </c>
      <c r="D161" t="s">
        <v>82</v>
      </c>
      <c r="E161">
        <v>789</v>
      </c>
      <c r="F161">
        <v>789</v>
      </c>
      <c r="G161" s="5">
        <v>0.91300000000000003</v>
      </c>
      <c r="H161" s="5">
        <v>0.84299999999999997</v>
      </c>
      <c r="I161" s="5">
        <v>0.877</v>
      </c>
      <c r="J161" s="5">
        <v>0.92100000000000004</v>
      </c>
      <c r="K161" s="5">
        <v>0.56799999999999995</v>
      </c>
      <c r="L161" s="5">
        <v>0.91200000000000003</v>
      </c>
      <c r="M161" s="5">
        <v>0.84199999999999997</v>
      </c>
      <c r="N161" s="5">
        <v>0.875</v>
      </c>
      <c r="O161" s="5">
        <v>11.193594932556101</v>
      </c>
      <c r="P161" t="str">
        <f t="shared" si="2"/>
        <v>ft29_SGD_finloop.pt</v>
      </c>
    </row>
    <row r="162" spans="1:16">
      <c r="A162" t="s">
        <v>90</v>
      </c>
      <c r="B162" t="s">
        <v>87</v>
      </c>
      <c r="C162" t="s">
        <v>118</v>
      </c>
      <c r="D162" t="s">
        <v>82</v>
      </c>
      <c r="E162">
        <v>789</v>
      </c>
      <c r="F162">
        <v>789</v>
      </c>
      <c r="G162" s="5">
        <v>1</v>
      </c>
      <c r="H162" s="5">
        <v>0.99</v>
      </c>
      <c r="I162" s="5">
        <v>0.995</v>
      </c>
      <c r="J162" s="5">
        <v>0.995</v>
      </c>
      <c r="K162" s="5">
        <v>0.90800000000000003</v>
      </c>
      <c r="L162" s="5">
        <v>1</v>
      </c>
      <c r="M162" s="5">
        <v>0.99</v>
      </c>
      <c r="N162" s="5">
        <v>0.995</v>
      </c>
      <c r="O162" s="5">
        <v>12.591459989547699</v>
      </c>
      <c r="P162" t="str">
        <f t="shared" si="2"/>
        <v>ft30_AdamW</v>
      </c>
    </row>
    <row r="163" spans="1:16">
      <c r="A163" t="s">
        <v>90</v>
      </c>
      <c r="B163" t="s">
        <v>87</v>
      </c>
      <c r="C163" t="s">
        <v>119</v>
      </c>
      <c r="D163" t="s">
        <v>82</v>
      </c>
      <c r="E163">
        <v>789</v>
      </c>
      <c r="F163">
        <v>789</v>
      </c>
      <c r="G163" s="5">
        <v>0.98499999999999999</v>
      </c>
      <c r="H163" s="5">
        <v>0.93</v>
      </c>
      <c r="I163" s="5">
        <v>0.95699999999999996</v>
      </c>
      <c r="J163" s="5">
        <v>0.97599999999999998</v>
      </c>
      <c r="K163" s="5">
        <v>0.68400000000000005</v>
      </c>
      <c r="L163" s="5">
        <v>0.98499999999999999</v>
      </c>
      <c r="M163" s="5">
        <v>0.93</v>
      </c>
      <c r="N163" s="5">
        <v>0.95699999999999996</v>
      </c>
      <c r="O163" s="5">
        <v>10.9715783596038</v>
      </c>
      <c r="P163" t="str">
        <f t="shared" si="2"/>
        <v>ft30_AdamW_finloop.pt</v>
      </c>
    </row>
    <row r="164" spans="1:16">
      <c r="A164" t="s">
        <v>90</v>
      </c>
      <c r="B164" t="s">
        <v>87</v>
      </c>
      <c r="C164" t="s">
        <v>120</v>
      </c>
      <c r="D164" t="s">
        <v>82</v>
      </c>
      <c r="E164">
        <v>789</v>
      </c>
      <c r="F164">
        <v>789</v>
      </c>
      <c r="G164" s="5">
        <v>0.98199999999999998</v>
      </c>
      <c r="H164" s="5">
        <v>0.96699999999999997</v>
      </c>
      <c r="I164" s="5">
        <v>0.97499999999999998</v>
      </c>
      <c r="J164" s="5">
        <v>0.98599999999999999</v>
      </c>
      <c r="K164" s="5">
        <v>0.71599999999999997</v>
      </c>
      <c r="L164" s="5">
        <v>0.98</v>
      </c>
      <c r="M164" s="5">
        <v>0.96499999999999997</v>
      </c>
      <c r="N164" s="5">
        <v>0.97199999999999998</v>
      </c>
      <c r="O164" s="5">
        <v>12.909945249557399</v>
      </c>
      <c r="P164" t="str">
        <f t="shared" si="2"/>
        <v>ft30_SGD</v>
      </c>
    </row>
    <row r="165" spans="1:16">
      <c r="A165" t="s">
        <v>90</v>
      </c>
      <c r="B165" t="s">
        <v>87</v>
      </c>
      <c r="C165" t="s">
        <v>121</v>
      </c>
      <c r="D165" t="s">
        <v>82</v>
      </c>
      <c r="E165">
        <v>789</v>
      </c>
      <c r="F165">
        <v>789</v>
      </c>
      <c r="G165" s="5">
        <v>0.85699999999999998</v>
      </c>
      <c r="H165" s="5">
        <v>0.79600000000000004</v>
      </c>
      <c r="I165" s="5">
        <v>0.82499999999999996</v>
      </c>
      <c r="J165" s="5">
        <v>0.86499999999999999</v>
      </c>
      <c r="K165" s="5">
        <v>0.49399999999999999</v>
      </c>
      <c r="L165" s="5">
        <v>0.84699999999999998</v>
      </c>
      <c r="M165" s="5">
        <v>0.79</v>
      </c>
      <c r="N165" s="5">
        <v>0.81699999999999995</v>
      </c>
      <c r="O165" s="5">
        <v>11.6599888801574</v>
      </c>
      <c r="P165" t="str">
        <f t="shared" si="2"/>
        <v>ft30_SGD_finloop.pt</v>
      </c>
    </row>
    <row r="166" spans="1:16">
      <c r="A166" t="s">
        <v>90</v>
      </c>
      <c r="B166" t="s">
        <v>87</v>
      </c>
      <c r="C166" t="s">
        <v>122</v>
      </c>
      <c r="D166" t="s">
        <v>82</v>
      </c>
      <c r="E166">
        <v>789</v>
      </c>
      <c r="F166">
        <v>789</v>
      </c>
      <c r="G166" s="5">
        <v>0.998</v>
      </c>
      <c r="H166" s="5">
        <v>0.99199999999999999</v>
      </c>
      <c r="I166" s="5">
        <v>0.995</v>
      </c>
      <c r="J166" s="5">
        <v>0.995</v>
      </c>
      <c r="K166" s="5">
        <v>0.90900000000000003</v>
      </c>
      <c r="L166" s="5">
        <v>0.998</v>
      </c>
      <c r="M166" s="5">
        <v>0.99099999999999999</v>
      </c>
      <c r="N166" s="5">
        <v>0.995</v>
      </c>
      <c r="O166" s="5">
        <v>12.546639919281001</v>
      </c>
      <c r="P166" t="str">
        <f t="shared" si="2"/>
        <v>ft31_AdamW</v>
      </c>
    </row>
    <row r="167" spans="1:16">
      <c r="A167" t="s">
        <v>90</v>
      </c>
      <c r="B167" t="s">
        <v>87</v>
      </c>
      <c r="C167" t="s">
        <v>123</v>
      </c>
      <c r="D167" t="s">
        <v>82</v>
      </c>
      <c r="E167">
        <v>789</v>
      </c>
      <c r="F167">
        <v>789</v>
      </c>
      <c r="G167" s="5">
        <v>0.98099999999999998</v>
      </c>
      <c r="H167" s="5">
        <v>0.94399999999999995</v>
      </c>
      <c r="I167" s="5">
        <v>0.96199999999999997</v>
      </c>
      <c r="J167" s="5">
        <v>0.97699999999999998</v>
      </c>
      <c r="K167" s="5">
        <v>0.68</v>
      </c>
      <c r="L167" s="5">
        <v>0.98199999999999998</v>
      </c>
      <c r="M167" s="5">
        <v>0.94399999999999995</v>
      </c>
      <c r="N167" s="5">
        <v>0.96199999999999997</v>
      </c>
      <c r="O167" s="5">
        <v>11.160174846649101</v>
      </c>
      <c r="P167" t="str">
        <f t="shared" si="2"/>
        <v>ft31_AdamW_finloop.pt</v>
      </c>
    </row>
    <row r="168" spans="1:16">
      <c r="A168" t="s">
        <v>90</v>
      </c>
      <c r="B168" t="s">
        <v>87</v>
      </c>
      <c r="C168" t="s">
        <v>124</v>
      </c>
      <c r="D168" t="s">
        <v>82</v>
      </c>
      <c r="E168">
        <v>789</v>
      </c>
      <c r="F168">
        <v>789</v>
      </c>
      <c r="G168" s="5">
        <v>0.98799999999999999</v>
      </c>
      <c r="H168" s="5">
        <v>0.96699999999999997</v>
      </c>
      <c r="I168" s="5">
        <v>0.97799999999999998</v>
      </c>
      <c r="J168" s="5">
        <v>0.98899999999999999</v>
      </c>
      <c r="K168" s="5">
        <v>0.755</v>
      </c>
      <c r="L168" s="5">
        <v>0.98599999999999999</v>
      </c>
      <c r="M168" s="5">
        <v>0.96399999999999997</v>
      </c>
      <c r="N168" s="5">
        <v>0.97499999999999998</v>
      </c>
      <c r="O168" s="5">
        <v>12.902996301650999</v>
      </c>
      <c r="P168" t="str">
        <f t="shared" si="2"/>
        <v>ft31_SGD</v>
      </c>
    </row>
    <row r="169" spans="1:16">
      <c r="A169" t="s">
        <v>90</v>
      </c>
      <c r="B169" t="s">
        <v>87</v>
      </c>
      <c r="C169" t="s">
        <v>125</v>
      </c>
      <c r="D169" t="s">
        <v>82</v>
      </c>
      <c r="E169">
        <v>789</v>
      </c>
      <c r="F169">
        <v>789</v>
      </c>
      <c r="G169" s="5">
        <v>0.85299999999999998</v>
      </c>
      <c r="H169" s="5">
        <v>0.81599999999999995</v>
      </c>
      <c r="I169" s="5">
        <v>0.83399999999999996</v>
      </c>
      <c r="J169" s="5">
        <v>0.873</v>
      </c>
      <c r="K169" s="5">
        <v>0.505</v>
      </c>
      <c r="L169" s="5">
        <v>0.84499999999999997</v>
      </c>
      <c r="M169" s="5">
        <v>0.80900000000000005</v>
      </c>
      <c r="N169" s="5">
        <v>0.82699999999999996</v>
      </c>
      <c r="O169" s="5">
        <v>11.770044088363599</v>
      </c>
      <c r="P169" t="str">
        <f t="shared" si="2"/>
        <v>ft31_SGD_finloop.pt</v>
      </c>
    </row>
    <row r="170" spans="1:16">
      <c r="A170" t="s">
        <v>90</v>
      </c>
      <c r="B170" t="s">
        <v>87</v>
      </c>
      <c r="C170" t="s">
        <v>126</v>
      </c>
      <c r="D170" t="s">
        <v>82</v>
      </c>
      <c r="E170">
        <v>789</v>
      </c>
      <c r="F170">
        <v>789</v>
      </c>
      <c r="G170" s="5">
        <v>0.999</v>
      </c>
      <c r="H170" s="5">
        <v>0.99299999999999999</v>
      </c>
      <c r="I170" s="5">
        <v>0.996</v>
      </c>
      <c r="J170" s="5">
        <v>0.995</v>
      </c>
      <c r="K170" s="5">
        <v>0.90900000000000003</v>
      </c>
      <c r="L170" s="5">
        <v>0.999</v>
      </c>
      <c r="M170" s="5">
        <v>0.99199999999999999</v>
      </c>
      <c r="N170" s="5">
        <v>0.996</v>
      </c>
      <c r="O170" s="5">
        <v>12.7082018852233</v>
      </c>
      <c r="P170" t="str">
        <f t="shared" si="2"/>
        <v>ft32_AdamW</v>
      </c>
    </row>
    <row r="171" spans="1:16">
      <c r="A171" t="s">
        <v>90</v>
      </c>
      <c r="B171" t="s">
        <v>87</v>
      </c>
      <c r="C171" t="s">
        <v>127</v>
      </c>
      <c r="D171" t="s">
        <v>82</v>
      </c>
      <c r="E171">
        <v>789</v>
      </c>
      <c r="F171">
        <v>789</v>
      </c>
      <c r="G171" s="5">
        <v>0.97499999999999998</v>
      </c>
      <c r="H171" s="5">
        <v>0.94899999999999995</v>
      </c>
      <c r="I171" s="5">
        <v>0.96199999999999997</v>
      </c>
      <c r="J171" s="5">
        <v>0.97499999999999998</v>
      </c>
      <c r="K171" s="5">
        <v>0.68400000000000005</v>
      </c>
      <c r="L171" s="5">
        <v>0.97399999999999998</v>
      </c>
      <c r="M171" s="5">
        <v>0.94799999999999995</v>
      </c>
      <c r="N171" s="5">
        <v>0.96099999999999997</v>
      </c>
      <c r="O171" s="5">
        <v>11.356263160705501</v>
      </c>
      <c r="P171" t="str">
        <f t="shared" si="2"/>
        <v>ft32_AdamW_finloop.pt</v>
      </c>
    </row>
    <row r="172" spans="1:16">
      <c r="A172" t="s">
        <v>90</v>
      </c>
      <c r="B172" t="s">
        <v>87</v>
      </c>
      <c r="C172" t="s">
        <v>128</v>
      </c>
      <c r="D172" t="s">
        <v>82</v>
      </c>
      <c r="E172">
        <v>789</v>
      </c>
      <c r="F172">
        <v>789</v>
      </c>
      <c r="G172" s="5">
        <v>0.99199999999999999</v>
      </c>
      <c r="H172" s="5">
        <v>0.96599999999999997</v>
      </c>
      <c r="I172" s="5">
        <v>0.97899999999999998</v>
      </c>
      <c r="J172" s="5">
        <v>0.98799999999999999</v>
      </c>
      <c r="K172" s="5">
        <v>0.749</v>
      </c>
      <c r="L172" s="5">
        <v>0.99</v>
      </c>
      <c r="M172" s="5">
        <v>0.96399999999999997</v>
      </c>
      <c r="N172" s="5">
        <v>0.97599999999999998</v>
      </c>
      <c r="O172" s="5">
        <v>12.796423912048301</v>
      </c>
      <c r="P172" t="str">
        <f t="shared" si="2"/>
        <v>ft32_SGD</v>
      </c>
    </row>
    <row r="173" spans="1:16">
      <c r="A173" t="s">
        <v>90</v>
      </c>
      <c r="B173" t="s">
        <v>87</v>
      </c>
      <c r="C173" t="s">
        <v>129</v>
      </c>
      <c r="D173" t="s">
        <v>82</v>
      </c>
      <c r="E173">
        <v>789</v>
      </c>
      <c r="F173">
        <v>789</v>
      </c>
      <c r="G173" s="5">
        <v>0.85499999999999998</v>
      </c>
      <c r="H173" s="5">
        <v>0.79500000000000004</v>
      </c>
      <c r="I173" s="5">
        <v>0.82399999999999995</v>
      </c>
      <c r="J173" s="5">
        <v>0.87</v>
      </c>
      <c r="K173" s="5">
        <v>0.497</v>
      </c>
      <c r="L173" s="5">
        <v>0.85099999999999998</v>
      </c>
      <c r="M173" s="5">
        <v>0.78800000000000003</v>
      </c>
      <c r="N173" s="5">
        <v>0.81899999999999995</v>
      </c>
      <c r="O173" s="5">
        <v>11.566750049591001</v>
      </c>
      <c r="P173" t="str">
        <f t="shared" si="2"/>
        <v>ft32_SGD_finloop.pt</v>
      </c>
    </row>
    <row r="174" spans="1:16">
      <c r="A174" t="s">
        <v>90</v>
      </c>
      <c r="B174" t="s">
        <v>87</v>
      </c>
      <c r="C174" t="s">
        <v>130</v>
      </c>
      <c r="D174" t="s">
        <v>82</v>
      </c>
      <c r="E174">
        <v>789</v>
      </c>
      <c r="F174">
        <v>789</v>
      </c>
      <c r="G174" s="5">
        <v>0.999</v>
      </c>
      <c r="H174" s="5">
        <v>0.99099999999999999</v>
      </c>
      <c r="I174" s="5">
        <v>0.995</v>
      </c>
      <c r="J174" s="5">
        <v>0.995</v>
      </c>
      <c r="K174" s="5">
        <v>0.92900000000000005</v>
      </c>
      <c r="L174" s="5">
        <v>0.999</v>
      </c>
      <c r="M174" s="5">
        <v>0.99199999999999999</v>
      </c>
      <c r="N174" s="5">
        <v>0.995</v>
      </c>
      <c r="O174" s="5">
        <v>12.527806758880599</v>
      </c>
      <c r="P174" t="str">
        <f t="shared" si="2"/>
        <v>ft33_AdamW</v>
      </c>
    </row>
    <row r="175" spans="1:16">
      <c r="A175" t="s">
        <v>90</v>
      </c>
      <c r="B175" t="s">
        <v>87</v>
      </c>
      <c r="C175" t="s">
        <v>131</v>
      </c>
      <c r="D175" t="s">
        <v>82</v>
      </c>
      <c r="E175">
        <v>789</v>
      </c>
      <c r="F175">
        <v>789</v>
      </c>
      <c r="G175" s="5">
        <v>0.98099999999999998</v>
      </c>
      <c r="H175" s="5">
        <v>0.94599999999999995</v>
      </c>
      <c r="I175" s="5">
        <v>0.96299999999999997</v>
      </c>
      <c r="J175" s="5">
        <v>0.97499999999999998</v>
      </c>
      <c r="K175" s="5">
        <v>0.70099999999999996</v>
      </c>
      <c r="L175" s="5">
        <v>0.98199999999999998</v>
      </c>
      <c r="M175" s="5">
        <v>0.94299999999999995</v>
      </c>
      <c r="N175" s="5">
        <v>0.96199999999999997</v>
      </c>
      <c r="O175" s="5">
        <v>11.112990617752001</v>
      </c>
      <c r="P175" t="str">
        <f t="shared" si="2"/>
        <v>ft33_AdamW_finloop.pt</v>
      </c>
    </row>
    <row r="176" spans="1:16">
      <c r="A176" t="s">
        <v>90</v>
      </c>
      <c r="B176" t="s">
        <v>87</v>
      </c>
      <c r="C176" t="s">
        <v>132</v>
      </c>
      <c r="D176" t="s">
        <v>82</v>
      </c>
      <c r="E176">
        <v>789</v>
      </c>
      <c r="F176">
        <v>789</v>
      </c>
      <c r="G176" s="5">
        <v>0.98699999999999999</v>
      </c>
      <c r="H176" s="5">
        <v>0.97499999999999998</v>
      </c>
      <c r="I176" s="5">
        <v>0.98099999999999998</v>
      </c>
      <c r="J176" s="5">
        <v>0.98899999999999999</v>
      </c>
      <c r="K176" s="5">
        <v>0.77700000000000002</v>
      </c>
      <c r="L176" s="5">
        <v>0.98399999999999999</v>
      </c>
      <c r="M176" s="5">
        <v>0.97199999999999998</v>
      </c>
      <c r="N176" s="5">
        <v>0.97799999999999998</v>
      </c>
      <c r="O176" s="5">
        <v>13.0535044670104</v>
      </c>
      <c r="P176" t="str">
        <f t="shared" si="2"/>
        <v>ft33_SGD</v>
      </c>
    </row>
    <row r="177" spans="1:16" s="7" customFormat="1">
      <c r="A177" s="7" t="s">
        <v>90</v>
      </c>
      <c r="B177" s="7" t="s">
        <v>87</v>
      </c>
      <c r="C177" s="7" t="s">
        <v>133</v>
      </c>
      <c r="D177" s="7" t="s">
        <v>82</v>
      </c>
      <c r="E177" s="7">
        <v>789</v>
      </c>
      <c r="F177" s="7">
        <v>789</v>
      </c>
      <c r="G177" s="10">
        <v>0.874</v>
      </c>
      <c r="H177" s="10">
        <v>0.77900000000000003</v>
      </c>
      <c r="I177" s="10">
        <v>0.82399999999999995</v>
      </c>
      <c r="J177" s="10">
        <v>0.85899999999999999</v>
      </c>
      <c r="K177" s="10">
        <v>0.48399999999999999</v>
      </c>
      <c r="L177" s="10">
        <v>0.87</v>
      </c>
      <c r="M177" s="10">
        <v>0.77600000000000002</v>
      </c>
      <c r="N177" s="10">
        <v>0.82</v>
      </c>
      <c r="O177" s="10">
        <v>11.4039192199707</v>
      </c>
      <c r="P177" t="str">
        <f t="shared" si="2"/>
        <v>ft33_SGD_finloop.pt</v>
      </c>
    </row>
    <row r="178" spans="1:16">
      <c r="A178" t="s">
        <v>90</v>
      </c>
      <c r="B178" t="s">
        <v>78</v>
      </c>
      <c r="C178" t="s">
        <v>79</v>
      </c>
      <c r="D178" t="s">
        <v>80</v>
      </c>
      <c r="E178">
        <v>225</v>
      </c>
      <c r="F178">
        <v>225</v>
      </c>
      <c r="G178" s="5">
        <v>4.5999999999999999E-2</v>
      </c>
      <c r="H178" s="5">
        <v>5.2999999999999999E-2</v>
      </c>
      <c r="I178" s="5">
        <v>0.05</v>
      </c>
      <c r="J178" s="5">
        <v>1.0999999999999999E-2</v>
      </c>
      <c r="K178" s="5">
        <v>2E-3</v>
      </c>
      <c r="L178" s="5">
        <v>0</v>
      </c>
      <c r="M178" s="5">
        <v>0</v>
      </c>
      <c r="N178" s="5">
        <v>0</v>
      </c>
      <c r="O178" s="5">
        <v>14.0085141658782</v>
      </c>
      <c r="P178" t="str">
        <f t="shared" si="2"/>
        <v>finloop</v>
      </c>
    </row>
    <row r="179" spans="1:16">
      <c r="A179" t="s">
        <v>90</v>
      </c>
      <c r="B179" t="s">
        <v>78</v>
      </c>
      <c r="C179" t="s">
        <v>81</v>
      </c>
      <c r="D179" t="s">
        <v>82</v>
      </c>
      <c r="E179">
        <v>225</v>
      </c>
      <c r="F179">
        <v>225</v>
      </c>
      <c r="G179" s="5">
        <v>1</v>
      </c>
      <c r="H179" s="5">
        <v>1</v>
      </c>
      <c r="I179" s="5">
        <v>1</v>
      </c>
      <c r="J179" s="5">
        <v>0.995</v>
      </c>
      <c r="K179" s="5">
        <v>0.91900000000000004</v>
      </c>
      <c r="L179" s="5">
        <v>1</v>
      </c>
      <c r="M179" s="5">
        <v>1</v>
      </c>
      <c r="N179" s="5">
        <v>1</v>
      </c>
      <c r="O179" s="5">
        <v>8.2894365787506104</v>
      </c>
      <c r="P179" t="str">
        <f t="shared" si="2"/>
        <v>ft21SGD</v>
      </c>
    </row>
    <row r="180" spans="1:16">
      <c r="A180" t="s">
        <v>90</v>
      </c>
      <c r="B180" t="s">
        <v>78</v>
      </c>
      <c r="C180" t="s">
        <v>114</v>
      </c>
      <c r="D180" t="s">
        <v>82</v>
      </c>
      <c r="E180">
        <v>225</v>
      </c>
      <c r="F180">
        <v>225</v>
      </c>
      <c r="G180" s="5">
        <v>1</v>
      </c>
      <c r="H180" s="5">
        <v>1</v>
      </c>
      <c r="I180" s="5">
        <v>1</v>
      </c>
      <c r="J180" s="5">
        <v>0.995</v>
      </c>
      <c r="K180" s="5">
        <v>0.92700000000000005</v>
      </c>
      <c r="L180" s="5">
        <v>1</v>
      </c>
      <c r="M180" s="5">
        <v>1</v>
      </c>
      <c r="N180" s="5">
        <v>1</v>
      </c>
      <c r="O180" s="5">
        <v>8.2320399284362793</v>
      </c>
      <c r="P180" t="str">
        <f t="shared" si="2"/>
        <v>ft29_AdamW</v>
      </c>
    </row>
    <row r="181" spans="1:16">
      <c r="A181" t="s">
        <v>90</v>
      </c>
      <c r="B181" t="s">
        <v>78</v>
      </c>
      <c r="C181" t="s">
        <v>115</v>
      </c>
      <c r="D181" t="s">
        <v>82</v>
      </c>
      <c r="E181">
        <v>225</v>
      </c>
      <c r="F181">
        <v>225</v>
      </c>
      <c r="G181" s="5">
        <v>0.98299999999999998</v>
      </c>
      <c r="H181" s="5">
        <v>0.96899999999999997</v>
      </c>
      <c r="I181" s="5">
        <v>0.97599999999999998</v>
      </c>
      <c r="J181" s="5">
        <v>0.98799999999999999</v>
      </c>
      <c r="K181" s="5">
        <v>0.81100000000000005</v>
      </c>
      <c r="L181" s="5">
        <v>0.98699999999999999</v>
      </c>
      <c r="M181" s="5">
        <v>0.97299999999999998</v>
      </c>
      <c r="N181" s="5">
        <v>0.98</v>
      </c>
      <c r="O181" s="5">
        <v>7.5388033390045104</v>
      </c>
      <c r="P181" t="str">
        <f t="shared" si="2"/>
        <v>ft29_AdamW_finloop.pt</v>
      </c>
    </row>
    <row r="182" spans="1:16">
      <c r="A182" t="s">
        <v>90</v>
      </c>
      <c r="B182" t="s">
        <v>78</v>
      </c>
      <c r="C182" t="s">
        <v>116</v>
      </c>
      <c r="D182" t="s">
        <v>82</v>
      </c>
      <c r="E182">
        <v>225</v>
      </c>
      <c r="F182">
        <v>225</v>
      </c>
      <c r="G182" s="5">
        <v>0.999</v>
      </c>
      <c r="H182" s="5">
        <v>0.98699999999999999</v>
      </c>
      <c r="I182" s="5">
        <v>0.99299999999999999</v>
      </c>
      <c r="J182" s="5">
        <v>0.995</v>
      </c>
      <c r="K182" s="5">
        <v>0.81599999999999995</v>
      </c>
      <c r="L182" s="5">
        <v>0.99399999999999999</v>
      </c>
      <c r="M182" s="5">
        <v>0.98199999999999998</v>
      </c>
      <c r="N182" s="5">
        <v>0.98799999999999999</v>
      </c>
      <c r="O182" s="5">
        <v>8.2607274055480904</v>
      </c>
      <c r="P182" t="str">
        <f t="shared" si="2"/>
        <v>ft29_SGD</v>
      </c>
    </row>
    <row r="183" spans="1:16">
      <c r="A183" t="s">
        <v>90</v>
      </c>
      <c r="B183" t="s">
        <v>78</v>
      </c>
      <c r="C183" t="s">
        <v>117</v>
      </c>
      <c r="D183" t="s">
        <v>82</v>
      </c>
      <c r="E183">
        <v>225</v>
      </c>
      <c r="F183">
        <v>225</v>
      </c>
      <c r="G183" s="5">
        <v>0.91200000000000003</v>
      </c>
      <c r="H183" s="5">
        <v>0.80900000000000005</v>
      </c>
      <c r="I183" s="5">
        <v>0.85699999999999998</v>
      </c>
      <c r="J183" s="5">
        <v>0.89400000000000002</v>
      </c>
      <c r="K183" s="5">
        <v>0.50700000000000001</v>
      </c>
      <c r="L183" s="5">
        <v>0.93100000000000005</v>
      </c>
      <c r="M183" s="5">
        <v>0.78200000000000003</v>
      </c>
      <c r="N183" s="5">
        <v>0.85</v>
      </c>
      <c r="O183" s="5">
        <v>7.60731625556945</v>
      </c>
      <c r="P183" t="str">
        <f t="shared" si="2"/>
        <v>ft29_SGD_finloop.pt</v>
      </c>
    </row>
    <row r="184" spans="1:16">
      <c r="A184" t="s">
        <v>90</v>
      </c>
      <c r="B184" t="s">
        <v>78</v>
      </c>
      <c r="C184" t="s">
        <v>118</v>
      </c>
      <c r="D184" t="s">
        <v>82</v>
      </c>
      <c r="E184">
        <v>225</v>
      </c>
      <c r="F184">
        <v>225</v>
      </c>
      <c r="G184" s="5">
        <v>1</v>
      </c>
      <c r="H184" s="5">
        <v>1</v>
      </c>
      <c r="I184" s="5">
        <v>1</v>
      </c>
      <c r="J184" s="5">
        <v>0.995</v>
      </c>
      <c r="K184" s="5">
        <v>0.9</v>
      </c>
      <c r="L184" s="5">
        <v>1</v>
      </c>
      <c r="M184" s="5">
        <v>1</v>
      </c>
      <c r="N184" s="5">
        <v>1</v>
      </c>
      <c r="O184" s="5">
        <v>8.1980893611907906</v>
      </c>
      <c r="P184" t="str">
        <f t="shared" si="2"/>
        <v>ft30_AdamW</v>
      </c>
    </row>
    <row r="185" spans="1:16">
      <c r="A185" t="s">
        <v>90</v>
      </c>
      <c r="B185" t="s">
        <v>78</v>
      </c>
      <c r="C185" t="s">
        <v>119</v>
      </c>
      <c r="D185" t="s">
        <v>82</v>
      </c>
      <c r="E185">
        <v>225</v>
      </c>
      <c r="F185">
        <v>225</v>
      </c>
      <c r="G185" s="5">
        <v>0.95699999999999996</v>
      </c>
      <c r="H185" s="5">
        <v>0.90700000000000003</v>
      </c>
      <c r="I185" s="5">
        <v>0.93100000000000005</v>
      </c>
      <c r="J185" s="5">
        <v>0.97399999999999998</v>
      </c>
      <c r="K185" s="5">
        <v>0.68100000000000005</v>
      </c>
      <c r="L185" s="5">
        <v>0.95699999999999996</v>
      </c>
      <c r="M185" s="5">
        <v>0.90700000000000003</v>
      </c>
      <c r="N185" s="5">
        <v>0.93100000000000005</v>
      </c>
      <c r="O185" s="5">
        <v>7.5269055366516104</v>
      </c>
      <c r="P185" t="str">
        <f t="shared" si="2"/>
        <v>ft30_AdamW_finloop.pt</v>
      </c>
    </row>
    <row r="186" spans="1:16">
      <c r="A186" t="s">
        <v>90</v>
      </c>
      <c r="B186" t="s">
        <v>78</v>
      </c>
      <c r="C186" t="s">
        <v>120</v>
      </c>
      <c r="D186" t="s">
        <v>82</v>
      </c>
      <c r="E186">
        <v>225</v>
      </c>
      <c r="F186">
        <v>225</v>
      </c>
      <c r="G186" s="5">
        <v>0.98199999999999998</v>
      </c>
      <c r="H186" s="5">
        <v>0.97699999999999998</v>
      </c>
      <c r="I186" s="5">
        <v>0.97899999999999998</v>
      </c>
      <c r="J186" s="5">
        <v>0.99399999999999999</v>
      </c>
      <c r="K186" s="5">
        <v>0.73599999999999999</v>
      </c>
      <c r="L186" s="5">
        <v>0.98199999999999998</v>
      </c>
      <c r="M186" s="5">
        <v>0.97699999999999998</v>
      </c>
      <c r="N186" s="5">
        <v>0.97899999999999998</v>
      </c>
      <c r="O186" s="5">
        <v>8.4377782344818097</v>
      </c>
      <c r="P186" t="str">
        <f t="shared" si="2"/>
        <v>ft30_SGD</v>
      </c>
    </row>
    <row r="187" spans="1:16">
      <c r="A187" t="s">
        <v>90</v>
      </c>
      <c r="B187" t="s">
        <v>78</v>
      </c>
      <c r="C187" t="s">
        <v>121</v>
      </c>
      <c r="D187" t="s">
        <v>82</v>
      </c>
      <c r="E187">
        <v>225</v>
      </c>
      <c r="F187">
        <v>225</v>
      </c>
      <c r="G187" s="5">
        <v>0.88300000000000001</v>
      </c>
      <c r="H187" s="5">
        <v>0.68400000000000005</v>
      </c>
      <c r="I187" s="5">
        <v>0.77100000000000002</v>
      </c>
      <c r="J187" s="5">
        <v>0.81399999999999995</v>
      </c>
      <c r="K187" s="5">
        <v>0.42199999999999999</v>
      </c>
      <c r="L187" s="5">
        <v>0.877</v>
      </c>
      <c r="M187" s="5">
        <v>0.68</v>
      </c>
      <c r="N187" s="5">
        <v>0.76600000000000001</v>
      </c>
      <c r="O187" s="5">
        <v>7.7188398838043204</v>
      </c>
      <c r="P187" t="str">
        <f t="shared" si="2"/>
        <v>ft30_SGD_finloop.pt</v>
      </c>
    </row>
    <row r="188" spans="1:16">
      <c r="A188" t="s">
        <v>90</v>
      </c>
      <c r="B188" t="s">
        <v>78</v>
      </c>
      <c r="C188" t="s">
        <v>122</v>
      </c>
      <c r="D188" t="s">
        <v>82</v>
      </c>
      <c r="E188">
        <v>225</v>
      </c>
      <c r="F188">
        <v>225</v>
      </c>
      <c r="G188" s="5">
        <v>1</v>
      </c>
      <c r="H188" s="5">
        <v>1</v>
      </c>
      <c r="I188" s="5">
        <v>1</v>
      </c>
      <c r="J188" s="5">
        <v>0.995</v>
      </c>
      <c r="K188" s="5">
        <v>0.90400000000000003</v>
      </c>
      <c r="L188" s="5">
        <v>1</v>
      </c>
      <c r="M188" s="5">
        <v>1</v>
      </c>
      <c r="N188" s="5">
        <v>1</v>
      </c>
      <c r="O188" s="5">
        <v>8.4942688941955495</v>
      </c>
      <c r="P188" t="str">
        <f t="shared" si="2"/>
        <v>ft31_AdamW</v>
      </c>
    </row>
    <row r="189" spans="1:16">
      <c r="A189" t="s">
        <v>90</v>
      </c>
      <c r="B189" t="s">
        <v>78</v>
      </c>
      <c r="C189" t="s">
        <v>123</v>
      </c>
      <c r="D189" t="s">
        <v>82</v>
      </c>
      <c r="E189">
        <v>225</v>
      </c>
      <c r="F189">
        <v>225</v>
      </c>
      <c r="G189" s="5">
        <v>0.96699999999999997</v>
      </c>
      <c r="H189" s="5">
        <v>0.91800000000000004</v>
      </c>
      <c r="I189" s="5">
        <v>0.94199999999999995</v>
      </c>
      <c r="J189" s="5">
        <v>0.97399999999999998</v>
      </c>
      <c r="K189" s="5">
        <v>0.67900000000000005</v>
      </c>
      <c r="L189" s="5">
        <v>0.96699999999999997</v>
      </c>
      <c r="M189" s="5">
        <v>0.91800000000000004</v>
      </c>
      <c r="N189" s="5">
        <v>0.94199999999999995</v>
      </c>
      <c r="O189" s="5">
        <v>7.6503493785858101</v>
      </c>
      <c r="P189" t="str">
        <f t="shared" si="2"/>
        <v>ft31_AdamW_finloop.pt</v>
      </c>
    </row>
    <row r="190" spans="1:16">
      <c r="A190" t="s">
        <v>90</v>
      </c>
      <c r="B190" t="s">
        <v>78</v>
      </c>
      <c r="C190" t="s">
        <v>124</v>
      </c>
      <c r="D190" t="s">
        <v>82</v>
      </c>
      <c r="E190">
        <v>225</v>
      </c>
      <c r="F190">
        <v>225</v>
      </c>
      <c r="G190" s="5">
        <v>0.995</v>
      </c>
      <c r="H190" s="5">
        <v>0.97799999999999998</v>
      </c>
      <c r="I190" s="5">
        <v>0.98599999999999999</v>
      </c>
      <c r="J190" s="5">
        <v>0.99399999999999999</v>
      </c>
      <c r="K190" s="5">
        <v>0.76300000000000001</v>
      </c>
      <c r="L190" s="5">
        <v>0.995</v>
      </c>
      <c r="M190" s="5">
        <v>0.97799999999999998</v>
      </c>
      <c r="N190" s="5">
        <v>0.98599999999999999</v>
      </c>
      <c r="O190" s="5">
        <v>8.4580547809600795</v>
      </c>
      <c r="P190" t="str">
        <f t="shared" si="2"/>
        <v>ft31_SGD</v>
      </c>
    </row>
    <row r="191" spans="1:16">
      <c r="A191" t="s">
        <v>90</v>
      </c>
      <c r="B191" t="s">
        <v>78</v>
      </c>
      <c r="C191" t="s">
        <v>125</v>
      </c>
      <c r="D191" t="s">
        <v>82</v>
      </c>
      <c r="E191">
        <v>225</v>
      </c>
      <c r="F191">
        <v>225</v>
      </c>
      <c r="G191" s="5">
        <v>0.88400000000000001</v>
      </c>
      <c r="H191" s="5">
        <v>0.70699999999999996</v>
      </c>
      <c r="I191" s="5">
        <v>0.78600000000000003</v>
      </c>
      <c r="J191" s="5">
        <v>0.83</v>
      </c>
      <c r="K191" s="5">
        <v>0.44</v>
      </c>
      <c r="L191" s="5">
        <v>0.89600000000000002</v>
      </c>
      <c r="M191" s="5">
        <v>0.69</v>
      </c>
      <c r="N191" s="5">
        <v>0.78</v>
      </c>
      <c r="O191" s="5">
        <v>7.8795940876007</v>
      </c>
      <c r="P191" t="str">
        <f t="shared" si="2"/>
        <v>ft31_SGD_finloop.pt</v>
      </c>
    </row>
    <row r="192" spans="1:16">
      <c r="A192" t="s">
        <v>90</v>
      </c>
      <c r="B192" t="s">
        <v>78</v>
      </c>
      <c r="C192" t="s">
        <v>126</v>
      </c>
      <c r="D192" t="s">
        <v>82</v>
      </c>
      <c r="E192">
        <v>225</v>
      </c>
      <c r="F192">
        <v>225</v>
      </c>
      <c r="G192" s="5">
        <v>1</v>
      </c>
      <c r="H192" s="5">
        <v>0.995</v>
      </c>
      <c r="I192" s="5">
        <v>0.998</v>
      </c>
      <c r="J192" s="5">
        <v>0.995</v>
      </c>
      <c r="K192" s="5">
        <v>0.90100000000000002</v>
      </c>
      <c r="L192" s="5">
        <v>1</v>
      </c>
      <c r="M192" s="5">
        <v>0.995</v>
      </c>
      <c r="N192" s="5">
        <v>0.998</v>
      </c>
      <c r="O192" s="5">
        <v>8.1149580478668195</v>
      </c>
      <c r="P192" t="str">
        <f t="shared" si="2"/>
        <v>ft32_AdamW</v>
      </c>
    </row>
    <row r="193" spans="1:16">
      <c r="A193" t="s">
        <v>90</v>
      </c>
      <c r="B193" t="s">
        <v>78</v>
      </c>
      <c r="C193" t="s">
        <v>127</v>
      </c>
      <c r="D193" t="s">
        <v>82</v>
      </c>
      <c r="E193">
        <v>225</v>
      </c>
      <c r="F193">
        <v>225</v>
      </c>
      <c r="G193" s="5">
        <v>0.98099999999999998</v>
      </c>
      <c r="H193" s="5">
        <v>0.91300000000000003</v>
      </c>
      <c r="I193" s="5">
        <v>0.94599999999999995</v>
      </c>
      <c r="J193" s="5">
        <v>0.98299999999999998</v>
      </c>
      <c r="K193" s="5">
        <v>0.69299999999999995</v>
      </c>
      <c r="L193" s="5">
        <v>0.97699999999999998</v>
      </c>
      <c r="M193" s="5">
        <v>0.90700000000000003</v>
      </c>
      <c r="N193" s="5">
        <v>0.94</v>
      </c>
      <c r="O193" s="5">
        <v>7.6843006610870299</v>
      </c>
      <c r="P193" t="str">
        <f t="shared" si="2"/>
        <v>ft32_AdamW_finloop.pt</v>
      </c>
    </row>
    <row r="194" spans="1:16">
      <c r="A194" t="s">
        <v>90</v>
      </c>
      <c r="B194" t="s">
        <v>78</v>
      </c>
      <c r="C194" t="s">
        <v>128</v>
      </c>
      <c r="D194" t="s">
        <v>82</v>
      </c>
      <c r="E194">
        <v>225</v>
      </c>
      <c r="F194">
        <v>225</v>
      </c>
      <c r="G194" s="5">
        <v>0.995</v>
      </c>
      <c r="H194" s="5">
        <v>0.98099999999999998</v>
      </c>
      <c r="I194" s="5">
        <v>0.98799999999999999</v>
      </c>
      <c r="J194" s="5">
        <v>0.99199999999999999</v>
      </c>
      <c r="K194" s="5">
        <v>0.753</v>
      </c>
      <c r="L194" s="5">
        <v>0.995</v>
      </c>
      <c r="M194" s="5">
        <v>0.98099999999999998</v>
      </c>
      <c r="N194" s="5">
        <v>0.98799999999999999</v>
      </c>
      <c r="O194" s="5">
        <v>8.4044454097747803</v>
      </c>
      <c r="P194" t="str">
        <f t="shared" ref="P194:P221" si="3">C194</f>
        <v>ft32_SGD</v>
      </c>
    </row>
    <row r="195" spans="1:16">
      <c r="A195" t="s">
        <v>90</v>
      </c>
      <c r="B195" t="s">
        <v>78</v>
      </c>
      <c r="C195" t="s">
        <v>129</v>
      </c>
      <c r="D195" t="s">
        <v>82</v>
      </c>
      <c r="E195">
        <v>225</v>
      </c>
      <c r="F195">
        <v>225</v>
      </c>
      <c r="G195" s="5">
        <v>0.84</v>
      </c>
      <c r="H195" s="5">
        <v>0.72099999999999997</v>
      </c>
      <c r="I195" s="5">
        <v>0.77600000000000002</v>
      </c>
      <c r="J195" s="5">
        <v>0.81</v>
      </c>
      <c r="K195" s="5">
        <v>0.42599999999999999</v>
      </c>
      <c r="L195" s="5">
        <v>0.82899999999999996</v>
      </c>
      <c r="M195" s="5">
        <v>0.71099999999999997</v>
      </c>
      <c r="N195" s="5">
        <v>0.76600000000000001</v>
      </c>
      <c r="O195" s="5">
        <v>8.2832546234130806</v>
      </c>
      <c r="P195" t="str">
        <f t="shared" si="3"/>
        <v>ft32_SGD_finloop.pt</v>
      </c>
    </row>
    <row r="196" spans="1:16">
      <c r="A196" t="s">
        <v>90</v>
      </c>
      <c r="B196" t="s">
        <v>78</v>
      </c>
      <c r="C196" t="s">
        <v>130</v>
      </c>
      <c r="D196" t="s">
        <v>82</v>
      </c>
      <c r="E196">
        <v>225</v>
      </c>
      <c r="F196">
        <v>225</v>
      </c>
      <c r="G196" s="5">
        <v>0.995</v>
      </c>
      <c r="H196" s="5">
        <v>1</v>
      </c>
      <c r="I196" s="5">
        <v>0.998</v>
      </c>
      <c r="J196" s="5">
        <v>0.995</v>
      </c>
      <c r="K196" s="5">
        <v>0.93200000000000005</v>
      </c>
      <c r="L196" s="5">
        <v>0.995</v>
      </c>
      <c r="M196" s="5">
        <v>1</v>
      </c>
      <c r="N196" s="5">
        <v>0.998</v>
      </c>
      <c r="O196" s="5">
        <v>8.0544409751892001</v>
      </c>
      <c r="P196" t="str">
        <f t="shared" si="3"/>
        <v>ft33_AdamW</v>
      </c>
    </row>
    <row r="197" spans="1:16">
      <c r="A197" t="s">
        <v>90</v>
      </c>
      <c r="B197" t="s">
        <v>78</v>
      </c>
      <c r="C197" t="s">
        <v>131</v>
      </c>
      <c r="D197" t="s">
        <v>82</v>
      </c>
      <c r="E197">
        <v>225</v>
      </c>
      <c r="F197">
        <v>225</v>
      </c>
      <c r="G197" s="5">
        <v>0.96399999999999997</v>
      </c>
      <c r="H197" s="5">
        <v>0.94699999999999995</v>
      </c>
      <c r="I197" s="5">
        <v>0.95499999999999996</v>
      </c>
      <c r="J197" s="5">
        <v>0.98199999999999998</v>
      </c>
      <c r="K197" s="5">
        <v>0.71499999999999997</v>
      </c>
      <c r="L197" s="5">
        <v>0.95899999999999996</v>
      </c>
      <c r="M197" s="5">
        <v>0.94199999999999995</v>
      </c>
      <c r="N197" s="5">
        <v>0.95099999999999996</v>
      </c>
      <c r="O197" s="5">
        <v>7.8543221950530997</v>
      </c>
      <c r="P197" t="str">
        <f t="shared" si="3"/>
        <v>ft33_AdamW_finloop.pt</v>
      </c>
    </row>
    <row r="198" spans="1:16">
      <c r="A198" t="s">
        <v>90</v>
      </c>
      <c r="B198" t="s">
        <v>78</v>
      </c>
      <c r="C198" t="s">
        <v>132</v>
      </c>
      <c r="D198" t="s">
        <v>82</v>
      </c>
      <c r="E198">
        <v>225</v>
      </c>
      <c r="F198">
        <v>225</v>
      </c>
      <c r="G198" s="5">
        <v>0.999</v>
      </c>
      <c r="H198" s="5">
        <v>0.98199999999999998</v>
      </c>
      <c r="I198" s="5">
        <v>0.99099999999999999</v>
      </c>
      <c r="J198" s="5">
        <v>0.995</v>
      </c>
      <c r="K198" s="5">
        <v>0.77900000000000003</v>
      </c>
      <c r="L198" s="5">
        <v>0.999</v>
      </c>
      <c r="M198" s="5">
        <v>0.98199999999999998</v>
      </c>
      <c r="N198" s="5">
        <v>0.99099999999999999</v>
      </c>
      <c r="O198" s="5">
        <v>8.3741610050201398</v>
      </c>
      <c r="P198" t="str">
        <f t="shared" si="3"/>
        <v>ft33_SGD</v>
      </c>
    </row>
    <row r="199" spans="1:16" s="7" customFormat="1">
      <c r="A199" s="7" t="s">
        <v>90</v>
      </c>
      <c r="B199" s="7" t="s">
        <v>78</v>
      </c>
      <c r="C199" s="7" t="s">
        <v>133</v>
      </c>
      <c r="D199" s="7" t="s">
        <v>82</v>
      </c>
      <c r="E199" s="7">
        <v>225</v>
      </c>
      <c r="F199" s="7">
        <v>225</v>
      </c>
      <c r="G199" s="10">
        <v>0.84099999999999997</v>
      </c>
      <c r="H199" s="10">
        <v>0.64900000000000002</v>
      </c>
      <c r="I199" s="10">
        <v>0.73199999999999998</v>
      </c>
      <c r="J199" s="10">
        <v>0.78700000000000003</v>
      </c>
      <c r="K199" s="10">
        <v>0.40200000000000002</v>
      </c>
      <c r="L199" s="10">
        <v>0.83899999999999997</v>
      </c>
      <c r="M199" s="10">
        <v>0.64400000000000002</v>
      </c>
      <c r="N199" s="10">
        <v>0.72899999999999998</v>
      </c>
      <c r="O199" s="10">
        <v>7.9726059436798096</v>
      </c>
      <c r="P199" t="str">
        <f t="shared" si="3"/>
        <v>ft33_SGD_finloop.pt</v>
      </c>
    </row>
    <row r="200" spans="1:16">
      <c r="A200" s="13" t="s">
        <v>90</v>
      </c>
      <c r="B200" t="s">
        <v>88</v>
      </c>
      <c r="C200" t="s">
        <v>79</v>
      </c>
      <c r="D200" t="s">
        <v>80</v>
      </c>
      <c r="E200">
        <v>114</v>
      </c>
      <c r="F200">
        <v>114</v>
      </c>
      <c r="G200" s="5">
        <v>0.2</v>
      </c>
      <c r="H200" s="5">
        <v>3.5000000000000003E-2</v>
      </c>
      <c r="I200" s="5">
        <v>0.06</v>
      </c>
      <c r="J200" s="5">
        <v>3.6999999999999998E-2</v>
      </c>
      <c r="K200" s="5">
        <v>4.0000000000000001E-3</v>
      </c>
      <c r="L200" s="5">
        <v>0</v>
      </c>
      <c r="M200" s="5">
        <v>0</v>
      </c>
      <c r="N200" s="5">
        <v>0</v>
      </c>
      <c r="O200" s="5">
        <v>9.7195088863372803</v>
      </c>
      <c r="P200" t="str">
        <f t="shared" si="3"/>
        <v>finloop</v>
      </c>
    </row>
    <row r="201" spans="1:16">
      <c r="A201" s="13" t="s">
        <v>90</v>
      </c>
      <c r="B201" t="s">
        <v>88</v>
      </c>
      <c r="C201" t="s">
        <v>81</v>
      </c>
      <c r="D201" t="s">
        <v>82</v>
      </c>
      <c r="E201">
        <v>114</v>
      </c>
      <c r="F201">
        <v>114</v>
      </c>
      <c r="G201" s="5">
        <v>0.999</v>
      </c>
      <c r="H201" s="5">
        <v>0.99099999999999999</v>
      </c>
      <c r="I201" s="5">
        <v>0.995</v>
      </c>
      <c r="J201" s="5">
        <v>0.995</v>
      </c>
      <c r="K201" s="5">
        <v>0.73099999999999998</v>
      </c>
      <c r="L201" s="5">
        <v>0.999</v>
      </c>
      <c r="M201" s="5">
        <v>0.99099999999999999</v>
      </c>
      <c r="N201" s="5">
        <v>0.995</v>
      </c>
      <c r="O201" s="5">
        <v>6.3600575923919598</v>
      </c>
      <c r="P201" t="str">
        <f t="shared" si="3"/>
        <v>ft21SGD</v>
      </c>
    </row>
    <row r="202" spans="1:16">
      <c r="A202" s="13" t="s">
        <v>90</v>
      </c>
      <c r="B202" t="s">
        <v>88</v>
      </c>
      <c r="C202" t="s">
        <v>114</v>
      </c>
      <c r="D202" t="s">
        <v>82</v>
      </c>
      <c r="E202">
        <v>114</v>
      </c>
      <c r="F202">
        <v>114</v>
      </c>
      <c r="G202" s="5">
        <v>1</v>
      </c>
      <c r="H202" s="5">
        <v>0.98199999999999998</v>
      </c>
      <c r="I202" s="5">
        <v>0.99099999999999999</v>
      </c>
      <c r="J202" s="5">
        <v>0.995</v>
      </c>
      <c r="K202" s="5">
        <v>0.79400000000000004</v>
      </c>
      <c r="L202" s="5">
        <v>1</v>
      </c>
      <c r="M202" s="5">
        <v>0.98199999999999998</v>
      </c>
      <c r="N202" s="5">
        <v>0.99099999999999999</v>
      </c>
      <c r="O202" s="5">
        <v>6.4156229496002197</v>
      </c>
      <c r="P202" t="str">
        <f t="shared" si="3"/>
        <v>ft29_AdamW</v>
      </c>
    </row>
    <row r="203" spans="1:16">
      <c r="A203" s="13" t="s">
        <v>90</v>
      </c>
      <c r="B203" t="s">
        <v>88</v>
      </c>
      <c r="C203" t="s">
        <v>115</v>
      </c>
      <c r="D203" t="s">
        <v>82</v>
      </c>
      <c r="E203">
        <v>114</v>
      </c>
      <c r="F203">
        <v>114</v>
      </c>
      <c r="G203" s="5">
        <v>0.98699999999999999</v>
      </c>
      <c r="H203" s="5">
        <v>0.98199999999999998</v>
      </c>
      <c r="I203" s="5">
        <v>0.98499999999999999</v>
      </c>
      <c r="J203" s="5">
        <v>0.98599999999999999</v>
      </c>
      <c r="K203" s="5">
        <v>0.63600000000000001</v>
      </c>
      <c r="L203" s="5">
        <v>0.98699999999999999</v>
      </c>
      <c r="M203" s="5">
        <v>0.98199999999999998</v>
      </c>
      <c r="N203" s="5">
        <v>0.98499999999999999</v>
      </c>
      <c r="O203" s="5">
        <v>5.9402515888214102</v>
      </c>
      <c r="P203" t="str">
        <f t="shared" si="3"/>
        <v>ft29_AdamW_finloop.pt</v>
      </c>
    </row>
    <row r="204" spans="1:16">
      <c r="A204" s="13" t="s">
        <v>90</v>
      </c>
      <c r="B204" t="s">
        <v>88</v>
      </c>
      <c r="C204" t="s">
        <v>116</v>
      </c>
      <c r="D204" t="s">
        <v>82</v>
      </c>
      <c r="E204">
        <v>114</v>
      </c>
      <c r="F204">
        <v>114</v>
      </c>
      <c r="G204" s="5">
        <v>0.997</v>
      </c>
      <c r="H204" s="5">
        <v>0.99099999999999999</v>
      </c>
      <c r="I204" s="5">
        <v>0.99399999999999999</v>
      </c>
      <c r="J204" s="5">
        <v>0.995</v>
      </c>
      <c r="K204" s="5">
        <v>0.63</v>
      </c>
      <c r="L204" s="5">
        <v>0.997</v>
      </c>
      <c r="M204" s="5">
        <v>0.99099999999999999</v>
      </c>
      <c r="N204" s="5">
        <v>0.99399999999999999</v>
      </c>
      <c r="O204" s="5">
        <v>6.8646662235260001</v>
      </c>
      <c r="P204" t="str">
        <f t="shared" si="3"/>
        <v>ft29_SGD</v>
      </c>
    </row>
    <row r="205" spans="1:16">
      <c r="A205" s="13" t="s">
        <v>90</v>
      </c>
      <c r="B205" t="s">
        <v>88</v>
      </c>
      <c r="C205" t="s">
        <v>117</v>
      </c>
      <c r="D205" t="s">
        <v>82</v>
      </c>
      <c r="E205">
        <v>114</v>
      </c>
      <c r="F205">
        <v>114</v>
      </c>
      <c r="G205" s="5">
        <v>0.89800000000000002</v>
      </c>
      <c r="H205" s="5">
        <v>0.83299999999999996</v>
      </c>
      <c r="I205" s="5">
        <v>0.86499999999999999</v>
      </c>
      <c r="J205" s="5">
        <v>0.92700000000000005</v>
      </c>
      <c r="K205" s="5">
        <v>0.51400000000000001</v>
      </c>
      <c r="L205" s="5">
        <v>0.89800000000000002</v>
      </c>
      <c r="M205" s="5">
        <v>0.83299999999999996</v>
      </c>
      <c r="N205" s="5">
        <v>0.86499999999999999</v>
      </c>
      <c r="O205" s="5">
        <v>6.1464452743530202</v>
      </c>
      <c r="P205" t="str">
        <f t="shared" si="3"/>
        <v>ft29_SGD_finloop.pt</v>
      </c>
    </row>
    <row r="206" spans="1:16">
      <c r="A206" s="13" t="s">
        <v>90</v>
      </c>
      <c r="B206" t="s">
        <v>88</v>
      </c>
      <c r="C206" t="s">
        <v>118</v>
      </c>
      <c r="D206" t="s">
        <v>82</v>
      </c>
      <c r="E206">
        <v>114</v>
      </c>
      <c r="F206">
        <v>114</v>
      </c>
      <c r="G206" s="5">
        <v>0.999</v>
      </c>
      <c r="H206" s="5">
        <v>0.99099999999999999</v>
      </c>
      <c r="I206" s="5">
        <v>0.995</v>
      </c>
      <c r="J206" s="5">
        <v>0.995</v>
      </c>
      <c r="K206" s="5">
        <v>0.746</v>
      </c>
      <c r="L206" s="5">
        <v>0.999</v>
      </c>
      <c r="M206" s="5">
        <v>0.99099999999999999</v>
      </c>
      <c r="N206" s="5">
        <v>0.995</v>
      </c>
      <c r="O206" s="5">
        <v>6.5858898162841797</v>
      </c>
      <c r="P206" t="str">
        <f t="shared" si="3"/>
        <v>ft30_AdamW</v>
      </c>
    </row>
    <row r="207" spans="1:16">
      <c r="A207" s="13" t="s">
        <v>90</v>
      </c>
      <c r="B207" t="s">
        <v>88</v>
      </c>
      <c r="C207" t="s">
        <v>119</v>
      </c>
      <c r="D207" t="s">
        <v>82</v>
      </c>
      <c r="E207">
        <v>114</v>
      </c>
      <c r="F207">
        <v>114</v>
      </c>
      <c r="G207" s="5">
        <v>0.95899999999999996</v>
      </c>
      <c r="H207" s="5">
        <v>0.95599999999999996</v>
      </c>
      <c r="I207" s="5">
        <v>0.95799999999999996</v>
      </c>
      <c r="J207" s="5">
        <v>0.98699999999999999</v>
      </c>
      <c r="K207" s="5">
        <v>0.54300000000000004</v>
      </c>
      <c r="L207" s="5">
        <v>0.95899999999999996</v>
      </c>
      <c r="M207" s="5">
        <v>0.95599999999999996</v>
      </c>
      <c r="N207" s="5">
        <v>0.95799999999999996</v>
      </c>
      <c r="O207" s="5">
        <v>5.9953827857971103</v>
      </c>
      <c r="P207" t="str">
        <f t="shared" si="3"/>
        <v>ft30_AdamW_finloop.pt</v>
      </c>
    </row>
    <row r="208" spans="1:16">
      <c r="A208" s="13" t="s">
        <v>90</v>
      </c>
      <c r="B208" t="s">
        <v>88</v>
      </c>
      <c r="C208" t="s">
        <v>120</v>
      </c>
      <c r="D208" t="s">
        <v>82</v>
      </c>
      <c r="E208">
        <v>114</v>
      </c>
      <c r="F208">
        <v>114</v>
      </c>
      <c r="G208" s="5">
        <v>0.97699999999999998</v>
      </c>
      <c r="H208" s="5">
        <v>0.99099999999999999</v>
      </c>
      <c r="I208" s="5">
        <v>0.98399999999999999</v>
      </c>
      <c r="J208" s="5">
        <v>0.995</v>
      </c>
      <c r="K208" s="5">
        <v>0.60299999999999998</v>
      </c>
      <c r="L208" s="5">
        <v>0.97699999999999998</v>
      </c>
      <c r="M208" s="5">
        <v>0.99099999999999999</v>
      </c>
      <c r="N208" s="5">
        <v>0.98399999999999999</v>
      </c>
      <c r="O208" s="5">
        <v>6.5360698699951101</v>
      </c>
      <c r="P208" t="str">
        <f t="shared" si="3"/>
        <v>ft30_SGD</v>
      </c>
    </row>
    <row r="209" spans="1:16">
      <c r="A209" s="13" t="s">
        <v>90</v>
      </c>
      <c r="B209" t="s">
        <v>88</v>
      </c>
      <c r="C209" t="s">
        <v>121</v>
      </c>
      <c r="D209" t="s">
        <v>82</v>
      </c>
      <c r="E209">
        <v>114</v>
      </c>
      <c r="F209">
        <v>114</v>
      </c>
      <c r="G209" s="5">
        <v>0.78800000000000003</v>
      </c>
      <c r="H209" s="5">
        <v>0.85</v>
      </c>
      <c r="I209" s="5">
        <v>0.81799999999999995</v>
      </c>
      <c r="J209" s="5">
        <v>0.86699999999999999</v>
      </c>
      <c r="K209" s="5">
        <v>0.47199999999999998</v>
      </c>
      <c r="L209" s="5">
        <v>0.81</v>
      </c>
      <c r="M209" s="5">
        <v>0.82299999999999995</v>
      </c>
      <c r="N209" s="5">
        <v>0.81599999999999995</v>
      </c>
      <c r="O209" s="5">
        <v>6.0884246826171804</v>
      </c>
      <c r="P209" t="str">
        <f t="shared" si="3"/>
        <v>ft30_SGD_finloop.pt</v>
      </c>
    </row>
    <row r="210" spans="1:16">
      <c r="A210" s="13" t="s">
        <v>90</v>
      </c>
      <c r="B210" t="s">
        <v>88</v>
      </c>
      <c r="C210" t="s">
        <v>122</v>
      </c>
      <c r="D210" t="s">
        <v>82</v>
      </c>
      <c r="E210">
        <v>114</v>
      </c>
      <c r="F210">
        <v>114</v>
      </c>
      <c r="G210" s="5">
        <v>0.999</v>
      </c>
      <c r="H210" s="5">
        <v>0.99099999999999999</v>
      </c>
      <c r="I210" s="5">
        <v>0.995</v>
      </c>
      <c r="J210" s="5">
        <v>0.995</v>
      </c>
      <c r="K210" s="5">
        <v>0.73699999999999999</v>
      </c>
      <c r="L210" s="5">
        <v>0.999</v>
      </c>
      <c r="M210" s="5">
        <v>0.99099999999999999</v>
      </c>
      <c r="N210" s="5">
        <v>0.995</v>
      </c>
      <c r="O210" s="5">
        <v>6.4727685451507497</v>
      </c>
      <c r="P210" t="str">
        <f t="shared" si="3"/>
        <v>ft31_AdamW</v>
      </c>
    </row>
    <row r="211" spans="1:16">
      <c r="A211" s="13" t="s">
        <v>90</v>
      </c>
      <c r="B211" t="s">
        <v>88</v>
      </c>
      <c r="C211" t="s">
        <v>123</v>
      </c>
      <c r="D211" t="s">
        <v>82</v>
      </c>
      <c r="E211">
        <v>114</v>
      </c>
      <c r="F211">
        <v>114</v>
      </c>
      <c r="G211" s="5">
        <v>0.97399999999999998</v>
      </c>
      <c r="H211" s="5">
        <v>0.97199999999999998</v>
      </c>
      <c r="I211" s="5">
        <v>0.97299999999999998</v>
      </c>
      <c r="J211" s="5">
        <v>0.99199999999999999</v>
      </c>
      <c r="K211" s="5">
        <v>0.52</v>
      </c>
      <c r="L211" s="5">
        <v>0.98199999999999998</v>
      </c>
      <c r="M211" s="5">
        <v>0.94599999999999995</v>
      </c>
      <c r="N211" s="5">
        <v>0.96299999999999997</v>
      </c>
      <c r="O211" s="5">
        <v>6.2802922725677401</v>
      </c>
      <c r="P211" t="str">
        <f t="shared" si="3"/>
        <v>ft31_AdamW_finloop.pt</v>
      </c>
    </row>
    <row r="212" spans="1:16">
      <c r="A212" s="13" t="s">
        <v>90</v>
      </c>
      <c r="B212" t="s">
        <v>88</v>
      </c>
      <c r="C212" t="s">
        <v>124</v>
      </c>
      <c r="D212" t="s">
        <v>82</v>
      </c>
      <c r="E212">
        <v>114</v>
      </c>
      <c r="F212">
        <v>114</v>
      </c>
      <c r="G212" s="5">
        <v>1</v>
      </c>
      <c r="H212" s="5">
        <v>0.98899999999999999</v>
      </c>
      <c r="I212" s="5">
        <v>0.995</v>
      </c>
      <c r="J212" s="5">
        <v>0.995</v>
      </c>
      <c r="K212" s="5">
        <v>0.60799999999999998</v>
      </c>
      <c r="L212" s="5">
        <v>1</v>
      </c>
      <c r="M212" s="5">
        <v>0.98899999999999999</v>
      </c>
      <c r="N212" s="5">
        <v>0.995</v>
      </c>
      <c r="O212" s="5">
        <v>6.4712386131286603</v>
      </c>
      <c r="P212" t="str">
        <f t="shared" si="3"/>
        <v>ft31_SGD</v>
      </c>
    </row>
    <row r="213" spans="1:16">
      <c r="A213" s="13" t="s">
        <v>90</v>
      </c>
      <c r="B213" t="s">
        <v>88</v>
      </c>
      <c r="C213" t="s">
        <v>125</v>
      </c>
      <c r="D213" t="s">
        <v>82</v>
      </c>
      <c r="E213">
        <v>114</v>
      </c>
      <c r="F213">
        <v>114</v>
      </c>
      <c r="G213" s="5">
        <v>0.82699999999999996</v>
      </c>
      <c r="H213" s="5">
        <v>0.83299999999999996</v>
      </c>
      <c r="I213" s="5">
        <v>0.83</v>
      </c>
      <c r="J213" s="5">
        <v>0.88900000000000001</v>
      </c>
      <c r="K213" s="5">
        <v>0.48499999999999999</v>
      </c>
      <c r="L213" s="5">
        <v>0.81799999999999995</v>
      </c>
      <c r="M213" s="5">
        <v>0.82499999999999996</v>
      </c>
      <c r="N213" s="5">
        <v>0.82099999999999995</v>
      </c>
      <c r="O213" s="5">
        <v>6.1294779777526802</v>
      </c>
      <c r="P213" t="str">
        <f t="shared" si="3"/>
        <v>ft31_SGD_finloop.pt</v>
      </c>
    </row>
    <row r="214" spans="1:16">
      <c r="A214" s="13" t="s">
        <v>90</v>
      </c>
      <c r="B214" t="s">
        <v>88</v>
      </c>
      <c r="C214" t="s">
        <v>126</v>
      </c>
      <c r="D214" t="s">
        <v>82</v>
      </c>
      <c r="E214">
        <v>114</v>
      </c>
      <c r="F214">
        <v>114</v>
      </c>
      <c r="G214" s="5">
        <v>0.99099999999999999</v>
      </c>
      <c r="H214" s="5">
        <v>0.99099999999999999</v>
      </c>
      <c r="I214" s="5">
        <v>0.99099999999999999</v>
      </c>
      <c r="J214" s="5">
        <v>0.995</v>
      </c>
      <c r="K214" s="5">
        <v>0.75700000000000001</v>
      </c>
      <c r="L214" s="5">
        <v>0.99099999999999999</v>
      </c>
      <c r="M214" s="5">
        <v>0.99099999999999999</v>
      </c>
      <c r="N214" s="5">
        <v>0.99099999999999999</v>
      </c>
      <c r="O214" s="5">
        <v>6.4585623741149902</v>
      </c>
      <c r="P214" t="str">
        <f t="shared" si="3"/>
        <v>ft32_AdamW</v>
      </c>
    </row>
    <row r="215" spans="1:16">
      <c r="A215" s="13" t="s">
        <v>90</v>
      </c>
      <c r="B215" t="s">
        <v>88</v>
      </c>
      <c r="C215" t="s">
        <v>127</v>
      </c>
      <c r="D215" t="s">
        <v>82</v>
      </c>
      <c r="E215">
        <v>114</v>
      </c>
      <c r="F215">
        <v>114</v>
      </c>
      <c r="G215" s="5">
        <v>0.99199999999999999</v>
      </c>
      <c r="H215" s="5">
        <v>0.93</v>
      </c>
      <c r="I215" s="5">
        <v>0.96</v>
      </c>
      <c r="J215" s="5">
        <v>0.97799999999999998</v>
      </c>
      <c r="K215" s="5">
        <v>0.56100000000000005</v>
      </c>
      <c r="L215" s="5">
        <v>0.99199999999999999</v>
      </c>
      <c r="M215" s="5">
        <v>0.93</v>
      </c>
      <c r="N215" s="5">
        <v>0.96</v>
      </c>
      <c r="O215" s="5">
        <v>5.9962022304534903</v>
      </c>
      <c r="P215" t="str">
        <f t="shared" si="3"/>
        <v>ft32_AdamW_finloop.pt</v>
      </c>
    </row>
    <row r="216" spans="1:16">
      <c r="A216" s="13" t="s">
        <v>90</v>
      </c>
      <c r="B216" t="s">
        <v>88</v>
      </c>
      <c r="C216" t="s">
        <v>128</v>
      </c>
      <c r="D216" t="s">
        <v>82</v>
      </c>
      <c r="E216">
        <v>114</v>
      </c>
      <c r="F216">
        <v>114</v>
      </c>
      <c r="G216" s="5">
        <v>0.97299999999999998</v>
      </c>
      <c r="H216" s="5">
        <v>0.99099999999999999</v>
      </c>
      <c r="I216" s="5">
        <v>0.98199999999999998</v>
      </c>
      <c r="J216" s="5">
        <v>0.99399999999999999</v>
      </c>
      <c r="K216" s="5">
        <v>0.624</v>
      </c>
      <c r="L216" s="5">
        <v>0.97299999999999998</v>
      </c>
      <c r="M216" s="5">
        <v>0.99099999999999999</v>
      </c>
      <c r="N216" s="5">
        <v>0.98199999999999998</v>
      </c>
      <c r="O216" s="5">
        <v>6.83912801742553</v>
      </c>
      <c r="P216" t="str">
        <f t="shared" si="3"/>
        <v>ft32_SGD</v>
      </c>
    </row>
    <row r="217" spans="1:16">
      <c r="A217" s="13" t="s">
        <v>90</v>
      </c>
      <c r="B217" t="s">
        <v>88</v>
      </c>
      <c r="C217" t="s">
        <v>129</v>
      </c>
      <c r="D217" t="s">
        <v>82</v>
      </c>
      <c r="E217">
        <v>114</v>
      </c>
      <c r="F217">
        <v>114</v>
      </c>
      <c r="G217" s="5">
        <v>0.88200000000000001</v>
      </c>
      <c r="H217" s="5">
        <v>0.79</v>
      </c>
      <c r="I217" s="5">
        <v>0.83299999999999996</v>
      </c>
      <c r="J217" s="5">
        <v>0.89700000000000002</v>
      </c>
      <c r="K217" s="5">
        <v>0.50600000000000001</v>
      </c>
      <c r="L217" s="5">
        <v>0.84399999999999997</v>
      </c>
      <c r="M217" s="5">
        <v>0.77200000000000002</v>
      </c>
      <c r="N217" s="5">
        <v>0.80600000000000005</v>
      </c>
      <c r="O217" s="5">
        <v>6.2019801139831499</v>
      </c>
      <c r="P217" t="str">
        <f t="shared" si="3"/>
        <v>ft32_SGD_finloop.pt</v>
      </c>
    </row>
    <row r="218" spans="1:16">
      <c r="A218" s="13" t="s">
        <v>90</v>
      </c>
      <c r="B218" t="s">
        <v>88</v>
      </c>
      <c r="C218" t="s">
        <v>130</v>
      </c>
      <c r="D218" t="s">
        <v>82</v>
      </c>
      <c r="E218">
        <v>114</v>
      </c>
      <c r="F218">
        <v>114</v>
      </c>
      <c r="G218" s="5">
        <v>0.999</v>
      </c>
      <c r="H218" s="5">
        <v>0.95599999999999996</v>
      </c>
      <c r="I218" s="5">
        <v>0.97699999999999998</v>
      </c>
      <c r="J218" s="5">
        <v>0.98599999999999999</v>
      </c>
      <c r="K218" s="5">
        <v>0.75700000000000001</v>
      </c>
      <c r="L218" s="5">
        <v>0.98899999999999999</v>
      </c>
      <c r="M218" s="5">
        <v>0.98199999999999998</v>
      </c>
      <c r="N218" s="5">
        <v>0.98599999999999999</v>
      </c>
      <c r="O218" s="5">
        <v>6.7614121437072701</v>
      </c>
      <c r="P218" t="str">
        <f t="shared" si="3"/>
        <v>ft33_AdamW</v>
      </c>
    </row>
    <row r="219" spans="1:16">
      <c r="A219" s="13" t="s">
        <v>90</v>
      </c>
      <c r="B219" t="s">
        <v>88</v>
      </c>
      <c r="C219" t="s">
        <v>131</v>
      </c>
      <c r="D219" t="s">
        <v>82</v>
      </c>
      <c r="E219">
        <v>114</v>
      </c>
      <c r="F219">
        <v>114</v>
      </c>
      <c r="G219" s="5">
        <v>0.95099999999999996</v>
      </c>
      <c r="H219" s="5">
        <v>0.94699999999999995</v>
      </c>
      <c r="I219" s="5">
        <v>0.94899999999999995</v>
      </c>
      <c r="J219" s="5">
        <v>0.98399999999999999</v>
      </c>
      <c r="K219" s="5">
        <v>0.57299999999999995</v>
      </c>
      <c r="L219" s="5">
        <v>0.95099999999999996</v>
      </c>
      <c r="M219" s="5">
        <v>0.94699999999999995</v>
      </c>
      <c r="N219" s="5">
        <v>0.94899999999999995</v>
      </c>
      <c r="O219" s="5">
        <v>6.0517418384552002</v>
      </c>
      <c r="P219" t="str">
        <f t="shared" si="3"/>
        <v>ft33_AdamW_finloop.pt</v>
      </c>
    </row>
    <row r="220" spans="1:16">
      <c r="A220" s="13" t="s">
        <v>90</v>
      </c>
      <c r="B220" t="s">
        <v>88</v>
      </c>
      <c r="C220" t="s">
        <v>132</v>
      </c>
      <c r="D220" t="s">
        <v>82</v>
      </c>
      <c r="E220">
        <v>114</v>
      </c>
      <c r="F220">
        <v>114</v>
      </c>
      <c r="G220" s="5">
        <v>0.99099999999999999</v>
      </c>
      <c r="H220" s="5">
        <v>0.98199999999999998</v>
      </c>
      <c r="I220" s="5">
        <v>0.98599999999999999</v>
      </c>
      <c r="J220" s="5">
        <v>0.98099999999999998</v>
      </c>
      <c r="K220" s="5">
        <v>0.622</v>
      </c>
      <c r="L220" s="5">
        <v>1</v>
      </c>
      <c r="M220" s="5">
        <v>0.99099999999999999</v>
      </c>
      <c r="N220" s="5">
        <v>0.995</v>
      </c>
      <c r="O220" s="5">
        <v>6.72682452201843</v>
      </c>
      <c r="P220" t="str">
        <f t="shared" si="3"/>
        <v>ft33_SGD</v>
      </c>
    </row>
    <row r="221" spans="1:16">
      <c r="A221" s="13" t="s">
        <v>90</v>
      </c>
      <c r="B221" t="s">
        <v>88</v>
      </c>
      <c r="C221" t="s">
        <v>133</v>
      </c>
      <c r="D221" t="s">
        <v>82</v>
      </c>
      <c r="E221">
        <v>114</v>
      </c>
      <c r="F221">
        <v>114</v>
      </c>
      <c r="G221" s="5">
        <v>0.80200000000000005</v>
      </c>
      <c r="H221" s="5">
        <v>0.82</v>
      </c>
      <c r="I221" s="5">
        <v>0.81100000000000005</v>
      </c>
      <c r="J221" s="5">
        <v>0.85899999999999999</v>
      </c>
      <c r="K221" s="10">
        <v>0.48299999999999998</v>
      </c>
      <c r="L221" s="5">
        <v>0.80200000000000005</v>
      </c>
      <c r="M221" s="5">
        <v>0.81699999999999995</v>
      </c>
      <c r="N221" s="10">
        <v>0.81</v>
      </c>
      <c r="O221" s="5">
        <v>6.2019524574279696</v>
      </c>
      <c r="P221" t="str">
        <f t="shared" si="3"/>
        <v>ft33_SGD_finloop.pt</v>
      </c>
    </row>
  </sheetData>
  <autoFilter ref="A1:O221"/>
  <conditionalFormatting sqref="N2:N23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:K23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24:N45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4:K45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46:N67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46:K67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68:N89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68:K89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90:N111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90:K111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12:N133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12:K133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34:N155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34:K155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56:N177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56:K177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78:N19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78:K19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00:K22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200:N22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71"/>
  <sheetViews>
    <sheetView workbookViewId="0">
      <selection activeCell="I38" sqref="I38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7</v>
      </c>
      <c r="B2">
        <v>1</v>
      </c>
      <c r="C2">
        <v>0.995</v>
      </c>
      <c r="D2">
        <v>0.89700000000000002</v>
      </c>
      <c r="E2">
        <v>1</v>
      </c>
    </row>
    <row r="3" spans="1:5">
      <c r="A3" t="s">
        <v>9</v>
      </c>
      <c r="B3">
        <v>1</v>
      </c>
      <c r="C3">
        <v>0.995</v>
      </c>
      <c r="D3">
        <v>0.91</v>
      </c>
      <c r="E3">
        <v>1</v>
      </c>
    </row>
    <row r="4" spans="1:5">
      <c r="A4" t="s">
        <v>16</v>
      </c>
      <c r="B4">
        <v>1</v>
      </c>
      <c r="C4">
        <v>0.995</v>
      </c>
      <c r="D4">
        <v>0.88100000000000001</v>
      </c>
      <c r="E4">
        <v>1</v>
      </c>
    </row>
    <row r="5" spans="1:5">
      <c r="A5" t="s">
        <v>92</v>
      </c>
      <c r="B5">
        <v>1</v>
      </c>
      <c r="C5">
        <v>0.995</v>
      </c>
      <c r="D5">
        <v>0.91500000000000004</v>
      </c>
      <c r="E5">
        <v>1</v>
      </c>
    </row>
    <row r="6" spans="1:5">
      <c r="A6" t="s">
        <v>26</v>
      </c>
      <c r="B6">
        <v>1</v>
      </c>
      <c r="C6">
        <v>0.995</v>
      </c>
      <c r="D6">
        <v>0.91500000000000004</v>
      </c>
      <c r="E6">
        <v>1</v>
      </c>
    </row>
    <row r="7" spans="1:5">
      <c r="A7" t="s">
        <v>32</v>
      </c>
      <c r="B7">
        <v>1</v>
      </c>
      <c r="C7">
        <v>0.995</v>
      </c>
      <c r="D7">
        <v>0.91800000000000004</v>
      </c>
      <c r="E7">
        <v>1</v>
      </c>
    </row>
    <row r="8" spans="1:5">
      <c r="A8" t="s">
        <v>34</v>
      </c>
      <c r="B8">
        <v>1</v>
      </c>
      <c r="C8">
        <v>0.995</v>
      </c>
      <c r="D8">
        <v>0.89400000000000002</v>
      </c>
      <c r="E8">
        <v>1</v>
      </c>
    </row>
    <row r="9" spans="1:5">
      <c r="A9" t="s">
        <v>40</v>
      </c>
      <c r="B9">
        <v>1</v>
      </c>
      <c r="C9">
        <v>0.995</v>
      </c>
      <c r="D9">
        <v>0.92800000000000005</v>
      </c>
      <c r="E9">
        <v>1</v>
      </c>
    </row>
    <row r="10" spans="1:5">
      <c r="A10" t="s">
        <v>46</v>
      </c>
      <c r="B10">
        <v>1</v>
      </c>
      <c r="C10">
        <v>0.995</v>
      </c>
      <c r="D10">
        <v>0.91200000000000003</v>
      </c>
      <c r="E10">
        <v>1</v>
      </c>
    </row>
    <row r="11" spans="1:5">
      <c r="A11" t="s">
        <v>94</v>
      </c>
      <c r="B11">
        <v>1</v>
      </c>
      <c r="C11">
        <v>0.995</v>
      </c>
      <c r="D11">
        <v>0.89800000000000002</v>
      </c>
      <c r="E11">
        <v>1</v>
      </c>
    </row>
    <row r="12" spans="1:5">
      <c r="A12" t="s">
        <v>96</v>
      </c>
      <c r="B12">
        <v>1</v>
      </c>
      <c r="C12">
        <v>0.995</v>
      </c>
      <c r="D12">
        <v>0.92</v>
      </c>
      <c r="E12">
        <v>1</v>
      </c>
    </row>
    <row r="13" spans="1:5">
      <c r="A13" t="s">
        <v>98</v>
      </c>
      <c r="B13">
        <v>1</v>
      </c>
      <c r="C13">
        <v>0.995</v>
      </c>
      <c r="D13">
        <v>0.92700000000000005</v>
      </c>
      <c r="E13">
        <v>1</v>
      </c>
    </row>
    <row r="14" spans="1:5">
      <c r="A14" t="s">
        <v>100</v>
      </c>
      <c r="B14">
        <v>1</v>
      </c>
      <c r="C14">
        <v>0.995</v>
      </c>
      <c r="D14">
        <v>0.91</v>
      </c>
      <c r="E14">
        <v>1</v>
      </c>
    </row>
    <row r="15" spans="1:5">
      <c r="A15" t="s">
        <v>104</v>
      </c>
      <c r="B15">
        <v>1</v>
      </c>
      <c r="C15">
        <v>0.995</v>
      </c>
      <c r="D15">
        <v>0.92200000000000004</v>
      </c>
      <c r="E15">
        <v>1</v>
      </c>
    </row>
    <row r="16" spans="1:5">
      <c r="A16" t="s">
        <v>53</v>
      </c>
      <c r="B16">
        <v>1</v>
      </c>
      <c r="C16">
        <v>0.995</v>
      </c>
      <c r="D16">
        <v>0.86599999999999999</v>
      </c>
      <c r="E16">
        <v>1</v>
      </c>
    </row>
    <row r="17" spans="1:5">
      <c r="A17" t="s">
        <v>11</v>
      </c>
      <c r="B17">
        <v>0.999</v>
      </c>
      <c r="C17">
        <v>0.995</v>
      </c>
      <c r="D17">
        <v>0.91400000000000003</v>
      </c>
      <c r="E17">
        <v>0.999</v>
      </c>
    </row>
    <row r="18" spans="1:5">
      <c r="A18" t="s">
        <v>28</v>
      </c>
      <c r="B18">
        <v>0.999</v>
      </c>
      <c r="C18">
        <v>0.995</v>
      </c>
      <c r="D18">
        <v>0.88900000000000001</v>
      </c>
      <c r="E18">
        <v>0.999</v>
      </c>
    </row>
    <row r="19" spans="1:5">
      <c r="A19" t="s">
        <v>38</v>
      </c>
      <c r="B19">
        <v>0.999</v>
      </c>
      <c r="C19">
        <v>0.995</v>
      </c>
      <c r="D19">
        <v>0.90500000000000003</v>
      </c>
      <c r="E19">
        <v>0.999</v>
      </c>
    </row>
    <row r="20" spans="1:5">
      <c r="A20" t="s">
        <v>102</v>
      </c>
      <c r="B20">
        <v>0.999</v>
      </c>
      <c r="C20">
        <v>0.995</v>
      </c>
      <c r="D20">
        <v>0.91100000000000003</v>
      </c>
      <c r="E20">
        <v>0.999</v>
      </c>
    </row>
    <row r="21" spans="1:5">
      <c r="A21" t="s">
        <v>57</v>
      </c>
      <c r="B21">
        <v>0.999</v>
      </c>
      <c r="C21">
        <v>0.995</v>
      </c>
      <c r="D21">
        <v>0.89700000000000002</v>
      </c>
      <c r="E21">
        <v>0.999</v>
      </c>
    </row>
    <row r="22" spans="1:5">
      <c r="A22" t="s">
        <v>6</v>
      </c>
      <c r="B22">
        <v>0.997</v>
      </c>
      <c r="C22">
        <v>0.995</v>
      </c>
      <c r="D22">
        <v>0.84399999999999997</v>
      </c>
      <c r="E22">
        <v>0.997</v>
      </c>
    </row>
    <row r="23" spans="1:5">
      <c r="A23" t="s">
        <v>13</v>
      </c>
      <c r="B23">
        <v>0.997</v>
      </c>
      <c r="C23">
        <v>0.995</v>
      </c>
      <c r="D23">
        <v>0.879</v>
      </c>
      <c r="E23">
        <v>0.997</v>
      </c>
    </row>
    <row r="24" spans="1:5">
      <c r="A24" t="s">
        <v>20</v>
      </c>
      <c r="B24">
        <v>0.997</v>
      </c>
      <c r="C24">
        <v>0.995</v>
      </c>
      <c r="D24">
        <v>0.92</v>
      </c>
      <c r="E24">
        <v>0.997</v>
      </c>
    </row>
    <row r="25" spans="1:5">
      <c r="A25" t="s">
        <v>22</v>
      </c>
      <c r="B25">
        <v>0.997</v>
      </c>
      <c r="C25">
        <v>0.995</v>
      </c>
      <c r="D25">
        <v>0.90800000000000003</v>
      </c>
      <c r="E25">
        <v>0.997</v>
      </c>
    </row>
    <row r="26" spans="1:5">
      <c r="A26" t="s">
        <v>51</v>
      </c>
      <c r="B26">
        <v>0.997</v>
      </c>
      <c r="C26">
        <v>0.99399999999999999</v>
      </c>
      <c r="D26">
        <v>0.86</v>
      </c>
      <c r="E26">
        <v>0.997</v>
      </c>
    </row>
    <row r="27" spans="1:5">
      <c r="A27" t="s">
        <v>52</v>
      </c>
      <c r="B27">
        <v>0.997</v>
      </c>
      <c r="C27">
        <v>0.995</v>
      </c>
      <c r="D27">
        <v>0.84</v>
      </c>
      <c r="E27">
        <v>0.997</v>
      </c>
    </row>
    <row r="28" spans="1:5">
      <c r="A28" t="s">
        <v>54</v>
      </c>
      <c r="B28">
        <v>0.997</v>
      </c>
      <c r="C28">
        <v>0.995</v>
      </c>
      <c r="D28">
        <v>0.877</v>
      </c>
      <c r="E28">
        <v>0.997</v>
      </c>
    </row>
    <row r="29" spans="1:5">
      <c r="A29" t="s">
        <v>55</v>
      </c>
      <c r="B29">
        <v>0.997</v>
      </c>
      <c r="C29">
        <v>0.995</v>
      </c>
      <c r="D29">
        <v>0.84</v>
      </c>
      <c r="E29">
        <v>0.997</v>
      </c>
    </row>
    <row r="30" spans="1:5">
      <c r="A30" t="s">
        <v>58</v>
      </c>
      <c r="B30">
        <v>0.997</v>
      </c>
      <c r="C30">
        <v>0.995</v>
      </c>
      <c r="D30">
        <v>0.84</v>
      </c>
      <c r="E30">
        <v>0.997</v>
      </c>
    </row>
    <row r="31" spans="1:5">
      <c r="A31" t="s">
        <v>5</v>
      </c>
      <c r="B31">
        <v>0.996</v>
      </c>
      <c r="C31">
        <v>0.995</v>
      </c>
      <c r="D31">
        <v>0.89</v>
      </c>
      <c r="E31">
        <v>0.996</v>
      </c>
    </row>
    <row r="32" spans="1:5">
      <c r="A32" t="s">
        <v>56</v>
      </c>
      <c r="B32">
        <v>0.996</v>
      </c>
      <c r="C32">
        <v>0.995</v>
      </c>
      <c r="D32">
        <v>0.83</v>
      </c>
      <c r="E32">
        <v>0.996</v>
      </c>
    </row>
    <row r="33" spans="1:5">
      <c r="A33" t="s">
        <v>93</v>
      </c>
      <c r="B33">
        <v>0.99299999999999999</v>
      </c>
      <c r="C33">
        <v>0.99299999999999999</v>
      </c>
      <c r="D33">
        <v>0.89900000000000002</v>
      </c>
      <c r="E33">
        <v>0.99299999999999999</v>
      </c>
    </row>
    <row r="34" spans="1:5">
      <c r="A34" t="s">
        <v>95</v>
      </c>
      <c r="B34">
        <v>0.99299999999999999</v>
      </c>
      <c r="C34">
        <v>0.995</v>
      </c>
      <c r="D34">
        <v>0.878</v>
      </c>
      <c r="E34">
        <v>0.99299999999999999</v>
      </c>
    </row>
    <row r="35" spans="1:5">
      <c r="A35" t="s">
        <v>103</v>
      </c>
      <c r="B35">
        <v>0.99099999999999999</v>
      </c>
      <c r="C35">
        <v>0.995</v>
      </c>
      <c r="D35">
        <v>0.83</v>
      </c>
      <c r="E35">
        <v>0.99099999999999999</v>
      </c>
    </row>
    <row r="36" spans="1:5">
      <c r="A36" t="s">
        <v>99</v>
      </c>
      <c r="B36">
        <v>0.98799999999999999</v>
      </c>
      <c r="C36">
        <v>0.995</v>
      </c>
      <c r="D36">
        <v>0.84399999999999997</v>
      </c>
      <c r="E36">
        <v>0.98799999999999999</v>
      </c>
    </row>
    <row r="37" spans="1:5">
      <c r="A37" t="s">
        <v>97</v>
      </c>
      <c r="B37">
        <v>0.98399999999999999</v>
      </c>
      <c r="C37">
        <v>0.99399999999999999</v>
      </c>
      <c r="D37">
        <v>0.81699999999999995</v>
      </c>
      <c r="E37">
        <v>0.98399999999999999</v>
      </c>
    </row>
    <row r="38" spans="1:5">
      <c r="A38" t="s">
        <v>14</v>
      </c>
      <c r="B38">
        <v>0.98199999999999998</v>
      </c>
      <c r="C38">
        <v>0.99399999999999999</v>
      </c>
      <c r="D38">
        <v>0.79600000000000004</v>
      </c>
      <c r="E38">
        <v>0.98199999999999998</v>
      </c>
    </row>
    <row r="39" spans="1:5">
      <c r="A39" t="s">
        <v>91</v>
      </c>
      <c r="B39">
        <v>0.98</v>
      </c>
      <c r="C39">
        <v>0.99299999999999999</v>
      </c>
      <c r="D39">
        <v>0.76400000000000001</v>
      </c>
      <c r="E39">
        <v>0.98</v>
      </c>
    </row>
    <row r="40" spans="1:5">
      <c r="A40" t="s">
        <v>50</v>
      </c>
      <c r="B40">
        <v>0.98199999999999998</v>
      </c>
      <c r="C40">
        <v>0.99399999999999999</v>
      </c>
      <c r="D40">
        <v>0.745</v>
      </c>
      <c r="E40">
        <v>0.97799999999999998</v>
      </c>
    </row>
    <row r="41" spans="1:5">
      <c r="A41" t="s">
        <v>105</v>
      </c>
      <c r="B41">
        <v>0.97799999999999998</v>
      </c>
      <c r="C41">
        <v>0.99299999999999999</v>
      </c>
      <c r="D41">
        <v>0.76900000000000002</v>
      </c>
      <c r="E41">
        <v>0.97799999999999998</v>
      </c>
    </row>
    <row r="42" spans="1:5">
      <c r="A42" t="s">
        <v>44</v>
      </c>
      <c r="B42">
        <v>0.98099999999999998</v>
      </c>
      <c r="C42">
        <v>0.99399999999999999</v>
      </c>
      <c r="D42">
        <v>0.753</v>
      </c>
      <c r="E42">
        <v>0.97599999999999998</v>
      </c>
    </row>
    <row r="43" spans="1:5">
      <c r="A43" s="4" t="s">
        <v>8</v>
      </c>
      <c r="B43">
        <v>0.97099999999999997</v>
      </c>
      <c r="C43">
        <v>0.99</v>
      </c>
      <c r="D43">
        <v>0.72599999999999998</v>
      </c>
      <c r="E43">
        <v>0.97099999999999997</v>
      </c>
    </row>
    <row r="44" spans="1:5">
      <c r="A44" t="s">
        <v>59</v>
      </c>
      <c r="B44">
        <v>0.96499999999999997</v>
      </c>
      <c r="C44">
        <v>0.98699999999999999</v>
      </c>
      <c r="D44">
        <v>0.68400000000000005</v>
      </c>
      <c r="E44">
        <v>0.96499999999999997</v>
      </c>
    </row>
    <row r="45" spans="1:5">
      <c r="A45" t="s">
        <v>101</v>
      </c>
      <c r="B45">
        <v>0.95799999999999996</v>
      </c>
      <c r="C45">
        <v>0.98899999999999999</v>
      </c>
      <c r="D45">
        <v>0.73</v>
      </c>
      <c r="E45">
        <v>0.95799999999999996</v>
      </c>
    </row>
    <row r="46" spans="1:5">
      <c r="A46" t="s">
        <v>12</v>
      </c>
      <c r="B46">
        <v>0.94099999999999995</v>
      </c>
      <c r="C46">
        <v>0.98099999999999998</v>
      </c>
      <c r="D46">
        <v>0.60599999999999998</v>
      </c>
      <c r="E46">
        <v>0.94099999999999995</v>
      </c>
    </row>
    <row r="47" spans="1:5">
      <c r="A47" t="s">
        <v>10</v>
      </c>
      <c r="B47">
        <v>0.92800000000000005</v>
      </c>
      <c r="C47">
        <v>0.97699999999999998</v>
      </c>
      <c r="D47">
        <v>0.621</v>
      </c>
      <c r="E47">
        <v>0.91900000000000004</v>
      </c>
    </row>
    <row r="48" spans="1:5">
      <c r="A48" t="s">
        <v>48</v>
      </c>
      <c r="B48">
        <v>7.0000000000000001E-3</v>
      </c>
      <c r="C48">
        <v>0.92800000000000005</v>
      </c>
      <c r="D48">
        <v>0.61199999999999999</v>
      </c>
      <c r="E48">
        <v>7.0000000000000001E-3</v>
      </c>
    </row>
    <row r="49" spans="1:5">
      <c r="A49" t="s">
        <v>24</v>
      </c>
      <c r="B49">
        <v>2E-3</v>
      </c>
      <c r="C49">
        <v>3.2000000000000001E-2</v>
      </c>
      <c r="D49">
        <v>8.9999999999999993E-3</v>
      </c>
      <c r="E49">
        <v>1E-3</v>
      </c>
    </row>
    <row r="50" spans="1:5">
      <c r="A50" t="s">
        <v>15</v>
      </c>
      <c r="B50">
        <v>0.99</v>
      </c>
      <c r="C50">
        <v>0.995</v>
      </c>
      <c r="D50">
        <v>0.83599999999999997</v>
      </c>
      <c r="E50">
        <v>0</v>
      </c>
    </row>
    <row r="51" spans="1:5">
      <c r="A51" t="s">
        <v>17</v>
      </c>
      <c r="B51">
        <v>0.91200000000000003</v>
      </c>
      <c r="C51">
        <v>0.95199999999999996</v>
      </c>
      <c r="D51">
        <v>0.55700000000000005</v>
      </c>
      <c r="E51">
        <v>0</v>
      </c>
    </row>
    <row r="52" spans="1:5">
      <c r="A52" t="s">
        <v>18</v>
      </c>
      <c r="B52">
        <v>0</v>
      </c>
      <c r="C52">
        <v>0</v>
      </c>
      <c r="D52">
        <v>0</v>
      </c>
      <c r="E52">
        <v>0</v>
      </c>
    </row>
    <row r="53" spans="1:5">
      <c r="A53" t="s">
        <v>19</v>
      </c>
      <c r="B53">
        <v>0.98099999999999998</v>
      </c>
      <c r="C53">
        <v>0.99299999999999999</v>
      </c>
      <c r="D53">
        <v>0.74399999999999999</v>
      </c>
      <c r="E53">
        <v>0</v>
      </c>
    </row>
    <row r="54" spans="1:5">
      <c r="A54" t="s">
        <v>21</v>
      </c>
      <c r="B54">
        <v>0.97699999999999998</v>
      </c>
      <c r="C54">
        <v>0.99199999999999999</v>
      </c>
      <c r="D54">
        <v>0.81200000000000006</v>
      </c>
      <c r="E54">
        <v>0</v>
      </c>
    </row>
    <row r="55" spans="1:5">
      <c r="A55" t="s">
        <v>23</v>
      </c>
      <c r="B55">
        <v>0.91100000000000003</v>
      </c>
      <c r="C55">
        <v>0.96199999999999997</v>
      </c>
      <c r="D55">
        <v>0.58699999999999997</v>
      </c>
      <c r="E55">
        <v>0</v>
      </c>
    </row>
    <row r="56" spans="1:5">
      <c r="A56" t="s">
        <v>25</v>
      </c>
      <c r="B56">
        <v>0.96499999999999997</v>
      </c>
      <c r="C56">
        <v>0.99</v>
      </c>
      <c r="D56">
        <v>0.70599999999999996</v>
      </c>
      <c r="E56">
        <v>0</v>
      </c>
    </row>
    <row r="57" spans="1:5">
      <c r="A57" t="s">
        <v>27</v>
      </c>
      <c r="B57">
        <v>0.98499999999999999</v>
      </c>
      <c r="C57">
        <v>0.995</v>
      </c>
      <c r="D57">
        <v>0.81899999999999995</v>
      </c>
      <c r="E57">
        <v>0</v>
      </c>
    </row>
    <row r="58" spans="1:5">
      <c r="A58" t="s">
        <v>29</v>
      </c>
      <c r="B58">
        <v>0.86</v>
      </c>
      <c r="C58">
        <v>0.90900000000000003</v>
      </c>
      <c r="D58">
        <v>0.46800000000000003</v>
      </c>
      <c r="E58">
        <v>0</v>
      </c>
    </row>
    <row r="59" spans="1:5">
      <c r="A59" t="s">
        <v>30</v>
      </c>
      <c r="B59">
        <v>0</v>
      </c>
      <c r="C59">
        <v>0</v>
      </c>
      <c r="D59">
        <v>0</v>
      </c>
      <c r="E59">
        <v>0</v>
      </c>
    </row>
    <row r="60" spans="1:5">
      <c r="A60" t="s">
        <v>31</v>
      </c>
      <c r="B60">
        <v>0.97599999999999998</v>
      </c>
      <c r="C60">
        <v>0.99199999999999999</v>
      </c>
      <c r="D60">
        <v>0.74</v>
      </c>
      <c r="E60">
        <v>0</v>
      </c>
    </row>
    <row r="61" spans="1:5">
      <c r="A61" t="s">
        <v>33</v>
      </c>
      <c r="B61">
        <v>0.98599999999999999</v>
      </c>
      <c r="C61">
        <v>0.99199999999999999</v>
      </c>
      <c r="D61">
        <v>0.78500000000000003</v>
      </c>
      <c r="E61">
        <v>0</v>
      </c>
    </row>
    <row r="62" spans="1:5">
      <c r="A62" t="s">
        <v>35</v>
      </c>
      <c r="B62">
        <v>0.879</v>
      </c>
      <c r="C62">
        <v>0.92600000000000005</v>
      </c>
      <c r="D62">
        <v>0.52600000000000002</v>
      </c>
      <c r="E62">
        <v>0</v>
      </c>
    </row>
    <row r="63" spans="1:5">
      <c r="A63" t="s">
        <v>36</v>
      </c>
      <c r="B63">
        <v>0</v>
      </c>
      <c r="C63">
        <v>0</v>
      </c>
      <c r="D63">
        <v>0</v>
      </c>
      <c r="E63">
        <v>0</v>
      </c>
    </row>
    <row r="64" spans="1:5">
      <c r="A64" t="s">
        <v>37</v>
      </c>
      <c r="B64">
        <v>0.92500000000000004</v>
      </c>
      <c r="C64">
        <v>0.95499999999999996</v>
      </c>
      <c r="D64">
        <v>0.63900000000000001</v>
      </c>
      <c r="E64">
        <v>0</v>
      </c>
    </row>
    <row r="65" spans="1:5">
      <c r="A65" t="s">
        <v>39</v>
      </c>
      <c r="B65">
        <v>0.41299999999999998</v>
      </c>
      <c r="C65">
        <v>0.39700000000000002</v>
      </c>
      <c r="D65">
        <v>0.18</v>
      </c>
      <c r="E65">
        <v>0</v>
      </c>
    </row>
    <row r="66" spans="1:5">
      <c r="A66" t="s">
        <v>41</v>
      </c>
      <c r="B66">
        <v>0.84499999999999997</v>
      </c>
      <c r="C66">
        <v>0.91800000000000004</v>
      </c>
      <c r="D66">
        <v>0.44700000000000001</v>
      </c>
      <c r="E66">
        <v>0</v>
      </c>
    </row>
    <row r="67" spans="1:5">
      <c r="A67" t="s">
        <v>42</v>
      </c>
      <c r="B67">
        <v>0</v>
      </c>
      <c r="C67">
        <v>0</v>
      </c>
      <c r="D67">
        <v>0</v>
      </c>
      <c r="E67">
        <v>0</v>
      </c>
    </row>
    <row r="68" spans="1:5">
      <c r="A68" t="s">
        <v>43</v>
      </c>
      <c r="B68">
        <v>0.62</v>
      </c>
      <c r="C68">
        <v>0.59799999999999998</v>
      </c>
      <c r="D68">
        <v>0.247</v>
      </c>
      <c r="E68">
        <v>0</v>
      </c>
    </row>
    <row r="69" spans="1:5">
      <c r="A69" t="s">
        <v>45</v>
      </c>
      <c r="B69">
        <v>0.43</v>
      </c>
      <c r="C69">
        <v>0.435</v>
      </c>
      <c r="D69">
        <v>0.222</v>
      </c>
      <c r="E69">
        <v>0</v>
      </c>
    </row>
    <row r="70" spans="1:5">
      <c r="A70" t="s">
        <v>47</v>
      </c>
      <c r="B70">
        <v>0.76300000000000001</v>
      </c>
      <c r="C70">
        <v>0.81100000000000005</v>
      </c>
      <c r="D70">
        <v>0.34699999999999998</v>
      </c>
      <c r="E70">
        <v>0</v>
      </c>
    </row>
    <row r="71" spans="1:5">
      <c r="A71" t="s">
        <v>49</v>
      </c>
      <c r="B71">
        <v>0.64900000000000002</v>
      </c>
      <c r="C71">
        <v>0.64600000000000002</v>
      </c>
      <c r="D71">
        <v>0.23899999999999999</v>
      </c>
      <c r="E71">
        <v>0</v>
      </c>
    </row>
  </sheetData>
  <autoFilter ref="A1:E71">
    <sortState ref="A2:E71">
      <sortCondition descending="1" ref="E7"/>
    </sortState>
  </autoFilter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:E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71"/>
  <sheetViews>
    <sheetView workbookViewId="0">
      <selection activeCell="E6" sqref="E6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32</v>
      </c>
      <c r="B2">
        <v>0.997</v>
      </c>
      <c r="C2">
        <v>0.995</v>
      </c>
      <c r="D2">
        <v>0.91200000000000003</v>
      </c>
      <c r="E2">
        <v>0.997</v>
      </c>
    </row>
    <row r="3" spans="1:5">
      <c r="A3" t="s">
        <v>40</v>
      </c>
      <c r="B3">
        <v>0.997</v>
      </c>
      <c r="C3">
        <v>0.995</v>
      </c>
      <c r="D3">
        <v>0.92400000000000004</v>
      </c>
      <c r="E3">
        <v>0.997</v>
      </c>
    </row>
    <row r="4" spans="1:5">
      <c r="A4" t="s">
        <v>94</v>
      </c>
      <c r="B4">
        <v>0.996</v>
      </c>
      <c r="C4">
        <v>0.995</v>
      </c>
      <c r="D4">
        <v>0.90500000000000003</v>
      </c>
      <c r="E4">
        <v>0.997</v>
      </c>
    </row>
    <row r="5" spans="1:5">
      <c r="A5" t="s">
        <v>16</v>
      </c>
      <c r="B5">
        <v>0.996</v>
      </c>
      <c r="C5">
        <v>0.995</v>
      </c>
      <c r="D5">
        <v>0.88</v>
      </c>
      <c r="E5">
        <v>0.996</v>
      </c>
    </row>
    <row r="6" spans="1:5">
      <c r="A6" t="s">
        <v>20</v>
      </c>
      <c r="B6">
        <v>0.996</v>
      </c>
      <c r="C6">
        <v>0.995</v>
      </c>
      <c r="D6">
        <v>0.90900000000000003</v>
      </c>
      <c r="E6">
        <v>0.996</v>
      </c>
    </row>
    <row r="7" spans="1:5">
      <c r="A7" t="s">
        <v>28</v>
      </c>
      <c r="B7">
        <v>0.996</v>
      </c>
      <c r="C7">
        <v>0.995</v>
      </c>
      <c r="D7">
        <v>0.88900000000000001</v>
      </c>
      <c r="E7">
        <v>0.996</v>
      </c>
    </row>
    <row r="8" spans="1:5">
      <c r="A8" t="s">
        <v>34</v>
      </c>
      <c r="B8">
        <v>0.996</v>
      </c>
      <c r="C8">
        <v>0.995</v>
      </c>
      <c r="D8">
        <v>0.88900000000000001</v>
      </c>
      <c r="E8">
        <v>0.996</v>
      </c>
    </row>
    <row r="9" spans="1:5">
      <c r="A9" t="s">
        <v>98</v>
      </c>
      <c r="B9">
        <v>0.997</v>
      </c>
      <c r="C9">
        <v>0.995</v>
      </c>
      <c r="D9">
        <v>0.92900000000000005</v>
      </c>
      <c r="E9">
        <v>0.996</v>
      </c>
    </row>
    <row r="10" spans="1:5">
      <c r="A10" t="s">
        <v>104</v>
      </c>
      <c r="B10">
        <v>0.996</v>
      </c>
      <c r="C10">
        <v>0.995</v>
      </c>
      <c r="D10">
        <v>0.91900000000000004</v>
      </c>
      <c r="E10">
        <v>0.996</v>
      </c>
    </row>
    <row r="11" spans="1:5">
      <c r="A11" t="s">
        <v>11</v>
      </c>
      <c r="B11">
        <v>0.995</v>
      </c>
      <c r="C11">
        <v>0.995</v>
      </c>
      <c r="D11">
        <v>0.91200000000000003</v>
      </c>
      <c r="E11">
        <v>0.995</v>
      </c>
    </row>
    <row r="12" spans="1:5">
      <c r="A12" t="s">
        <v>92</v>
      </c>
      <c r="B12">
        <v>0.995</v>
      </c>
      <c r="C12">
        <v>0.995</v>
      </c>
      <c r="D12">
        <v>0.91400000000000003</v>
      </c>
      <c r="E12">
        <v>0.995</v>
      </c>
    </row>
    <row r="13" spans="1:5">
      <c r="A13" t="s">
        <v>26</v>
      </c>
      <c r="B13">
        <v>0.995</v>
      </c>
      <c r="C13">
        <v>0.995</v>
      </c>
      <c r="D13">
        <v>0.91400000000000003</v>
      </c>
      <c r="E13">
        <v>0.995</v>
      </c>
    </row>
    <row r="14" spans="1:5">
      <c r="A14" t="s">
        <v>96</v>
      </c>
      <c r="B14">
        <v>0.996</v>
      </c>
      <c r="C14">
        <v>0.995</v>
      </c>
      <c r="D14">
        <v>0.92600000000000005</v>
      </c>
      <c r="E14">
        <v>0.995</v>
      </c>
    </row>
    <row r="15" spans="1:5">
      <c r="A15" t="s">
        <v>53</v>
      </c>
      <c r="B15">
        <v>0.995</v>
      </c>
      <c r="C15">
        <v>0.995</v>
      </c>
      <c r="D15">
        <v>0.88700000000000001</v>
      </c>
      <c r="E15">
        <v>0.995</v>
      </c>
    </row>
    <row r="16" spans="1:5">
      <c r="A16" t="s">
        <v>57</v>
      </c>
      <c r="B16">
        <v>0.995</v>
      </c>
      <c r="C16">
        <v>0.995</v>
      </c>
      <c r="D16">
        <v>0.90800000000000003</v>
      </c>
      <c r="E16">
        <v>0.995</v>
      </c>
    </row>
    <row r="17" spans="1:5">
      <c r="A17" t="s">
        <v>5</v>
      </c>
      <c r="B17">
        <v>0.995</v>
      </c>
      <c r="C17">
        <v>0.995</v>
      </c>
      <c r="D17">
        <v>0.90900000000000003</v>
      </c>
      <c r="E17">
        <v>0.99399999999999999</v>
      </c>
    </row>
    <row r="18" spans="1:5">
      <c r="A18" t="s">
        <v>9</v>
      </c>
      <c r="B18">
        <v>0.995</v>
      </c>
      <c r="C18">
        <v>0.995</v>
      </c>
      <c r="D18">
        <v>0.92100000000000004</v>
      </c>
      <c r="E18">
        <v>0.99399999999999999</v>
      </c>
    </row>
    <row r="19" spans="1:5">
      <c r="A19" t="s">
        <v>13</v>
      </c>
      <c r="B19">
        <v>0.995</v>
      </c>
      <c r="C19">
        <v>0.995</v>
      </c>
      <c r="D19">
        <v>0.91</v>
      </c>
      <c r="E19">
        <v>0.99399999999999999</v>
      </c>
    </row>
    <row r="20" spans="1:5">
      <c r="A20" t="s">
        <v>22</v>
      </c>
      <c r="B20">
        <v>0.99399999999999999</v>
      </c>
      <c r="C20">
        <v>0.995</v>
      </c>
      <c r="D20">
        <v>0.90800000000000003</v>
      </c>
      <c r="E20">
        <v>0.99399999999999999</v>
      </c>
    </row>
    <row r="21" spans="1:5">
      <c r="A21" t="s">
        <v>38</v>
      </c>
      <c r="B21">
        <v>0.99399999999999999</v>
      </c>
      <c r="C21">
        <v>0.995</v>
      </c>
      <c r="D21">
        <v>0.90100000000000002</v>
      </c>
      <c r="E21">
        <v>0.99399999999999999</v>
      </c>
    </row>
    <row r="22" spans="1:5">
      <c r="A22" t="s">
        <v>46</v>
      </c>
      <c r="B22">
        <v>0.995</v>
      </c>
      <c r="C22">
        <v>0.995</v>
      </c>
      <c r="D22">
        <v>0.91700000000000004</v>
      </c>
      <c r="E22">
        <v>0.99399999999999999</v>
      </c>
    </row>
    <row r="23" spans="1:5">
      <c r="A23" t="s">
        <v>100</v>
      </c>
      <c r="B23">
        <v>0.995</v>
      </c>
      <c r="C23">
        <v>0.995</v>
      </c>
      <c r="D23">
        <v>0.90600000000000003</v>
      </c>
      <c r="E23">
        <v>0.99399999999999999</v>
      </c>
    </row>
    <row r="24" spans="1:5">
      <c r="A24" t="s">
        <v>102</v>
      </c>
      <c r="B24">
        <v>0.99399999999999999</v>
      </c>
      <c r="C24">
        <v>0.995</v>
      </c>
      <c r="D24">
        <v>0.91800000000000004</v>
      </c>
      <c r="E24">
        <v>0.99399999999999999</v>
      </c>
    </row>
    <row r="25" spans="1:5">
      <c r="A25" t="s">
        <v>51</v>
      </c>
      <c r="B25">
        <v>0.995</v>
      </c>
      <c r="C25">
        <v>0.995</v>
      </c>
      <c r="D25">
        <v>0.88300000000000001</v>
      </c>
      <c r="E25">
        <v>0.99399999999999999</v>
      </c>
    </row>
    <row r="26" spans="1:5">
      <c r="A26" t="s">
        <v>7</v>
      </c>
      <c r="B26">
        <v>0.99299999999999999</v>
      </c>
      <c r="C26">
        <v>0.995</v>
      </c>
      <c r="D26">
        <v>0.91300000000000003</v>
      </c>
      <c r="E26">
        <v>0.99299999999999999</v>
      </c>
    </row>
    <row r="27" spans="1:5">
      <c r="A27" t="s">
        <v>6</v>
      </c>
      <c r="B27">
        <v>0.99299999999999999</v>
      </c>
      <c r="C27">
        <v>0.995</v>
      </c>
      <c r="D27">
        <v>0.871</v>
      </c>
      <c r="E27">
        <v>0.99199999999999999</v>
      </c>
    </row>
    <row r="28" spans="1:5">
      <c r="A28" t="s">
        <v>54</v>
      </c>
      <c r="B28">
        <v>0.99299999999999999</v>
      </c>
      <c r="C28">
        <v>0.995</v>
      </c>
      <c r="D28">
        <v>0.89700000000000002</v>
      </c>
      <c r="E28">
        <v>0.99099999999999999</v>
      </c>
    </row>
    <row r="29" spans="1:5">
      <c r="A29" t="s">
        <v>56</v>
      </c>
      <c r="B29">
        <v>0.99299999999999999</v>
      </c>
      <c r="C29">
        <v>0.995</v>
      </c>
      <c r="D29">
        <v>0.86799999999999999</v>
      </c>
      <c r="E29">
        <v>0.99099999999999999</v>
      </c>
    </row>
    <row r="30" spans="1:5">
      <c r="A30" t="s">
        <v>95</v>
      </c>
      <c r="B30">
        <v>0.99</v>
      </c>
      <c r="C30">
        <v>0.99399999999999999</v>
      </c>
      <c r="D30">
        <v>0.86599999999999999</v>
      </c>
      <c r="E30">
        <v>0.99</v>
      </c>
    </row>
    <row r="31" spans="1:5">
      <c r="A31" t="s">
        <v>93</v>
      </c>
      <c r="B31">
        <v>0.99</v>
      </c>
      <c r="C31">
        <v>0.99399999999999999</v>
      </c>
      <c r="D31">
        <v>0.89800000000000002</v>
      </c>
      <c r="E31">
        <v>0.98899999999999999</v>
      </c>
    </row>
    <row r="32" spans="1:5">
      <c r="A32" t="s">
        <v>103</v>
      </c>
      <c r="B32">
        <v>0.98699999999999999</v>
      </c>
      <c r="C32">
        <v>0.99399999999999999</v>
      </c>
      <c r="D32">
        <v>0.82099999999999995</v>
      </c>
      <c r="E32">
        <v>0.98699999999999999</v>
      </c>
    </row>
    <row r="33" spans="1:5">
      <c r="A33" t="s">
        <v>99</v>
      </c>
      <c r="B33">
        <v>0.98699999999999999</v>
      </c>
      <c r="C33">
        <v>0.99399999999999999</v>
      </c>
      <c r="D33">
        <v>0.84</v>
      </c>
      <c r="E33">
        <v>0.98599999999999999</v>
      </c>
    </row>
    <row r="34" spans="1:5">
      <c r="A34" t="s">
        <v>14</v>
      </c>
      <c r="B34">
        <v>0.98699999999999999</v>
      </c>
      <c r="C34">
        <v>0.99199999999999999</v>
      </c>
      <c r="D34">
        <v>0.82899999999999996</v>
      </c>
      <c r="E34">
        <v>0.98499999999999999</v>
      </c>
    </row>
    <row r="35" spans="1:5">
      <c r="A35" t="s">
        <v>52</v>
      </c>
      <c r="B35">
        <v>0.98499999999999999</v>
      </c>
      <c r="C35">
        <v>0.99399999999999999</v>
      </c>
      <c r="D35">
        <v>0.84899999999999998</v>
      </c>
      <c r="E35">
        <v>0.98499999999999999</v>
      </c>
    </row>
    <row r="36" spans="1:5">
      <c r="A36" t="s">
        <v>55</v>
      </c>
      <c r="B36">
        <v>0.98499999999999999</v>
      </c>
      <c r="C36">
        <v>0.99399999999999999</v>
      </c>
      <c r="D36">
        <v>0.84899999999999998</v>
      </c>
      <c r="E36">
        <v>0.98499999999999999</v>
      </c>
    </row>
    <row r="37" spans="1:5">
      <c r="A37" t="s">
        <v>58</v>
      </c>
      <c r="B37">
        <v>0.98499999999999999</v>
      </c>
      <c r="C37">
        <v>0.99399999999999999</v>
      </c>
      <c r="D37">
        <v>0.84899999999999998</v>
      </c>
      <c r="E37">
        <v>0.98499999999999999</v>
      </c>
    </row>
    <row r="38" spans="1:5">
      <c r="A38" t="s">
        <v>97</v>
      </c>
      <c r="B38">
        <v>0.98099999999999998</v>
      </c>
      <c r="C38">
        <v>0.98899999999999999</v>
      </c>
      <c r="D38">
        <v>0.81899999999999995</v>
      </c>
      <c r="E38">
        <v>0.98099999999999998</v>
      </c>
    </row>
    <row r="39" spans="1:5">
      <c r="A39" s="4" t="s">
        <v>8</v>
      </c>
      <c r="B39">
        <v>0.97299999999999998</v>
      </c>
      <c r="C39">
        <v>0.98599999999999999</v>
      </c>
      <c r="D39">
        <v>0.75700000000000001</v>
      </c>
      <c r="E39">
        <v>0.97299999999999998</v>
      </c>
    </row>
    <row r="40" spans="1:5">
      <c r="A40" t="s">
        <v>50</v>
      </c>
      <c r="B40">
        <v>0.97599999999999998</v>
      </c>
      <c r="C40">
        <v>0.98699999999999999</v>
      </c>
      <c r="D40">
        <v>0.746</v>
      </c>
      <c r="E40">
        <v>0.97299999999999998</v>
      </c>
    </row>
    <row r="41" spans="1:5">
      <c r="A41" t="s">
        <v>91</v>
      </c>
      <c r="B41">
        <v>0.97299999999999998</v>
      </c>
      <c r="C41">
        <v>0.98399999999999999</v>
      </c>
      <c r="D41">
        <v>0.77</v>
      </c>
      <c r="E41">
        <v>0.97199999999999998</v>
      </c>
    </row>
    <row r="42" spans="1:5">
      <c r="A42" t="s">
        <v>105</v>
      </c>
      <c r="B42">
        <v>0.97399999999999998</v>
      </c>
      <c r="C42">
        <v>0.98399999999999999</v>
      </c>
      <c r="D42">
        <v>0.78</v>
      </c>
      <c r="E42">
        <v>0.97199999999999998</v>
      </c>
    </row>
    <row r="43" spans="1:5">
      <c r="A43" t="s">
        <v>44</v>
      </c>
      <c r="B43">
        <v>0.97299999999999998</v>
      </c>
      <c r="C43">
        <v>0.98899999999999999</v>
      </c>
      <c r="D43">
        <v>0.753</v>
      </c>
      <c r="E43">
        <v>0.97099999999999997</v>
      </c>
    </row>
    <row r="44" spans="1:5">
      <c r="A44" t="s">
        <v>59</v>
      </c>
      <c r="B44">
        <v>0.97199999999999998</v>
      </c>
      <c r="C44">
        <v>0.98399999999999999</v>
      </c>
      <c r="D44">
        <v>0.73099999999999998</v>
      </c>
      <c r="E44">
        <v>0.97</v>
      </c>
    </row>
    <row r="45" spans="1:5">
      <c r="A45" t="s">
        <v>101</v>
      </c>
      <c r="B45">
        <v>0.96899999999999997</v>
      </c>
      <c r="C45">
        <v>0.98099999999999998</v>
      </c>
      <c r="D45">
        <v>0.747</v>
      </c>
      <c r="E45">
        <v>0.96799999999999997</v>
      </c>
    </row>
    <row r="46" spans="1:5">
      <c r="A46" t="s">
        <v>10</v>
      </c>
      <c r="B46">
        <v>0.96299999999999997</v>
      </c>
      <c r="C46">
        <v>0.96799999999999997</v>
      </c>
      <c r="D46">
        <v>0.63700000000000001</v>
      </c>
      <c r="E46">
        <v>0.96399999999999997</v>
      </c>
    </row>
    <row r="47" spans="1:5">
      <c r="A47" t="s">
        <v>12</v>
      </c>
      <c r="B47">
        <v>0.96</v>
      </c>
      <c r="C47">
        <v>0.96899999999999997</v>
      </c>
      <c r="D47">
        <v>0.624</v>
      </c>
      <c r="E47">
        <v>0.96199999999999997</v>
      </c>
    </row>
    <row r="48" spans="1:5">
      <c r="A48" t="s">
        <v>48</v>
      </c>
      <c r="B48">
        <v>7.0000000000000001E-3</v>
      </c>
      <c r="C48">
        <v>0.93200000000000005</v>
      </c>
      <c r="D48">
        <v>0.60199999999999998</v>
      </c>
      <c r="E48">
        <v>7.0000000000000001E-3</v>
      </c>
    </row>
    <row r="49" spans="1:5">
      <c r="A49" t="s">
        <v>24</v>
      </c>
      <c r="B49">
        <v>2E-3</v>
      </c>
      <c r="C49">
        <v>4.7E-2</v>
      </c>
      <c r="D49">
        <v>1.6E-2</v>
      </c>
      <c r="E49">
        <v>1E-3</v>
      </c>
    </row>
    <row r="50" spans="1:5">
      <c r="A50" t="s">
        <v>15</v>
      </c>
      <c r="B50">
        <v>0.98499999999999999</v>
      </c>
      <c r="C50">
        <v>0.99299999999999999</v>
      </c>
      <c r="D50">
        <v>0.82799999999999996</v>
      </c>
      <c r="E50">
        <v>0</v>
      </c>
    </row>
    <row r="51" spans="1:5">
      <c r="A51" t="s">
        <v>17</v>
      </c>
      <c r="B51">
        <v>0.91600000000000004</v>
      </c>
      <c r="C51">
        <v>0.94899999999999995</v>
      </c>
      <c r="D51">
        <v>0.54600000000000004</v>
      </c>
      <c r="E51">
        <v>0</v>
      </c>
    </row>
    <row r="52" spans="1:5">
      <c r="A52" t="s">
        <v>18</v>
      </c>
      <c r="B52">
        <v>0</v>
      </c>
      <c r="C52">
        <v>0</v>
      </c>
      <c r="D52">
        <v>0</v>
      </c>
      <c r="E52">
        <v>0</v>
      </c>
    </row>
    <row r="53" spans="1:5">
      <c r="A53" t="s">
        <v>19</v>
      </c>
      <c r="B53">
        <v>0.97399999999999998</v>
      </c>
      <c r="C53">
        <v>0.98499999999999999</v>
      </c>
      <c r="D53">
        <v>0.73799999999999999</v>
      </c>
      <c r="E53">
        <v>0</v>
      </c>
    </row>
    <row r="54" spans="1:5">
      <c r="A54" t="s">
        <v>21</v>
      </c>
      <c r="B54">
        <v>0.98</v>
      </c>
      <c r="C54">
        <v>0.99099999999999999</v>
      </c>
      <c r="D54">
        <v>0.80900000000000005</v>
      </c>
      <c r="E54">
        <v>0</v>
      </c>
    </row>
    <row r="55" spans="1:5">
      <c r="A55" t="s">
        <v>23</v>
      </c>
      <c r="B55">
        <v>0.92600000000000005</v>
      </c>
      <c r="C55">
        <v>0.96299999999999997</v>
      </c>
      <c r="D55">
        <v>0.57399999999999995</v>
      </c>
      <c r="E55">
        <v>0</v>
      </c>
    </row>
    <row r="56" spans="1:5">
      <c r="A56" t="s">
        <v>25</v>
      </c>
      <c r="B56">
        <v>0.96</v>
      </c>
      <c r="C56">
        <v>0.98199999999999998</v>
      </c>
      <c r="D56">
        <v>0.69799999999999995</v>
      </c>
      <c r="E56">
        <v>0</v>
      </c>
    </row>
    <row r="57" spans="1:5">
      <c r="A57" t="s">
        <v>27</v>
      </c>
      <c r="B57">
        <v>0.98399999999999999</v>
      </c>
      <c r="C57">
        <v>0.99399999999999999</v>
      </c>
      <c r="D57">
        <v>0.82099999999999995</v>
      </c>
      <c r="E57">
        <v>0</v>
      </c>
    </row>
    <row r="58" spans="1:5">
      <c r="A58" t="s">
        <v>29</v>
      </c>
      <c r="B58">
        <v>0.88500000000000001</v>
      </c>
      <c r="C58">
        <v>0.92900000000000005</v>
      </c>
      <c r="D58">
        <v>0.48399999999999999</v>
      </c>
      <c r="E58">
        <v>0</v>
      </c>
    </row>
    <row r="59" spans="1:5">
      <c r="A59" t="s">
        <v>30</v>
      </c>
      <c r="B59">
        <v>0</v>
      </c>
      <c r="C59">
        <v>0</v>
      </c>
      <c r="D59">
        <v>0</v>
      </c>
      <c r="E59">
        <v>0</v>
      </c>
    </row>
    <row r="60" spans="1:5">
      <c r="A60" t="s">
        <v>31</v>
      </c>
      <c r="B60">
        <v>0.96899999999999997</v>
      </c>
      <c r="C60">
        <v>0.98799999999999999</v>
      </c>
      <c r="D60">
        <v>0.73599999999999999</v>
      </c>
      <c r="E60">
        <v>0</v>
      </c>
    </row>
    <row r="61" spans="1:5">
      <c r="A61" t="s">
        <v>33</v>
      </c>
      <c r="B61">
        <v>0.97799999999999998</v>
      </c>
      <c r="C61">
        <v>0.98899999999999999</v>
      </c>
      <c r="D61">
        <v>0.77200000000000002</v>
      </c>
      <c r="E61">
        <v>0</v>
      </c>
    </row>
    <row r="62" spans="1:5">
      <c r="A62" t="s">
        <v>35</v>
      </c>
      <c r="B62">
        <v>0.88600000000000001</v>
      </c>
      <c r="C62">
        <v>0.93</v>
      </c>
      <c r="D62">
        <v>0.52</v>
      </c>
      <c r="E62">
        <v>0</v>
      </c>
    </row>
    <row r="63" spans="1:5">
      <c r="A63" t="s">
        <v>36</v>
      </c>
      <c r="B63">
        <v>0</v>
      </c>
      <c r="C63">
        <v>0</v>
      </c>
      <c r="D63">
        <v>0</v>
      </c>
      <c r="E63">
        <v>0</v>
      </c>
    </row>
    <row r="64" spans="1:5">
      <c r="A64" t="s">
        <v>37</v>
      </c>
      <c r="B64">
        <v>0.93799999999999994</v>
      </c>
      <c r="C64">
        <v>0.96699999999999997</v>
      </c>
      <c r="D64">
        <v>0.65200000000000002</v>
      </c>
      <c r="E64">
        <v>0</v>
      </c>
    </row>
    <row r="65" spans="1:5">
      <c r="A65" t="s">
        <v>39</v>
      </c>
      <c r="B65">
        <v>0.45700000000000002</v>
      </c>
      <c r="C65">
        <v>0.40799999999999997</v>
      </c>
      <c r="D65">
        <v>0.185</v>
      </c>
      <c r="E65">
        <v>0</v>
      </c>
    </row>
    <row r="66" spans="1:5">
      <c r="A66" t="s">
        <v>41</v>
      </c>
      <c r="B66">
        <v>0.876</v>
      </c>
      <c r="C66">
        <v>0.92800000000000005</v>
      </c>
      <c r="D66">
        <v>0.45900000000000002</v>
      </c>
      <c r="E66">
        <v>0</v>
      </c>
    </row>
    <row r="67" spans="1:5">
      <c r="A67" t="s">
        <v>42</v>
      </c>
      <c r="B67">
        <v>0</v>
      </c>
      <c r="C67">
        <v>0</v>
      </c>
      <c r="D67">
        <v>0</v>
      </c>
      <c r="E67">
        <v>0</v>
      </c>
    </row>
    <row r="68" spans="1:5">
      <c r="A68" t="s">
        <v>43</v>
      </c>
      <c r="B68">
        <v>0.67</v>
      </c>
      <c r="C68">
        <v>0.65600000000000003</v>
      </c>
      <c r="D68">
        <v>0.26500000000000001</v>
      </c>
      <c r="E68">
        <v>0</v>
      </c>
    </row>
    <row r="69" spans="1:5">
      <c r="A69" t="s">
        <v>45</v>
      </c>
      <c r="B69">
        <v>0.47799999999999998</v>
      </c>
      <c r="C69">
        <v>0.41899999999999998</v>
      </c>
      <c r="D69">
        <v>0.217</v>
      </c>
      <c r="E69">
        <v>0</v>
      </c>
    </row>
    <row r="70" spans="1:5">
      <c r="A70" t="s">
        <v>47</v>
      </c>
      <c r="B70">
        <v>0.77600000000000002</v>
      </c>
      <c r="C70">
        <v>0.82899999999999996</v>
      </c>
      <c r="D70">
        <v>0.36199999999999999</v>
      </c>
      <c r="E70">
        <v>0</v>
      </c>
    </row>
    <row r="71" spans="1:5">
      <c r="A71" t="s">
        <v>49</v>
      </c>
      <c r="B71">
        <v>0.69799999999999995</v>
      </c>
      <c r="C71">
        <v>0.68700000000000006</v>
      </c>
      <c r="D71">
        <v>0.25900000000000001</v>
      </c>
      <c r="E71">
        <v>0</v>
      </c>
    </row>
  </sheetData>
  <autoFilter ref="A1:E71">
    <sortState ref="A2:E71">
      <sortCondition descending="1" ref="E6"/>
    </sortState>
  </autoFilter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:E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O41"/>
  <sheetViews>
    <sheetView topLeftCell="A19" workbookViewId="0">
      <selection activeCell="C23" sqref="C23"/>
    </sheetView>
  </sheetViews>
  <sheetFormatPr defaultRowHeight="13.8"/>
  <cols>
    <col min="1" max="1" width="9.5" bestFit="1" customWidth="1"/>
    <col min="2" max="2" width="4.3984375" bestFit="1" customWidth="1"/>
    <col min="3" max="3" width="7.796875" bestFit="1" customWidth="1"/>
    <col min="4" max="4" width="9.796875" bestFit="1" customWidth="1"/>
    <col min="5" max="5" width="10.796875" style="5" bestFit="1" customWidth="1"/>
    <col min="6" max="6" width="11.796875" style="5" bestFit="1" customWidth="1"/>
    <col min="7" max="10" width="7.296875" style="5" bestFit="1" customWidth="1"/>
    <col min="11" max="11" width="9.296875" style="5" bestFit="1" customWidth="1"/>
    <col min="12" max="13" width="7.296875" style="5" bestFit="1" customWidth="1"/>
    <col min="14" max="14" width="8" style="5" bestFit="1" customWidth="1"/>
    <col min="15" max="15" width="12" style="5" bestFit="1" customWidth="1"/>
  </cols>
  <sheetData>
    <row r="1" spans="1:15">
      <c r="A1" t="s">
        <v>66</v>
      </c>
      <c r="B1" t="s">
        <v>67</v>
      </c>
      <c r="C1" t="s">
        <v>68</v>
      </c>
      <c r="D1" t="s">
        <v>69</v>
      </c>
      <c r="E1" s="5" t="s">
        <v>70</v>
      </c>
      <c r="F1" s="5" t="s">
        <v>71</v>
      </c>
      <c r="G1" s="5" t="s">
        <v>72</v>
      </c>
      <c r="H1" s="5" t="s">
        <v>73</v>
      </c>
      <c r="I1" s="5" t="s">
        <v>1</v>
      </c>
      <c r="J1" s="5" t="s">
        <v>2</v>
      </c>
      <c r="K1" s="5" t="s">
        <v>3</v>
      </c>
      <c r="L1" s="5" t="s">
        <v>74</v>
      </c>
      <c r="M1" s="5" t="s">
        <v>75</v>
      </c>
      <c r="N1" s="5" t="s">
        <v>4</v>
      </c>
      <c r="O1" s="5" t="s">
        <v>76</v>
      </c>
    </row>
    <row r="2" spans="1:15">
      <c r="A2" t="s">
        <v>77</v>
      </c>
      <c r="B2" t="s">
        <v>78</v>
      </c>
      <c r="C2" t="s">
        <v>79</v>
      </c>
      <c r="D2" t="s">
        <v>80</v>
      </c>
      <c r="E2" s="6">
        <v>54</v>
      </c>
      <c r="F2" s="6">
        <v>227</v>
      </c>
      <c r="G2" s="5">
        <v>0.54700000000000004</v>
      </c>
      <c r="H2" s="5">
        <v>0.41399999999999998</v>
      </c>
      <c r="I2" s="5">
        <v>0.47099999999999997</v>
      </c>
      <c r="J2" s="5">
        <v>0.379</v>
      </c>
      <c r="K2" s="5">
        <v>0.20200000000000001</v>
      </c>
      <c r="L2" s="5">
        <v>0.20200000000000001</v>
      </c>
      <c r="M2" s="5">
        <v>0.159</v>
      </c>
      <c r="N2" s="5">
        <v>0.17799999999999999</v>
      </c>
      <c r="O2" s="5">
        <v>13.514599800109799</v>
      </c>
    </row>
    <row r="3" spans="1:15">
      <c r="A3" t="s">
        <v>77</v>
      </c>
      <c r="B3" t="s">
        <v>78</v>
      </c>
      <c r="C3" t="s">
        <v>81</v>
      </c>
      <c r="D3" t="s">
        <v>82</v>
      </c>
      <c r="E3" s="6">
        <v>54</v>
      </c>
      <c r="F3" s="6">
        <v>227</v>
      </c>
      <c r="G3" s="5">
        <v>0.27700000000000002</v>
      </c>
      <c r="H3" s="5">
        <v>0.13900000000000001</v>
      </c>
      <c r="I3" s="5">
        <v>0.185</v>
      </c>
      <c r="J3" s="5">
        <v>0.121</v>
      </c>
      <c r="K3" s="5">
        <v>4.9000000000000002E-2</v>
      </c>
      <c r="L3" s="5">
        <v>0.216</v>
      </c>
      <c r="M3" s="5">
        <v>0.11</v>
      </c>
      <c r="N3" s="5">
        <v>0.14599999999999999</v>
      </c>
      <c r="O3" s="5">
        <v>5.5479817390441797</v>
      </c>
    </row>
    <row r="4" spans="1:15">
      <c r="A4" t="s">
        <v>77</v>
      </c>
      <c r="B4" t="s">
        <v>78</v>
      </c>
      <c r="C4" t="s">
        <v>83</v>
      </c>
      <c r="D4" t="s">
        <v>80</v>
      </c>
      <c r="E4" s="5">
        <v>54</v>
      </c>
      <c r="F4" s="5">
        <v>227</v>
      </c>
      <c r="G4" s="5">
        <v>0.54600000000000004</v>
      </c>
      <c r="H4" s="5">
        <v>0.42899999999999999</v>
      </c>
      <c r="I4" s="5">
        <v>0.48099999999999998</v>
      </c>
      <c r="J4" s="5">
        <v>0.40100000000000002</v>
      </c>
      <c r="K4" s="5">
        <v>0.20599999999999999</v>
      </c>
      <c r="L4" s="5">
        <v>0</v>
      </c>
      <c r="M4" s="5">
        <v>0</v>
      </c>
      <c r="N4" s="5">
        <v>0</v>
      </c>
      <c r="O4" s="5">
        <v>3.6959569454193102</v>
      </c>
    </row>
    <row r="5" spans="1:15">
      <c r="A5" t="s">
        <v>77</v>
      </c>
      <c r="B5" t="s">
        <v>78</v>
      </c>
      <c r="C5" t="s">
        <v>84</v>
      </c>
      <c r="D5" t="s">
        <v>85</v>
      </c>
      <c r="E5" s="5">
        <v>54</v>
      </c>
      <c r="F5" s="5">
        <v>227</v>
      </c>
      <c r="G5" s="5">
        <v>0.65700000000000003</v>
      </c>
      <c r="H5" s="5">
        <v>0.52300000000000002</v>
      </c>
      <c r="I5" s="5">
        <v>0.58299999999999996</v>
      </c>
      <c r="J5" s="5">
        <v>0.55300000000000005</v>
      </c>
      <c r="K5" s="5">
        <v>0.33400000000000002</v>
      </c>
      <c r="L5" s="5">
        <v>0</v>
      </c>
      <c r="M5" s="5">
        <v>0</v>
      </c>
      <c r="N5" s="5">
        <v>0</v>
      </c>
      <c r="O5" s="5">
        <v>4.9389865398406902</v>
      </c>
    </row>
    <row r="6" spans="1:15">
      <c r="A6" t="s">
        <v>86</v>
      </c>
      <c r="B6" t="s">
        <v>87</v>
      </c>
      <c r="C6" t="s">
        <v>79</v>
      </c>
      <c r="D6" t="s">
        <v>80</v>
      </c>
      <c r="E6" s="6">
        <v>8440</v>
      </c>
      <c r="F6" s="6">
        <v>66301</v>
      </c>
      <c r="G6" s="5">
        <v>0.96299999999999997</v>
      </c>
      <c r="H6" s="5">
        <v>0.92900000000000005</v>
      </c>
      <c r="I6" s="5">
        <v>0.94599999999999995</v>
      </c>
      <c r="J6" s="5">
        <v>0.96099999999999997</v>
      </c>
      <c r="K6" s="5">
        <v>0.64200000000000002</v>
      </c>
      <c r="L6" s="5">
        <v>0.93600000000000005</v>
      </c>
      <c r="M6" s="5">
        <v>0.871</v>
      </c>
      <c r="N6" s="5">
        <v>0.90200000000000002</v>
      </c>
      <c r="O6" s="5">
        <v>296.13214635848999</v>
      </c>
    </row>
    <row r="7" spans="1:15">
      <c r="A7" t="s">
        <v>86</v>
      </c>
      <c r="B7" t="s">
        <v>87</v>
      </c>
      <c r="C7" t="s">
        <v>81</v>
      </c>
      <c r="D7" t="s">
        <v>82</v>
      </c>
      <c r="E7" s="6">
        <v>8440</v>
      </c>
      <c r="F7" s="6">
        <v>66301</v>
      </c>
      <c r="G7" s="5">
        <v>0.63700000000000001</v>
      </c>
      <c r="H7" s="5">
        <v>0.42099999999999999</v>
      </c>
      <c r="I7" s="5">
        <v>0.50700000000000001</v>
      </c>
      <c r="J7" s="5">
        <v>0.44500000000000001</v>
      </c>
      <c r="K7" s="5">
        <v>0.26400000000000001</v>
      </c>
      <c r="L7" s="5">
        <v>0.621</v>
      </c>
      <c r="M7" s="5">
        <v>0.40699999999999997</v>
      </c>
      <c r="N7" s="5">
        <v>0.49199999999999999</v>
      </c>
      <c r="O7" s="5">
        <v>69.746719837188706</v>
      </c>
    </row>
    <row r="8" spans="1:15">
      <c r="A8" t="s">
        <v>86</v>
      </c>
      <c r="B8" t="s">
        <v>87</v>
      </c>
      <c r="C8" t="s">
        <v>83</v>
      </c>
      <c r="D8" t="s">
        <v>80</v>
      </c>
      <c r="E8" s="5">
        <v>8440</v>
      </c>
      <c r="F8" s="5">
        <v>66301</v>
      </c>
      <c r="G8" s="5">
        <v>0.91600000000000004</v>
      </c>
      <c r="H8" s="5">
        <v>0.84299999999999997</v>
      </c>
      <c r="I8" s="5">
        <v>0.878</v>
      </c>
      <c r="J8" s="5">
        <v>0.90500000000000003</v>
      </c>
      <c r="K8" s="5">
        <v>0.55400000000000005</v>
      </c>
      <c r="L8" s="5">
        <v>0</v>
      </c>
      <c r="M8" s="5">
        <v>0</v>
      </c>
      <c r="N8" s="5">
        <v>0</v>
      </c>
      <c r="O8" s="5">
        <v>36.588186502456601</v>
      </c>
    </row>
    <row r="9" spans="1:15">
      <c r="A9" t="s">
        <v>86</v>
      </c>
      <c r="B9" t="s">
        <v>87</v>
      </c>
      <c r="C9" t="s">
        <v>84</v>
      </c>
      <c r="D9" t="s">
        <v>85</v>
      </c>
      <c r="E9" s="5">
        <v>8440</v>
      </c>
      <c r="F9" s="5">
        <v>66301</v>
      </c>
      <c r="G9" s="5">
        <v>0.628</v>
      </c>
      <c r="H9" s="5">
        <v>0.39700000000000002</v>
      </c>
      <c r="I9" s="5">
        <v>0.48699999999999999</v>
      </c>
      <c r="J9" s="5">
        <v>0.44600000000000001</v>
      </c>
      <c r="K9" s="5">
        <v>0.27300000000000002</v>
      </c>
      <c r="L9" s="5">
        <v>0</v>
      </c>
      <c r="M9" s="5">
        <v>0</v>
      </c>
      <c r="N9" s="5">
        <v>0</v>
      </c>
      <c r="O9" s="5">
        <v>94.233100891113196</v>
      </c>
    </row>
    <row r="10" spans="1:15">
      <c r="A10" t="s">
        <v>86</v>
      </c>
      <c r="B10" t="s">
        <v>78</v>
      </c>
      <c r="C10" t="s">
        <v>79</v>
      </c>
      <c r="D10" t="s">
        <v>80</v>
      </c>
      <c r="E10" s="6">
        <v>661</v>
      </c>
      <c r="F10" s="6">
        <v>2767</v>
      </c>
      <c r="G10" s="5">
        <v>0.89600000000000002</v>
      </c>
      <c r="H10" s="5">
        <v>0.78600000000000003</v>
      </c>
      <c r="I10" s="5">
        <v>0.83699999999999997</v>
      </c>
      <c r="J10" s="5">
        <v>0.82399999999999995</v>
      </c>
      <c r="K10" s="5">
        <v>0.58299999999999996</v>
      </c>
      <c r="L10" s="5">
        <v>0.88</v>
      </c>
      <c r="M10" s="5">
        <v>0.73</v>
      </c>
      <c r="N10" s="5">
        <v>0.79800000000000004</v>
      </c>
      <c r="O10" s="5">
        <v>33.508022546768103</v>
      </c>
    </row>
    <row r="11" spans="1:15">
      <c r="A11" t="s">
        <v>86</v>
      </c>
      <c r="B11" t="s">
        <v>78</v>
      </c>
      <c r="C11" t="s">
        <v>81</v>
      </c>
      <c r="D11" t="s">
        <v>82</v>
      </c>
      <c r="E11" s="6">
        <v>661</v>
      </c>
      <c r="F11" s="6">
        <v>2767</v>
      </c>
      <c r="G11" s="5">
        <v>0.67500000000000004</v>
      </c>
      <c r="H11" s="5">
        <v>0.49</v>
      </c>
      <c r="I11" s="5">
        <v>0.56799999999999995</v>
      </c>
      <c r="J11" s="5">
        <v>0.52900000000000003</v>
      </c>
      <c r="K11" s="5">
        <v>0.35699999999999998</v>
      </c>
      <c r="L11" s="5">
        <v>0.66400000000000003</v>
      </c>
      <c r="M11" s="5">
        <v>0.48199999999999998</v>
      </c>
      <c r="N11" s="5">
        <v>0.55900000000000005</v>
      </c>
      <c r="O11" s="5">
        <v>11.8784484863281</v>
      </c>
    </row>
    <row r="12" spans="1:15">
      <c r="A12" t="s">
        <v>86</v>
      </c>
      <c r="B12" t="s">
        <v>78</v>
      </c>
      <c r="C12" t="s">
        <v>83</v>
      </c>
      <c r="D12" t="s">
        <v>80</v>
      </c>
      <c r="E12" s="5">
        <v>661</v>
      </c>
      <c r="F12" s="5">
        <v>2767</v>
      </c>
      <c r="G12" s="5">
        <v>0.83399999999999996</v>
      </c>
      <c r="H12" s="5">
        <v>0.71799999999999997</v>
      </c>
      <c r="I12" s="5">
        <v>0.77200000000000002</v>
      </c>
      <c r="J12" s="5">
        <v>0.75900000000000001</v>
      </c>
      <c r="K12" s="5">
        <v>0.501</v>
      </c>
      <c r="L12" s="5">
        <v>0</v>
      </c>
      <c r="M12" s="5">
        <v>0</v>
      </c>
      <c r="N12" s="5">
        <v>0</v>
      </c>
      <c r="O12" s="5">
        <v>7.8351464271545401</v>
      </c>
    </row>
    <row r="13" spans="1:15">
      <c r="A13" t="s">
        <v>86</v>
      </c>
      <c r="B13" t="s">
        <v>78</v>
      </c>
      <c r="C13" t="s">
        <v>84</v>
      </c>
      <c r="D13" t="s">
        <v>85</v>
      </c>
      <c r="E13" s="5">
        <v>661</v>
      </c>
      <c r="F13" s="5">
        <v>2767</v>
      </c>
      <c r="G13" s="5">
        <v>0.60599999999999998</v>
      </c>
      <c r="H13" s="5">
        <v>0.38700000000000001</v>
      </c>
      <c r="I13" s="5">
        <v>0.47199999999999998</v>
      </c>
      <c r="J13" s="5">
        <v>0.43</v>
      </c>
      <c r="K13" s="5">
        <v>0.27500000000000002</v>
      </c>
      <c r="L13" s="5">
        <v>0</v>
      </c>
      <c r="M13" s="5">
        <v>0</v>
      </c>
      <c r="N13" s="5">
        <v>0</v>
      </c>
      <c r="O13" s="5">
        <v>11.028480529785099</v>
      </c>
    </row>
    <row r="14" spans="1:15">
      <c r="A14" t="s">
        <v>86</v>
      </c>
      <c r="B14" t="s">
        <v>88</v>
      </c>
      <c r="C14" t="s">
        <v>79</v>
      </c>
      <c r="D14" t="s">
        <v>80</v>
      </c>
      <c r="E14" s="6">
        <v>435</v>
      </c>
      <c r="F14" s="6">
        <v>1692</v>
      </c>
      <c r="G14" s="5">
        <v>0.92</v>
      </c>
      <c r="H14" s="5">
        <v>0.89500000000000002</v>
      </c>
      <c r="I14" s="5">
        <v>0.90700000000000003</v>
      </c>
      <c r="J14" s="5">
        <v>0.92900000000000005</v>
      </c>
      <c r="K14" s="5">
        <v>0.65700000000000003</v>
      </c>
      <c r="L14" s="5">
        <v>0.86099999999999999</v>
      </c>
      <c r="M14" s="5">
        <v>0.83899999999999997</v>
      </c>
      <c r="N14" s="5">
        <v>0.85</v>
      </c>
      <c r="O14" s="5">
        <v>28.407696247100802</v>
      </c>
    </row>
    <row r="15" spans="1:15">
      <c r="A15" t="s">
        <v>86</v>
      </c>
      <c r="B15" t="s">
        <v>88</v>
      </c>
      <c r="C15" t="s">
        <v>81</v>
      </c>
      <c r="D15" t="s">
        <v>82</v>
      </c>
      <c r="E15" s="6">
        <v>435</v>
      </c>
      <c r="F15" s="6">
        <v>1692</v>
      </c>
      <c r="G15" s="5">
        <v>0.90600000000000003</v>
      </c>
      <c r="H15" s="5">
        <v>0.83699999999999997</v>
      </c>
      <c r="I15" s="5">
        <v>0.87</v>
      </c>
      <c r="J15" s="5">
        <v>0.91700000000000004</v>
      </c>
      <c r="K15" s="5">
        <v>0.68799999999999994</v>
      </c>
      <c r="L15" s="5">
        <v>0.88400000000000001</v>
      </c>
      <c r="M15" s="5">
        <v>0.79700000000000004</v>
      </c>
      <c r="N15" s="5">
        <v>0.83799999999999997</v>
      </c>
      <c r="O15" s="5">
        <v>10.006232261657701</v>
      </c>
    </row>
    <row r="16" spans="1:15">
      <c r="A16" t="s">
        <v>86</v>
      </c>
      <c r="B16" t="s">
        <v>88</v>
      </c>
      <c r="C16" t="s">
        <v>83</v>
      </c>
      <c r="D16" t="s">
        <v>80</v>
      </c>
      <c r="E16" s="5">
        <v>435</v>
      </c>
      <c r="F16" s="5">
        <v>1692</v>
      </c>
      <c r="G16" s="5">
        <v>0.86399999999999999</v>
      </c>
      <c r="H16" s="5">
        <v>0.82599999999999996</v>
      </c>
      <c r="I16" s="5">
        <v>0.84499999999999997</v>
      </c>
      <c r="J16" s="5">
        <v>0.86</v>
      </c>
      <c r="K16" s="5">
        <v>0.57399999999999995</v>
      </c>
      <c r="L16" s="5">
        <v>0</v>
      </c>
      <c r="M16" s="5">
        <v>0</v>
      </c>
      <c r="N16" s="5">
        <v>0</v>
      </c>
      <c r="O16" s="5">
        <v>7.5838963985443097</v>
      </c>
    </row>
    <row r="17" spans="1:15">
      <c r="A17" t="s">
        <v>86</v>
      </c>
      <c r="B17" t="s">
        <v>88</v>
      </c>
      <c r="C17" t="s">
        <v>84</v>
      </c>
      <c r="D17" t="s">
        <v>85</v>
      </c>
      <c r="E17" s="5">
        <v>435</v>
      </c>
      <c r="F17" s="5">
        <v>1692</v>
      </c>
      <c r="G17" s="5">
        <v>0.67800000000000005</v>
      </c>
      <c r="H17" s="5">
        <v>0.50700000000000001</v>
      </c>
      <c r="I17" s="5">
        <v>0.57999999999999996</v>
      </c>
      <c r="J17" s="5">
        <v>0.54</v>
      </c>
      <c r="K17" s="5">
        <v>0.36399999999999999</v>
      </c>
      <c r="L17" s="5">
        <v>0</v>
      </c>
      <c r="M17" s="5">
        <v>0</v>
      </c>
      <c r="N17" s="5">
        <v>0</v>
      </c>
      <c r="O17" s="5">
        <v>8.7841589450836093</v>
      </c>
    </row>
    <row r="18" spans="1:15">
      <c r="A18" t="s">
        <v>89</v>
      </c>
      <c r="B18" t="s">
        <v>87</v>
      </c>
      <c r="C18" t="s">
        <v>79</v>
      </c>
      <c r="D18" t="s">
        <v>80</v>
      </c>
      <c r="E18" s="6">
        <v>150</v>
      </c>
      <c r="F18" s="6">
        <v>374</v>
      </c>
      <c r="G18" s="5">
        <v>0.39600000000000002</v>
      </c>
      <c r="H18" s="5">
        <v>0.27500000000000002</v>
      </c>
      <c r="I18" s="5">
        <v>0.32500000000000001</v>
      </c>
      <c r="J18" s="5">
        <v>0.27300000000000002</v>
      </c>
      <c r="K18" s="5">
        <v>0.115</v>
      </c>
      <c r="L18" s="5">
        <v>0.254</v>
      </c>
      <c r="M18" s="5">
        <v>0.184</v>
      </c>
      <c r="N18" s="5">
        <v>0.214</v>
      </c>
      <c r="O18" s="5">
        <v>15.5847079753875</v>
      </c>
    </row>
    <row r="19" spans="1:15">
      <c r="A19" t="s">
        <v>89</v>
      </c>
      <c r="B19" t="s">
        <v>87</v>
      </c>
      <c r="C19" t="s">
        <v>81</v>
      </c>
      <c r="D19" t="s">
        <v>82</v>
      </c>
      <c r="E19" s="6">
        <v>150</v>
      </c>
      <c r="F19" s="6">
        <v>374</v>
      </c>
      <c r="G19" s="5">
        <v>0.42899999999999999</v>
      </c>
      <c r="H19" s="5">
        <v>0.28100000000000003</v>
      </c>
      <c r="I19" s="5">
        <v>0.33900000000000002</v>
      </c>
      <c r="J19" s="5">
        <v>0.27700000000000002</v>
      </c>
      <c r="K19" s="5">
        <v>0.13400000000000001</v>
      </c>
      <c r="L19" s="5">
        <v>0.36299999999999999</v>
      </c>
      <c r="M19" s="5">
        <v>0.251</v>
      </c>
      <c r="N19" s="5">
        <v>0.29699999999999999</v>
      </c>
      <c r="O19" s="5">
        <v>7.1303606033325098</v>
      </c>
    </row>
    <row r="20" spans="1:15">
      <c r="A20" t="s">
        <v>89</v>
      </c>
      <c r="B20" t="s">
        <v>87</v>
      </c>
      <c r="C20" t="s">
        <v>83</v>
      </c>
      <c r="D20" t="s">
        <v>80</v>
      </c>
      <c r="E20" s="5">
        <v>150</v>
      </c>
      <c r="F20" s="5">
        <v>374</v>
      </c>
      <c r="G20" s="5">
        <v>0.46200000000000002</v>
      </c>
      <c r="H20" s="5">
        <v>0.38</v>
      </c>
      <c r="I20" s="5">
        <v>0.41699999999999998</v>
      </c>
      <c r="J20" s="5">
        <v>0.32600000000000001</v>
      </c>
      <c r="K20" s="5">
        <v>0.14699999999999999</v>
      </c>
      <c r="L20" s="5">
        <v>0</v>
      </c>
      <c r="M20" s="5">
        <v>0</v>
      </c>
      <c r="N20" s="5">
        <v>0</v>
      </c>
      <c r="O20" s="5">
        <v>5.8014714717864901</v>
      </c>
    </row>
    <row r="21" spans="1:15">
      <c r="A21" t="s">
        <v>89</v>
      </c>
      <c r="B21" t="s">
        <v>87</v>
      </c>
      <c r="C21" t="s">
        <v>84</v>
      </c>
      <c r="D21" t="s">
        <v>85</v>
      </c>
      <c r="E21" s="5">
        <v>150</v>
      </c>
      <c r="F21" s="5">
        <v>374</v>
      </c>
      <c r="G21" s="5">
        <v>0.372</v>
      </c>
      <c r="H21" s="5">
        <v>0.45800000000000002</v>
      </c>
      <c r="I21" s="5">
        <v>0.41099999999999998</v>
      </c>
      <c r="J21" s="5">
        <v>0.38800000000000001</v>
      </c>
      <c r="K21" s="5">
        <v>0.188</v>
      </c>
      <c r="L21" s="5">
        <v>0</v>
      </c>
      <c r="M21" s="5">
        <v>0</v>
      </c>
      <c r="N21" s="5">
        <v>0</v>
      </c>
      <c r="O21" s="5">
        <v>5.8801107406616202</v>
      </c>
    </row>
    <row r="22" spans="1:15">
      <c r="A22" t="s">
        <v>89</v>
      </c>
      <c r="B22" t="s">
        <v>78</v>
      </c>
      <c r="C22" t="s">
        <v>79</v>
      </c>
      <c r="D22" t="s">
        <v>80</v>
      </c>
      <c r="E22" s="6">
        <v>12</v>
      </c>
      <c r="F22" s="6">
        <v>35</v>
      </c>
      <c r="G22" s="5">
        <v>0.501</v>
      </c>
      <c r="H22" s="5">
        <v>0.57099999999999995</v>
      </c>
      <c r="I22" s="5">
        <v>0.53400000000000003</v>
      </c>
      <c r="J22" s="5">
        <v>0.53800000000000003</v>
      </c>
      <c r="K22" s="5">
        <v>0.25900000000000001</v>
      </c>
      <c r="L22" s="5">
        <v>0.36099999999999999</v>
      </c>
      <c r="M22" s="5">
        <v>0.42899999999999999</v>
      </c>
      <c r="N22" s="5">
        <v>0.39200000000000002</v>
      </c>
      <c r="O22" s="5">
        <v>4.7051544189453098</v>
      </c>
    </row>
    <row r="23" spans="1:15">
      <c r="A23" t="s">
        <v>89</v>
      </c>
      <c r="B23" t="s">
        <v>78</v>
      </c>
      <c r="C23" t="s">
        <v>81</v>
      </c>
      <c r="D23" t="s">
        <v>82</v>
      </c>
      <c r="E23" s="6">
        <v>12</v>
      </c>
      <c r="F23" s="6">
        <v>35</v>
      </c>
      <c r="G23" s="5">
        <v>0.68799999999999994</v>
      </c>
      <c r="H23" s="5">
        <v>0.68600000000000005</v>
      </c>
      <c r="I23" s="5">
        <v>0.68700000000000006</v>
      </c>
      <c r="J23" s="5">
        <v>0.67400000000000004</v>
      </c>
      <c r="K23" s="5">
        <v>0.35499999999999998</v>
      </c>
      <c r="L23" s="5">
        <v>0.64600000000000002</v>
      </c>
      <c r="M23" s="5">
        <v>0.6</v>
      </c>
      <c r="N23" s="5">
        <v>0.622</v>
      </c>
      <c r="O23" s="5">
        <v>4.2452187538146902</v>
      </c>
    </row>
    <row r="24" spans="1:15">
      <c r="A24" t="s">
        <v>89</v>
      </c>
      <c r="B24" t="s">
        <v>78</v>
      </c>
      <c r="C24" t="s">
        <v>83</v>
      </c>
      <c r="D24" t="s">
        <v>80</v>
      </c>
      <c r="E24" s="5">
        <v>12</v>
      </c>
      <c r="F24" s="5">
        <v>35</v>
      </c>
      <c r="G24" s="5">
        <v>0.56499999999999995</v>
      </c>
      <c r="H24" s="5">
        <v>0.6</v>
      </c>
      <c r="I24" s="5">
        <v>0.58199999999999996</v>
      </c>
      <c r="J24" s="5">
        <v>0.58599999999999997</v>
      </c>
      <c r="K24" s="5">
        <v>0.26600000000000001</v>
      </c>
      <c r="L24" s="5">
        <v>0</v>
      </c>
      <c r="M24" s="5">
        <v>0</v>
      </c>
      <c r="N24" s="5">
        <v>0</v>
      </c>
      <c r="O24" s="5">
        <v>2.9695990085601802</v>
      </c>
    </row>
    <row r="25" spans="1:15">
      <c r="A25" t="s">
        <v>89</v>
      </c>
      <c r="B25" t="s">
        <v>78</v>
      </c>
      <c r="C25" t="s">
        <v>84</v>
      </c>
      <c r="D25" t="s">
        <v>85</v>
      </c>
      <c r="E25" s="5">
        <v>12</v>
      </c>
      <c r="F25" s="5">
        <v>35</v>
      </c>
      <c r="G25" s="5">
        <v>0.66800000000000004</v>
      </c>
      <c r="H25" s="5">
        <v>0.54300000000000004</v>
      </c>
      <c r="I25" s="5">
        <v>0.59899999999999998</v>
      </c>
      <c r="J25" s="5">
        <v>0.63700000000000001</v>
      </c>
      <c r="K25" s="5">
        <v>0.34</v>
      </c>
      <c r="L25" s="5">
        <v>0</v>
      </c>
      <c r="M25" s="5">
        <v>0</v>
      </c>
      <c r="N25" s="5">
        <v>0</v>
      </c>
      <c r="O25" s="5">
        <v>3.28194904327392</v>
      </c>
    </row>
    <row r="26" spans="1:15">
      <c r="A26" t="s">
        <v>89</v>
      </c>
      <c r="B26" t="s">
        <v>88</v>
      </c>
      <c r="C26" t="s">
        <v>79</v>
      </c>
      <c r="D26" t="s">
        <v>80</v>
      </c>
      <c r="E26" s="6">
        <v>18</v>
      </c>
      <c r="F26" s="6">
        <v>32</v>
      </c>
      <c r="G26" s="5">
        <v>0.34200000000000003</v>
      </c>
      <c r="H26" s="5">
        <v>0.375</v>
      </c>
      <c r="I26" s="5">
        <v>0.35799999999999998</v>
      </c>
      <c r="J26" s="5">
        <v>0.29799999999999999</v>
      </c>
      <c r="K26" s="5">
        <v>9.5000000000000001E-2</v>
      </c>
      <c r="L26" s="5">
        <v>0.222</v>
      </c>
      <c r="M26" s="5">
        <v>0.219</v>
      </c>
      <c r="N26" s="5">
        <v>0.22</v>
      </c>
      <c r="O26" s="5">
        <v>5.61700010299682</v>
      </c>
    </row>
    <row r="27" spans="1:15">
      <c r="A27" t="s">
        <v>89</v>
      </c>
      <c r="B27" t="s">
        <v>88</v>
      </c>
      <c r="C27" t="s">
        <v>81</v>
      </c>
      <c r="D27" t="s">
        <v>82</v>
      </c>
      <c r="E27" s="6">
        <v>18</v>
      </c>
      <c r="F27" s="6">
        <v>32</v>
      </c>
      <c r="G27" s="5">
        <v>0.441</v>
      </c>
      <c r="H27" s="5">
        <v>0.46899999999999997</v>
      </c>
      <c r="I27" s="5">
        <v>0.45500000000000002</v>
      </c>
      <c r="J27" s="5">
        <v>0.379</v>
      </c>
      <c r="K27" s="5">
        <v>0.19</v>
      </c>
      <c r="L27" s="5">
        <v>0.49399999999999999</v>
      </c>
      <c r="M27" s="5">
        <v>0.25</v>
      </c>
      <c r="N27" s="5">
        <v>0.33200000000000002</v>
      </c>
      <c r="O27" s="5">
        <v>4.3275735378265301</v>
      </c>
    </row>
    <row r="28" spans="1:15">
      <c r="A28" t="s">
        <v>89</v>
      </c>
      <c r="B28" t="s">
        <v>88</v>
      </c>
      <c r="C28" t="s">
        <v>83</v>
      </c>
      <c r="D28" t="s">
        <v>80</v>
      </c>
      <c r="E28" s="5">
        <v>18</v>
      </c>
      <c r="F28" s="5">
        <v>32</v>
      </c>
      <c r="G28" s="5">
        <v>0.33700000000000002</v>
      </c>
      <c r="H28" s="5">
        <v>0.25</v>
      </c>
      <c r="I28" s="5">
        <v>0.28699999999999998</v>
      </c>
      <c r="J28" s="5">
        <v>0.27200000000000002</v>
      </c>
      <c r="K28" s="5">
        <v>0.108</v>
      </c>
      <c r="L28" s="5">
        <v>0</v>
      </c>
      <c r="M28" s="5">
        <v>0</v>
      </c>
      <c r="N28" s="5">
        <v>0</v>
      </c>
      <c r="O28" s="5">
        <v>3.2045903205871502</v>
      </c>
    </row>
    <row r="29" spans="1:15">
      <c r="A29" t="s">
        <v>89</v>
      </c>
      <c r="B29" t="s">
        <v>88</v>
      </c>
      <c r="C29" t="s">
        <v>84</v>
      </c>
      <c r="D29" t="s">
        <v>85</v>
      </c>
      <c r="E29" s="5">
        <v>18</v>
      </c>
      <c r="F29" s="5">
        <v>32</v>
      </c>
      <c r="G29" s="5">
        <v>0.435</v>
      </c>
      <c r="H29" s="5">
        <v>0.46899999999999997</v>
      </c>
      <c r="I29" s="5">
        <v>0.45100000000000001</v>
      </c>
      <c r="J29" s="5">
        <v>0.35499999999999998</v>
      </c>
      <c r="K29" s="5">
        <v>0.159</v>
      </c>
      <c r="L29" s="5">
        <v>0</v>
      </c>
      <c r="M29" s="5">
        <v>0</v>
      </c>
      <c r="N29" s="5">
        <v>0</v>
      </c>
      <c r="O29" s="5">
        <v>5.4864294528961102</v>
      </c>
    </row>
    <row r="30" spans="1:15">
      <c r="A30" t="s">
        <v>90</v>
      </c>
      <c r="B30" t="s">
        <v>87</v>
      </c>
      <c r="C30" t="s">
        <v>79</v>
      </c>
      <c r="D30" t="s">
        <v>80</v>
      </c>
      <c r="E30" s="6">
        <v>789</v>
      </c>
      <c r="F30" s="6">
        <v>789</v>
      </c>
      <c r="G30" s="5">
        <v>6.2E-2</v>
      </c>
      <c r="H30" s="5">
        <v>2.7E-2</v>
      </c>
      <c r="I30" s="5">
        <v>3.6999999999999998E-2</v>
      </c>
      <c r="J30" s="5">
        <v>8.0000000000000002E-3</v>
      </c>
      <c r="K30" s="5">
        <v>1E-3</v>
      </c>
      <c r="L30" s="5">
        <v>0</v>
      </c>
      <c r="M30" s="5">
        <v>0</v>
      </c>
      <c r="N30" s="5">
        <v>0</v>
      </c>
      <c r="O30" s="5">
        <v>49.576002597808802</v>
      </c>
    </row>
    <row r="31" spans="1:15">
      <c r="A31" t="s">
        <v>90</v>
      </c>
      <c r="B31" t="s">
        <v>87</v>
      </c>
      <c r="C31" t="s">
        <v>81</v>
      </c>
      <c r="D31" t="s">
        <v>82</v>
      </c>
      <c r="E31" s="6">
        <v>789</v>
      </c>
      <c r="F31" s="6">
        <v>789</v>
      </c>
      <c r="G31" s="5">
        <v>0.999</v>
      </c>
      <c r="H31" s="5">
        <v>0.99099999999999999</v>
      </c>
      <c r="I31" s="5">
        <v>0.995</v>
      </c>
      <c r="J31" s="5">
        <v>0.995</v>
      </c>
      <c r="K31" s="5">
        <v>0.91200000000000003</v>
      </c>
      <c r="L31" s="5">
        <v>0.999</v>
      </c>
      <c r="M31" s="5">
        <v>0.99099999999999999</v>
      </c>
      <c r="N31" s="5">
        <v>0.995</v>
      </c>
      <c r="O31" s="5">
        <v>12.440945625305099</v>
      </c>
    </row>
    <row r="32" spans="1:15">
      <c r="A32" t="s">
        <v>90</v>
      </c>
      <c r="B32" t="s">
        <v>87</v>
      </c>
      <c r="C32" t="s">
        <v>83</v>
      </c>
      <c r="D32" t="s">
        <v>80</v>
      </c>
      <c r="E32" s="5">
        <v>789</v>
      </c>
      <c r="F32" s="5">
        <v>789</v>
      </c>
      <c r="G32" s="5">
        <v>4.2000000000000003E-2</v>
      </c>
      <c r="H32" s="5">
        <v>2.5000000000000001E-2</v>
      </c>
      <c r="I32" s="5">
        <v>3.2000000000000001E-2</v>
      </c>
      <c r="J32" s="5">
        <v>5.0000000000000001E-3</v>
      </c>
      <c r="K32" s="5">
        <v>1E-3</v>
      </c>
      <c r="L32" s="5">
        <v>0</v>
      </c>
      <c r="M32" s="5">
        <v>0</v>
      </c>
      <c r="N32" s="5">
        <v>0</v>
      </c>
      <c r="O32" s="5">
        <v>8.3655719757080007</v>
      </c>
    </row>
    <row r="33" spans="1:15">
      <c r="A33" t="s">
        <v>90</v>
      </c>
      <c r="B33" t="s">
        <v>87</v>
      </c>
      <c r="C33" t="s">
        <v>84</v>
      </c>
      <c r="D33" t="s">
        <v>85</v>
      </c>
      <c r="E33" s="5">
        <v>789</v>
      </c>
      <c r="F33" s="5">
        <v>789</v>
      </c>
      <c r="G33" s="5">
        <v>7.5999999999999998E-2</v>
      </c>
      <c r="H33" s="5">
        <v>6.3E-2</v>
      </c>
      <c r="I33" s="5">
        <v>6.9000000000000006E-2</v>
      </c>
      <c r="J33" s="5">
        <v>1.4999999999999999E-2</v>
      </c>
      <c r="K33" s="5">
        <v>3.0000000000000001E-3</v>
      </c>
      <c r="L33" s="5">
        <v>0</v>
      </c>
      <c r="M33" s="5">
        <v>0</v>
      </c>
      <c r="N33" s="5">
        <v>0</v>
      </c>
      <c r="O33" s="5">
        <v>11.608843564987099</v>
      </c>
    </row>
    <row r="34" spans="1:15">
      <c r="A34" t="s">
        <v>90</v>
      </c>
      <c r="B34" t="s">
        <v>78</v>
      </c>
      <c r="C34" t="s">
        <v>79</v>
      </c>
      <c r="D34" t="s">
        <v>80</v>
      </c>
      <c r="E34" s="6">
        <v>225</v>
      </c>
      <c r="F34" s="6">
        <v>225</v>
      </c>
      <c r="G34" s="5">
        <v>4.5999999999999999E-2</v>
      </c>
      <c r="H34" s="5">
        <v>5.2999999999999999E-2</v>
      </c>
      <c r="I34" s="5">
        <v>0.05</v>
      </c>
      <c r="J34" s="5">
        <v>1.0999999999999999E-2</v>
      </c>
      <c r="K34" s="5">
        <v>2E-3</v>
      </c>
      <c r="L34" s="5">
        <v>0</v>
      </c>
      <c r="M34" s="5">
        <v>0</v>
      </c>
      <c r="N34" s="5">
        <v>0</v>
      </c>
      <c r="O34" s="5">
        <v>22.072350978851301</v>
      </c>
    </row>
    <row r="35" spans="1:15">
      <c r="A35" t="s">
        <v>90</v>
      </c>
      <c r="B35" t="s">
        <v>78</v>
      </c>
      <c r="C35" t="s">
        <v>81</v>
      </c>
      <c r="D35" t="s">
        <v>82</v>
      </c>
      <c r="E35" s="6">
        <v>225</v>
      </c>
      <c r="F35" s="6">
        <v>225</v>
      </c>
      <c r="G35" s="5">
        <v>1</v>
      </c>
      <c r="H35" s="5">
        <v>1</v>
      </c>
      <c r="I35" s="5">
        <v>1</v>
      </c>
      <c r="J35" s="5">
        <v>0.995</v>
      </c>
      <c r="K35" s="5">
        <v>0.91900000000000004</v>
      </c>
      <c r="L35" s="5">
        <v>1</v>
      </c>
      <c r="M35" s="5">
        <v>1</v>
      </c>
      <c r="N35" s="5">
        <v>1</v>
      </c>
      <c r="O35" s="5">
        <v>7.9893395900726301</v>
      </c>
    </row>
    <row r="36" spans="1:15">
      <c r="A36" t="s">
        <v>90</v>
      </c>
      <c r="B36" t="s">
        <v>78</v>
      </c>
      <c r="C36" t="s">
        <v>83</v>
      </c>
      <c r="D36" t="s">
        <v>80</v>
      </c>
      <c r="E36" s="5">
        <v>225</v>
      </c>
      <c r="F36" s="5">
        <v>225</v>
      </c>
      <c r="G36" s="5">
        <v>2.8000000000000001E-2</v>
      </c>
      <c r="H36" s="5">
        <v>3.1E-2</v>
      </c>
      <c r="I36" s="5">
        <v>0.03</v>
      </c>
      <c r="J36" s="5">
        <v>6.0000000000000001E-3</v>
      </c>
      <c r="K36" s="5">
        <v>1E-3</v>
      </c>
      <c r="L36" s="5">
        <v>0</v>
      </c>
      <c r="M36" s="5">
        <v>0</v>
      </c>
      <c r="N36" s="5">
        <v>0</v>
      </c>
      <c r="O36" s="5">
        <v>6.0775430202484104</v>
      </c>
    </row>
    <row r="37" spans="1:15">
      <c r="A37" t="s">
        <v>90</v>
      </c>
      <c r="B37" t="s">
        <v>78</v>
      </c>
      <c r="C37" t="s">
        <v>84</v>
      </c>
      <c r="D37" t="s">
        <v>85</v>
      </c>
      <c r="E37" s="5">
        <v>225</v>
      </c>
      <c r="F37" s="5">
        <v>225</v>
      </c>
      <c r="G37" s="5">
        <v>7.0000000000000007E-2</v>
      </c>
      <c r="H37" s="5">
        <v>0.12</v>
      </c>
      <c r="I37" s="5">
        <v>8.7999999999999995E-2</v>
      </c>
      <c r="J37" s="5">
        <v>1.7999999999999999E-2</v>
      </c>
      <c r="K37" s="5">
        <v>4.0000000000000001E-3</v>
      </c>
      <c r="L37" s="5">
        <v>0</v>
      </c>
      <c r="M37" s="5">
        <v>0</v>
      </c>
      <c r="N37" s="5">
        <v>0</v>
      </c>
      <c r="O37" s="5">
        <v>6.2857708930969203</v>
      </c>
    </row>
    <row r="38" spans="1:15">
      <c r="A38" t="s">
        <v>90</v>
      </c>
      <c r="B38" t="s">
        <v>88</v>
      </c>
      <c r="C38" t="s">
        <v>79</v>
      </c>
      <c r="D38" t="s">
        <v>80</v>
      </c>
      <c r="E38" s="6">
        <v>114</v>
      </c>
      <c r="F38" s="6">
        <v>114</v>
      </c>
      <c r="G38" s="5">
        <v>0.2</v>
      </c>
      <c r="H38" s="5">
        <v>3.5000000000000003E-2</v>
      </c>
      <c r="I38" s="5">
        <v>0.06</v>
      </c>
      <c r="J38" s="5">
        <v>3.6999999999999998E-2</v>
      </c>
      <c r="K38" s="5">
        <v>4.0000000000000001E-3</v>
      </c>
      <c r="L38" s="5">
        <v>0</v>
      </c>
      <c r="M38" s="5">
        <v>0</v>
      </c>
      <c r="N38" s="5">
        <v>0</v>
      </c>
      <c r="O38" s="5">
        <v>15.5205540657043</v>
      </c>
    </row>
    <row r="39" spans="1:15">
      <c r="A39" t="s">
        <v>90</v>
      </c>
      <c r="B39" t="s">
        <v>88</v>
      </c>
      <c r="C39" t="s">
        <v>81</v>
      </c>
      <c r="D39" t="s">
        <v>82</v>
      </c>
      <c r="E39" s="6">
        <v>114</v>
      </c>
      <c r="F39" s="6">
        <v>114</v>
      </c>
      <c r="G39" s="5">
        <v>0.999</v>
      </c>
      <c r="H39" s="5">
        <v>0.99099999999999999</v>
      </c>
      <c r="I39" s="5">
        <v>0.995</v>
      </c>
      <c r="J39" s="5">
        <v>0.995</v>
      </c>
      <c r="K39" s="5">
        <v>0.73099999999999998</v>
      </c>
      <c r="L39" s="5">
        <v>0.999</v>
      </c>
      <c r="M39" s="5">
        <v>0.99099999999999999</v>
      </c>
      <c r="N39" s="5">
        <v>0.995</v>
      </c>
      <c r="O39" s="5">
        <v>6.28344249725341</v>
      </c>
    </row>
    <row r="40" spans="1:15">
      <c r="A40" t="s">
        <v>90</v>
      </c>
      <c r="B40" t="s">
        <v>88</v>
      </c>
      <c r="C40" t="s">
        <v>83</v>
      </c>
      <c r="D40" t="s">
        <v>80</v>
      </c>
      <c r="E40" s="5">
        <v>114</v>
      </c>
      <c r="F40" s="5">
        <v>114</v>
      </c>
      <c r="G40" s="5">
        <v>0.15</v>
      </c>
      <c r="H40" s="5">
        <v>3.5000000000000003E-2</v>
      </c>
      <c r="I40" s="5">
        <v>5.7000000000000002E-2</v>
      </c>
      <c r="J40" s="5">
        <v>2.5999999999999999E-2</v>
      </c>
      <c r="K40" s="5">
        <v>3.0000000000000001E-3</v>
      </c>
      <c r="L40" s="5">
        <v>0</v>
      </c>
      <c r="M40" s="5">
        <v>0</v>
      </c>
      <c r="N40" s="5">
        <v>0</v>
      </c>
      <c r="O40" s="5">
        <v>4.3489937782287598</v>
      </c>
    </row>
    <row r="41" spans="1:15">
      <c r="A41" t="s">
        <v>90</v>
      </c>
      <c r="B41" t="s">
        <v>88</v>
      </c>
      <c r="C41" t="s">
        <v>84</v>
      </c>
      <c r="D41" t="s">
        <v>85</v>
      </c>
      <c r="E41" s="5">
        <v>114</v>
      </c>
      <c r="F41" s="5">
        <v>114</v>
      </c>
      <c r="G41" s="5">
        <v>0.111</v>
      </c>
      <c r="H41" s="5">
        <v>8.7999999999999995E-2</v>
      </c>
      <c r="I41" s="5">
        <v>9.8000000000000004E-2</v>
      </c>
      <c r="J41" s="5">
        <v>2.1000000000000001E-2</v>
      </c>
      <c r="K41" s="5">
        <v>3.0000000000000001E-3</v>
      </c>
      <c r="L41" s="5">
        <v>0</v>
      </c>
      <c r="M41" s="5">
        <v>0</v>
      </c>
      <c r="N41" s="5">
        <v>0</v>
      </c>
      <c r="O41" s="5">
        <v>4.6188910007476798</v>
      </c>
    </row>
  </sheetData>
  <autoFilter ref="A1:O4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5"/>
  <sheetViews>
    <sheetView workbookViewId="0">
      <selection activeCell="M14" sqref="M14"/>
    </sheetView>
  </sheetViews>
  <sheetFormatPr defaultRowHeight="13.8"/>
  <cols>
    <col min="1" max="1" width="14" bestFit="1" customWidth="1"/>
    <col min="2" max="2" width="4.3984375" bestFit="1" customWidth="1"/>
    <col min="3" max="3" width="5.3984375" bestFit="1" customWidth="1"/>
    <col min="4" max="4" width="6.59765625" bestFit="1" customWidth="1"/>
    <col min="5" max="5" width="8.5" bestFit="1" customWidth="1"/>
    <col min="6" max="7" width="5.8984375" bestFit="1" customWidth="1"/>
    <col min="8" max="9" width="6.59765625" bestFit="1" customWidth="1"/>
    <col min="10" max="10" width="9.19921875" bestFit="1" customWidth="1"/>
    <col min="11" max="11" width="7" bestFit="1" customWidth="1"/>
    <col min="12" max="12" width="7.09765625" bestFit="1" customWidth="1"/>
    <col min="13" max="13" width="7.8984375" bestFit="1" customWidth="1"/>
    <col min="14" max="14" width="11.8984375" bestFit="1" customWidth="1"/>
  </cols>
  <sheetData>
    <row r="1" spans="1:14">
      <c r="A1" t="s">
        <v>66</v>
      </c>
      <c r="B1" t="s">
        <v>67</v>
      </c>
      <c r="C1" t="s">
        <v>69</v>
      </c>
      <c r="D1" t="s">
        <v>70</v>
      </c>
      <c r="E1" t="s">
        <v>71</v>
      </c>
      <c r="F1" t="s">
        <v>72</v>
      </c>
      <c r="G1" t="s">
        <v>73</v>
      </c>
      <c r="H1" t="s">
        <v>1</v>
      </c>
      <c r="I1" t="s">
        <v>2</v>
      </c>
      <c r="J1" t="s">
        <v>3</v>
      </c>
      <c r="K1" t="s">
        <v>74</v>
      </c>
      <c r="L1" t="s">
        <v>75</v>
      </c>
      <c r="M1" t="s">
        <v>4</v>
      </c>
      <c r="N1" t="s">
        <v>76</v>
      </c>
    </row>
    <row r="2" spans="1:14">
      <c r="A2" t="s">
        <v>106</v>
      </c>
      <c r="B2" t="s">
        <v>87</v>
      </c>
      <c r="C2" t="s">
        <v>82</v>
      </c>
      <c r="D2">
        <v>1014</v>
      </c>
      <c r="E2">
        <v>1014</v>
      </c>
      <c r="F2">
        <v>0.98699999999999999</v>
      </c>
      <c r="G2">
        <v>0.97499999999999998</v>
      </c>
      <c r="H2">
        <v>0.98099999999999998</v>
      </c>
      <c r="I2">
        <v>0.98899999999999999</v>
      </c>
      <c r="J2">
        <v>0.81899999999999995</v>
      </c>
      <c r="K2">
        <v>0.98699999999999999</v>
      </c>
      <c r="L2">
        <v>0.97499999999999998</v>
      </c>
      <c r="M2">
        <v>0.98099999999999998</v>
      </c>
      <c r="N2">
        <v>11.7459387779235</v>
      </c>
    </row>
    <row r="3" spans="1:14">
      <c r="A3" t="s">
        <v>106</v>
      </c>
      <c r="B3" t="s">
        <v>78</v>
      </c>
      <c r="C3" t="s">
        <v>82</v>
      </c>
      <c r="D3">
        <v>225</v>
      </c>
      <c r="E3">
        <v>225</v>
      </c>
      <c r="F3">
        <v>0.97399999999999998</v>
      </c>
      <c r="G3">
        <v>0.995</v>
      </c>
      <c r="H3">
        <v>0.98399999999999999</v>
      </c>
      <c r="I3">
        <v>0.99399999999999999</v>
      </c>
      <c r="J3">
        <v>0.81699999999999995</v>
      </c>
      <c r="K3">
        <v>0.97399999999999998</v>
      </c>
      <c r="L3">
        <v>0.995</v>
      </c>
      <c r="M3">
        <v>0.98399999999999999</v>
      </c>
      <c r="N3">
        <v>6.7868309020995996</v>
      </c>
    </row>
    <row r="4" spans="1:14">
      <c r="A4" t="s">
        <v>106</v>
      </c>
      <c r="B4" t="s">
        <v>88</v>
      </c>
      <c r="C4" t="s">
        <v>82</v>
      </c>
      <c r="D4">
        <v>114</v>
      </c>
      <c r="E4">
        <v>114</v>
      </c>
      <c r="F4">
        <v>0.97299999999999998</v>
      </c>
      <c r="G4">
        <v>0.94199999999999995</v>
      </c>
      <c r="H4">
        <v>0.95699999999999996</v>
      </c>
      <c r="I4">
        <v>0.98199999999999998</v>
      </c>
      <c r="J4">
        <v>0.69099999999999995</v>
      </c>
      <c r="K4">
        <v>0.98</v>
      </c>
      <c r="L4">
        <v>0.92100000000000004</v>
      </c>
      <c r="M4">
        <v>0.95</v>
      </c>
      <c r="N4">
        <v>7.4188299179077104</v>
      </c>
    </row>
    <row r="5" spans="1:14">
      <c r="A5" t="s">
        <v>107</v>
      </c>
      <c r="B5" t="s">
        <v>87</v>
      </c>
      <c r="C5" t="s">
        <v>82</v>
      </c>
      <c r="D5">
        <v>789</v>
      </c>
      <c r="E5">
        <v>789</v>
      </c>
      <c r="F5">
        <v>0.98199999999999998</v>
      </c>
      <c r="G5">
        <v>0.97099999999999997</v>
      </c>
      <c r="H5">
        <v>0.97599999999999998</v>
      </c>
      <c r="I5">
        <v>0.98399999999999999</v>
      </c>
      <c r="J5">
        <v>0.80400000000000005</v>
      </c>
      <c r="K5">
        <v>0.98099999999999998</v>
      </c>
      <c r="L5">
        <v>0.96599999999999997</v>
      </c>
      <c r="M5">
        <v>0.97299999999999998</v>
      </c>
      <c r="N5">
        <v>10.296628713607699</v>
      </c>
    </row>
    <row r="6" spans="1:14">
      <c r="A6" t="s">
        <v>107</v>
      </c>
      <c r="B6" t="s">
        <v>78</v>
      </c>
      <c r="C6" t="s">
        <v>82</v>
      </c>
      <c r="D6">
        <v>225</v>
      </c>
      <c r="E6">
        <v>225</v>
      </c>
      <c r="F6">
        <v>0.98799999999999999</v>
      </c>
      <c r="G6">
        <v>0.97299999999999998</v>
      </c>
      <c r="H6">
        <v>0.98099999999999998</v>
      </c>
      <c r="I6">
        <v>0.99299999999999999</v>
      </c>
      <c r="J6">
        <v>0.80400000000000005</v>
      </c>
      <c r="K6">
        <v>0.98799999999999999</v>
      </c>
      <c r="L6">
        <v>0.97299999999999998</v>
      </c>
      <c r="M6">
        <v>0.98099999999999998</v>
      </c>
      <c r="N6">
        <v>7.1972854137420601</v>
      </c>
    </row>
    <row r="7" spans="1:14">
      <c r="A7" t="s">
        <v>107</v>
      </c>
      <c r="B7" t="s">
        <v>88</v>
      </c>
      <c r="C7" t="s">
        <v>82</v>
      </c>
      <c r="D7">
        <v>114</v>
      </c>
      <c r="E7">
        <v>114</v>
      </c>
      <c r="F7">
        <v>0.99099999999999999</v>
      </c>
      <c r="G7">
        <v>0.98899999999999999</v>
      </c>
      <c r="H7">
        <v>0.99</v>
      </c>
      <c r="I7">
        <v>0.995</v>
      </c>
      <c r="J7">
        <v>0.81</v>
      </c>
      <c r="K7">
        <v>0.99099999999999999</v>
      </c>
      <c r="L7">
        <v>0.98899999999999999</v>
      </c>
      <c r="M7">
        <v>0.99</v>
      </c>
      <c r="N7">
        <v>7.0835919380187899</v>
      </c>
    </row>
    <row r="8" spans="1:14">
      <c r="A8" t="s">
        <v>89</v>
      </c>
      <c r="B8" t="s">
        <v>87</v>
      </c>
      <c r="C8" t="s">
        <v>82</v>
      </c>
      <c r="D8">
        <v>150</v>
      </c>
      <c r="E8">
        <v>374</v>
      </c>
      <c r="F8">
        <v>0.29599999999999999</v>
      </c>
      <c r="G8">
        <v>0.21099999999999999</v>
      </c>
      <c r="H8">
        <v>0.247</v>
      </c>
      <c r="I8">
        <v>0.17599999999999999</v>
      </c>
      <c r="J8">
        <v>7.8E-2</v>
      </c>
      <c r="K8">
        <v>0.26300000000000001</v>
      </c>
      <c r="L8">
        <v>0.193</v>
      </c>
      <c r="M8">
        <v>0.222</v>
      </c>
      <c r="N8">
        <v>7.1983885765075604</v>
      </c>
    </row>
    <row r="9" spans="1:14">
      <c r="A9" t="s">
        <v>89</v>
      </c>
      <c r="B9" t="s">
        <v>78</v>
      </c>
      <c r="C9" t="s">
        <v>82</v>
      </c>
      <c r="D9">
        <v>12</v>
      </c>
      <c r="E9">
        <v>35</v>
      </c>
      <c r="F9">
        <v>0.54200000000000004</v>
      </c>
      <c r="G9">
        <v>0.45700000000000002</v>
      </c>
      <c r="H9">
        <v>0.496</v>
      </c>
      <c r="I9">
        <v>0.44700000000000001</v>
      </c>
      <c r="J9">
        <v>0.21099999999999999</v>
      </c>
      <c r="K9">
        <v>0.54200000000000004</v>
      </c>
      <c r="L9">
        <v>0.45700000000000002</v>
      </c>
      <c r="M9">
        <v>0.496</v>
      </c>
      <c r="N9">
        <v>5.1529598236083896</v>
      </c>
    </row>
    <row r="10" spans="1:14">
      <c r="A10" t="s">
        <v>89</v>
      </c>
      <c r="B10" t="s">
        <v>88</v>
      </c>
      <c r="C10" t="s">
        <v>82</v>
      </c>
      <c r="D10">
        <v>18</v>
      </c>
      <c r="E10">
        <v>32</v>
      </c>
      <c r="F10">
        <v>0.39800000000000002</v>
      </c>
      <c r="G10">
        <v>0.219</v>
      </c>
      <c r="H10">
        <v>0.28199999999999997</v>
      </c>
      <c r="I10">
        <v>0.14699999999999999</v>
      </c>
      <c r="J10">
        <v>8.2000000000000003E-2</v>
      </c>
      <c r="K10">
        <v>0.24199999999999999</v>
      </c>
      <c r="L10">
        <v>0.125</v>
      </c>
      <c r="M10">
        <v>0.16500000000000001</v>
      </c>
      <c r="N10">
        <v>5.4565131664276096</v>
      </c>
    </row>
    <row r="11" spans="1:14">
      <c r="A11" t="s">
        <v>108</v>
      </c>
      <c r="B11" t="s">
        <v>87</v>
      </c>
      <c r="C11" t="s">
        <v>82</v>
      </c>
      <c r="D11">
        <v>1449</v>
      </c>
      <c r="E11">
        <v>2706</v>
      </c>
      <c r="F11">
        <v>0.96099999999999997</v>
      </c>
      <c r="G11">
        <v>0.94199999999999995</v>
      </c>
      <c r="H11">
        <v>0.95199999999999996</v>
      </c>
      <c r="I11">
        <v>0.96799999999999997</v>
      </c>
      <c r="J11">
        <v>0.77100000000000002</v>
      </c>
      <c r="K11">
        <v>0.94099999999999995</v>
      </c>
      <c r="L11">
        <v>0.91</v>
      </c>
      <c r="M11">
        <v>0.92500000000000004</v>
      </c>
      <c r="N11">
        <v>14.329299449920599</v>
      </c>
    </row>
    <row r="12" spans="1:14">
      <c r="A12" t="s">
        <v>86</v>
      </c>
      <c r="B12" t="s">
        <v>87</v>
      </c>
      <c r="C12" t="s">
        <v>82</v>
      </c>
      <c r="D12">
        <v>435</v>
      </c>
      <c r="E12">
        <v>1692</v>
      </c>
      <c r="F12">
        <v>0.94899999999999995</v>
      </c>
      <c r="G12">
        <v>0.92400000000000004</v>
      </c>
      <c r="H12">
        <v>0.93600000000000005</v>
      </c>
      <c r="I12">
        <v>0.95599999999999996</v>
      </c>
      <c r="J12">
        <v>0.74299999999999999</v>
      </c>
      <c r="K12">
        <v>0.91400000000000003</v>
      </c>
      <c r="L12">
        <v>0.871</v>
      </c>
      <c r="M12">
        <v>0.89200000000000002</v>
      </c>
      <c r="N12">
        <v>8.6792771816253609</v>
      </c>
    </row>
    <row r="13" spans="1:14">
      <c r="A13" t="s">
        <v>86</v>
      </c>
      <c r="B13" t="s">
        <v>78</v>
      </c>
      <c r="C13" t="s">
        <v>82</v>
      </c>
      <c r="D13">
        <v>661</v>
      </c>
      <c r="E13">
        <v>2767</v>
      </c>
      <c r="F13">
        <v>0.875</v>
      </c>
      <c r="G13">
        <v>0.754</v>
      </c>
      <c r="H13">
        <v>0.81</v>
      </c>
      <c r="I13">
        <v>0.79500000000000004</v>
      </c>
      <c r="J13">
        <v>0.57199999999999995</v>
      </c>
      <c r="K13">
        <v>0.875</v>
      </c>
      <c r="L13">
        <v>0.71799999999999997</v>
      </c>
      <c r="M13">
        <v>0.78900000000000003</v>
      </c>
      <c r="N13">
        <v>9.18084621429443</v>
      </c>
    </row>
    <row r="14" spans="1:14">
      <c r="A14" t="s">
        <v>86</v>
      </c>
      <c r="B14" t="s">
        <v>88</v>
      </c>
      <c r="C14" t="s">
        <v>82</v>
      </c>
      <c r="D14">
        <v>8440</v>
      </c>
      <c r="E14">
        <v>66301</v>
      </c>
      <c r="F14">
        <v>0.94499999999999995</v>
      </c>
      <c r="G14">
        <v>0.89200000000000002</v>
      </c>
      <c r="H14">
        <v>0.91800000000000004</v>
      </c>
      <c r="I14">
        <v>0.94499999999999995</v>
      </c>
      <c r="J14">
        <v>0.625</v>
      </c>
      <c r="K14">
        <v>0.92900000000000005</v>
      </c>
      <c r="L14">
        <v>0.85199999999999998</v>
      </c>
      <c r="M14">
        <v>0.88800000000000001</v>
      </c>
      <c r="N14">
        <v>62.279276371002197</v>
      </c>
    </row>
    <row r="15" spans="1:14">
      <c r="A15" t="s">
        <v>77</v>
      </c>
      <c r="B15" t="s">
        <v>88</v>
      </c>
      <c r="C15" t="s">
        <v>82</v>
      </c>
      <c r="D15">
        <v>54</v>
      </c>
      <c r="E15">
        <v>227</v>
      </c>
      <c r="F15">
        <v>0.23499999999999999</v>
      </c>
      <c r="G15">
        <v>0.22500000000000001</v>
      </c>
      <c r="H15">
        <v>0.23</v>
      </c>
      <c r="I15">
        <v>0.14899999999999999</v>
      </c>
      <c r="J15">
        <v>5.7000000000000002E-2</v>
      </c>
      <c r="K15">
        <v>0.23799999999999999</v>
      </c>
      <c r="L15">
        <v>0.21099999999999999</v>
      </c>
      <c r="M15">
        <v>0.224</v>
      </c>
      <c r="N15">
        <v>7.2629628181457502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16</vt:i4>
      </vt:variant>
      <vt:variant>
        <vt:lpstr>Zakresy nazwane</vt:lpstr>
      </vt:variant>
      <vt:variant>
        <vt:i4>14</vt:i4>
      </vt:variant>
    </vt:vector>
  </HeadingPairs>
  <TitlesOfParts>
    <vt:vector size="30" baseType="lpstr">
      <vt:lpstr>synth_new2_test</vt:lpstr>
      <vt:lpstr>synth_old_test</vt:lpstr>
      <vt:lpstr>synth_old_train</vt:lpstr>
      <vt:lpstr>synth_old_val</vt:lpstr>
      <vt:lpstr>pilot_test</vt:lpstr>
      <vt:lpstr>rzeszow_test</vt:lpstr>
      <vt:lpstr>rzeszow_train</vt:lpstr>
      <vt:lpstr>rzeszow_val</vt:lpstr>
      <vt:lpstr>top5s</vt:lpstr>
      <vt:lpstr>Smsc</vt:lpstr>
      <vt:lpstr>resTOP</vt:lpstr>
      <vt:lpstr>Arkusz3</vt:lpstr>
      <vt:lpstr>synth_new2_val</vt:lpstr>
      <vt:lpstr>synth_new2_train</vt:lpstr>
      <vt:lpstr>ft21SGD</vt:lpstr>
      <vt:lpstr>Arkusz1</vt:lpstr>
      <vt:lpstr>resTOP!evaluation_results_fts</vt:lpstr>
      <vt:lpstr>Arkusz3!evaluation_results_fts_lst</vt:lpstr>
      <vt:lpstr>ft21SGD!evaluation_resultsft21SGD2.pt</vt:lpstr>
      <vt:lpstr>Arkusz1!ft26_SGD_finloop.pt_feval</vt:lpstr>
      <vt:lpstr>pilot_test!merged_feval_pilot_test</vt:lpstr>
      <vt:lpstr>rzeszow_test!merged_feval_rzeszow_test</vt:lpstr>
      <vt:lpstr>rzeszow_train!merged_feval_rzeszow_train</vt:lpstr>
      <vt:lpstr>rzeszow_val!merged_feval_rzeszow_val</vt:lpstr>
      <vt:lpstr>synth_new2_test!merged_feval_synth_new2_test</vt:lpstr>
      <vt:lpstr>synth_new2_train!merged_feval_synth_new2_train</vt:lpstr>
      <vt:lpstr>synth_new2_val!merged_feval_synth_new2_val</vt:lpstr>
      <vt:lpstr>synth_old_test!merged_feval_synth_old_test</vt:lpstr>
      <vt:lpstr>synth_old_train!merged_feval_synth_old_train</vt:lpstr>
      <vt:lpstr>synth_old_val!merged_feval_synth_old_val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Drwal</dc:creator>
  <cp:lastModifiedBy>Marek Drwal</cp:lastModifiedBy>
  <dcterms:created xsi:type="dcterms:W3CDTF">2026-01-11T20:57:29Z</dcterms:created>
  <dcterms:modified xsi:type="dcterms:W3CDTF">2026-01-14T12:27:02Z</dcterms:modified>
</cp:coreProperties>
</file>