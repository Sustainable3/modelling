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44" windowWidth="22056" windowHeight="10080" activeTab="3"/>
  </bookViews>
  <sheets>
    <sheet name="pilot" sheetId="1" r:id="rId1"/>
    <sheet name="rz-v" sheetId="2" r:id="rId2"/>
    <sheet name="synth-t" sheetId="3" r:id="rId3"/>
    <sheet name="total_extd" sheetId="12" r:id="rId4"/>
  </sheets>
  <definedNames>
    <definedName name="_xlnm._FilterDatabase" localSheetId="0" hidden="1">pilot!$A$1:$S$144</definedName>
    <definedName name="_xlnm._FilterDatabase" localSheetId="1" hidden="1">'rz-v'!$A$1:$G$144</definedName>
    <definedName name="_xlnm._FilterDatabase" localSheetId="2" hidden="1">'synth-t'!$A$1:$G$144</definedName>
  </definedNames>
  <calcPr calcId="125725"/>
</workbook>
</file>

<file path=xl/calcChain.xml><?xml version="1.0" encoding="utf-8"?>
<calcChain xmlns="http://schemas.openxmlformats.org/spreadsheetml/2006/main">
  <c r="BE3" i="12"/>
  <c r="BE33"/>
  <c r="BE138"/>
  <c r="BH2"/>
  <c r="BD160" s="1"/>
  <c r="H76" i="3"/>
  <c r="I76"/>
  <c r="J76"/>
  <c r="K76"/>
  <c r="L76"/>
  <c r="M76"/>
  <c r="N76"/>
  <c r="O76"/>
  <c r="P76"/>
  <c r="Q76"/>
  <c r="R76"/>
  <c r="S76"/>
  <c r="H4"/>
  <c r="I4"/>
  <c r="J4"/>
  <c r="K4"/>
  <c r="L4"/>
  <c r="M4"/>
  <c r="N4"/>
  <c r="O4"/>
  <c r="P4"/>
  <c r="Q4"/>
  <c r="R4"/>
  <c r="S4"/>
  <c r="H64"/>
  <c r="I64"/>
  <c r="J64"/>
  <c r="K64"/>
  <c r="L64"/>
  <c r="M64"/>
  <c r="N64"/>
  <c r="O64"/>
  <c r="P64"/>
  <c r="Q64"/>
  <c r="R64"/>
  <c r="S64"/>
  <c r="H18"/>
  <c r="I18"/>
  <c r="J18"/>
  <c r="K18"/>
  <c r="L18"/>
  <c r="M18"/>
  <c r="N18"/>
  <c r="O18"/>
  <c r="P18"/>
  <c r="Q18"/>
  <c r="R18"/>
  <c r="S18"/>
  <c r="H56"/>
  <c r="I56"/>
  <c r="J56"/>
  <c r="K56"/>
  <c r="L56"/>
  <c r="M56"/>
  <c r="N56"/>
  <c r="O56"/>
  <c r="P56"/>
  <c r="Q56"/>
  <c r="R56"/>
  <c r="S56"/>
  <c r="H55"/>
  <c r="I55"/>
  <c r="J55"/>
  <c r="K55"/>
  <c r="L55"/>
  <c r="M55"/>
  <c r="N55"/>
  <c r="O55"/>
  <c r="P55"/>
  <c r="Q55"/>
  <c r="R55"/>
  <c r="S55"/>
  <c r="H127"/>
  <c r="I127"/>
  <c r="J127"/>
  <c r="K127"/>
  <c r="L127"/>
  <c r="M127"/>
  <c r="N127"/>
  <c r="O127"/>
  <c r="P127"/>
  <c r="Q127"/>
  <c r="R127"/>
  <c r="S127"/>
  <c r="H59"/>
  <c r="I59"/>
  <c r="J59"/>
  <c r="K59"/>
  <c r="L59"/>
  <c r="M59"/>
  <c r="N59"/>
  <c r="O59"/>
  <c r="P59"/>
  <c r="Q59"/>
  <c r="R59"/>
  <c r="S59"/>
  <c r="H11"/>
  <c r="I11"/>
  <c r="J11"/>
  <c r="K11"/>
  <c r="L11"/>
  <c r="M11"/>
  <c r="N11"/>
  <c r="O11"/>
  <c r="P11"/>
  <c r="Q11"/>
  <c r="R11"/>
  <c r="S11"/>
  <c r="H58"/>
  <c r="I58"/>
  <c r="J58"/>
  <c r="K58"/>
  <c r="L58"/>
  <c r="M58"/>
  <c r="N58"/>
  <c r="O58"/>
  <c r="P58"/>
  <c r="Q58"/>
  <c r="R58"/>
  <c r="S58"/>
  <c r="H25"/>
  <c r="I25"/>
  <c r="J25"/>
  <c r="K25"/>
  <c r="L25"/>
  <c r="M25"/>
  <c r="N25"/>
  <c r="O25"/>
  <c r="P25"/>
  <c r="Q25"/>
  <c r="R25"/>
  <c r="S25"/>
  <c r="H62"/>
  <c r="I62"/>
  <c r="J62"/>
  <c r="K62"/>
  <c r="L62"/>
  <c r="M62"/>
  <c r="N62"/>
  <c r="O62"/>
  <c r="P62"/>
  <c r="Q62"/>
  <c r="R62"/>
  <c r="S62"/>
  <c r="H30"/>
  <c r="I30"/>
  <c r="J30"/>
  <c r="K30"/>
  <c r="L30"/>
  <c r="M30"/>
  <c r="N30"/>
  <c r="O30"/>
  <c r="P30"/>
  <c r="Q30"/>
  <c r="R30"/>
  <c r="S30"/>
  <c r="H116"/>
  <c r="I116"/>
  <c r="J116"/>
  <c r="K116"/>
  <c r="L116"/>
  <c r="M116"/>
  <c r="N116"/>
  <c r="O116"/>
  <c r="P116"/>
  <c r="Q116"/>
  <c r="R116"/>
  <c r="S116"/>
  <c r="H72"/>
  <c r="I72"/>
  <c r="J72"/>
  <c r="K72"/>
  <c r="L72"/>
  <c r="M72"/>
  <c r="N72"/>
  <c r="O72"/>
  <c r="P72"/>
  <c r="Q72"/>
  <c r="R72"/>
  <c r="S72"/>
  <c r="H6"/>
  <c r="I6"/>
  <c r="J6"/>
  <c r="K6"/>
  <c r="L6"/>
  <c r="M6"/>
  <c r="N6"/>
  <c r="O6"/>
  <c r="P6"/>
  <c r="Q6"/>
  <c r="R6"/>
  <c r="S6"/>
  <c r="H71"/>
  <c r="I71"/>
  <c r="J71"/>
  <c r="K71"/>
  <c r="L71"/>
  <c r="M71"/>
  <c r="N71"/>
  <c r="O71"/>
  <c r="P71"/>
  <c r="Q71"/>
  <c r="R71"/>
  <c r="S71"/>
  <c r="H26"/>
  <c r="I26"/>
  <c r="J26"/>
  <c r="K26"/>
  <c r="L26"/>
  <c r="M26"/>
  <c r="N26"/>
  <c r="O26"/>
  <c r="P26"/>
  <c r="Q26"/>
  <c r="R26"/>
  <c r="S26"/>
  <c r="H70"/>
  <c r="I70"/>
  <c r="J70"/>
  <c r="K70"/>
  <c r="L70"/>
  <c r="M70"/>
  <c r="N70"/>
  <c r="O70"/>
  <c r="P70"/>
  <c r="Q70"/>
  <c r="R70"/>
  <c r="S70"/>
  <c r="H47"/>
  <c r="I47"/>
  <c r="J47"/>
  <c r="K47"/>
  <c r="L47"/>
  <c r="M47"/>
  <c r="N47"/>
  <c r="O47"/>
  <c r="P47"/>
  <c r="Q47"/>
  <c r="R47"/>
  <c r="S47"/>
  <c r="H122"/>
  <c r="I122"/>
  <c r="J122"/>
  <c r="K122"/>
  <c r="L122"/>
  <c r="M122"/>
  <c r="N122"/>
  <c r="O122"/>
  <c r="P122"/>
  <c r="Q122"/>
  <c r="R122"/>
  <c r="S122"/>
  <c r="H132"/>
  <c r="I132"/>
  <c r="J132"/>
  <c r="K132"/>
  <c r="L132"/>
  <c r="M132"/>
  <c r="N132"/>
  <c r="O132"/>
  <c r="P132"/>
  <c r="Q132"/>
  <c r="R132"/>
  <c r="S132"/>
  <c r="H42"/>
  <c r="I42"/>
  <c r="J42"/>
  <c r="K42"/>
  <c r="L42"/>
  <c r="M42"/>
  <c r="N42"/>
  <c r="O42"/>
  <c r="P42"/>
  <c r="Q42"/>
  <c r="R42"/>
  <c r="S42"/>
  <c r="H141"/>
  <c r="I141"/>
  <c r="J141"/>
  <c r="K141"/>
  <c r="L141"/>
  <c r="M141"/>
  <c r="N141"/>
  <c r="O141"/>
  <c r="P141"/>
  <c r="Q141"/>
  <c r="R141"/>
  <c r="S141"/>
  <c r="H16"/>
  <c r="I16"/>
  <c r="J16"/>
  <c r="K16"/>
  <c r="L16"/>
  <c r="M16"/>
  <c r="N16"/>
  <c r="O16"/>
  <c r="P16"/>
  <c r="Q16"/>
  <c r="R16"/>
  <c r="S16"/>
  <c r="H52"/>
  <c r="I52"/>
  <c r="J52"/>
  <c r="K52"/>
  <c r="L52"/>
  <c r="M52"/>
  <c r="N52"/>
  <c r="O52"/>
  <c r="P52"/>
  <c r="Q52"/>
  <c r="R52"/>
  <c r="S52"/>
  <c r="H115"/>
  <c r="I115"/>
  <c r="J115"/>
  <c r="K115"/>
  <c r="L115"/>
  <c r="M115"/>
  <c r="N115"/>
  <c r="O115"/>
  <c r="P115"/>
  <c r="Q115"/>
  <c r="R115"/>
  <c r="S115"/>
  <c r="H146"/>
  <c r="I146"/>
  <c r="J146"/>
  <c r="K146"/>
  <c r="L146"/>
  <c r="M146"/>
  <c r="N146"/>
  <c r="O146"/>
  <c r="P146"/>
  <c r="Q146"/>
  <c r="R146"/>
  <c r="S146"/>
  <c r="H51"/>
  <c r="I51"/>
  <c r="J51"/>
  <c r="K51"/>
  <c r="L51"/>
  <c r="M51"/>
  <c r="N51"/>
  <c r="O51"/>
  <c r="P51"/>
  <c r="Q51"/>
  <c r="R51"/>
  <c r="S51"/>
  <c r="H10"/>
  <c r="I10"/>
  <c r="J10"/>
  <c r="K10"/>
  <c r="L10"/>
  <c r="M10"/>
  <c r="N10"/>
  <c r="O10"/>
  <c r="P10"/>
  <c r="Q10"/>
  <c r="R10"/>
  <c r="S10"/>
  <c r="H63"/>
  <c r="I63"/>
  <c r="J63"/>
  <c r="K63"/>
  <c r="L63"/>
  <c r="M63"/>
  <c r="N63"/>
  <c r="O63"/>
  <c r="P63"/>
  <c r="Q63"/>
  <c r="R63"/>
  <c r="S63"/>
  <c r="H20"/>
  <c r="I20"/>
  <c r="J20"/>
  <c r="K20"/>
  <c r="L20"/>
  <c r="M20"/>
  <c r="N20"/>
  <c r="O20"/>
  <c r="P20"/>
  <c r="Q20"/>
  <c r="R20"/>
  <c r="S20"/>
  <c r="H60"/>
  <c r="I60"/>
  <c r="J60"/>
  <c r="K60"/>
  <c r="L60"/>
  <c r="M60"/>
  <c r="N60"/>
  <c r="O60"/>
  <c r="P60"/>
  <c r="Q60"/>
  <c r="R60"/>
  <c r="S60"/>
  <c r="H28"/>
  <c r="I28"/>
  <c r="J28"/>
  <c r="K28"/>
  <c r="L28"/>
  <c r="M28"/>
  <c r="N28"/>
  <c r="O28"/>
  <c r="P28"/>
  <c r="Q28"/>
  <c r="R28"/>
  <c r="S28"/>
  <c r="H105"/>
  <c r="I105"/>
  <c r="J105"/>
  <c r="K105"/>
  <c r="L105"/>
  <c r="M105"/>
  <c r="N105"/>
  <c r="O105"/>
  <c r="P105"/>
  <c r="Q105"/>
  <c r="R105"/>
  <c r="S105"/>
  <c r="H82"/>
  <c r="I82"/>
  <c r="J82"/>
  <c r="K82"/>
  <c r="L82"/>
  <c r="M82"/>
  <c r="N82"/>
  <c r="O82"/>
  <c r="P82"/>
  <c r="Q82"/>
  <c r="R82"/>
  <c r="S82"/>
  <c r="H19"/>
  <c r="I19"/>
  <c r="J19"/>
  <c r="K19"/>
  <c r="L19"/>
  <c r="M19"/>
  <c r="N19"/>
  <c r="O19"/>
  <c r="P19"/>
  <c r="Q19"/>
  <c r="R19"/>
  <c r="S19"/>
  <c r="H102"/>
  <c r="I102"/>
  <c r="J102"/>
  <c r="K102"/>
  <c r="L102"/>
  <c r="M102"/>
  <c r="N102"/>
  <c r="O102"/>
  <c r="P102"/>
  <c r="Q102"/>
  <c r="R102"/>
  <c r="S102"/>
  <c r="H40"/>
  <c r="I40"/>
  <c r="J40"/>
  <c r="K40"/>
  <c r="L40"/>
  <c r="M40"/>
  <c r="N40"/>
  <c r="O40"/>
  <c r="P40"/>
  <c r="Q40"/>
  <c r="R40"/>
  <c r="S40"/>
  <c r="H91"/>
  <c r="I91"/>
  <c r="J91"/>
  <c r="K91"/>
  <c r="L91"/>
  <c r="M91"/>
  <c r="N91"/>
  <c r="O91"/>
  <c r="P91"/>
  <c r="Q91"/>
  <c r="R91"/>
  <c r="S91"/>
  <c r="H49"/>
  <c r="I49"/>
  <c r="J49"/>
  <c r="K49"/>
  <c r="L49"/>
  <c r="M49"/>
  <c r="N49"/>
  <c r="O49"/>
  <c r="P49"/>
  <c r="Q49"/>
  <c r="R49"/>
  <c r="S49"/>
  <c r="H124"/>
  <c r="I124"/>
  <c r="J124"/>
  <c r="K124"/>
  <c r="L124"/>
  <c r="M124"/>
  <c r="N124"/>
  <c r="O124"/>
  <c r="P124"/>
  <c r="Q124"/>
  <c r="R124"/>
  <c r="S124"/>
  <c r="H79"/>
  <c r="I79"/>
  <c r="J79"/>
  <c r="K79"/>
  <c r="L79"/>
  <c r="M79"/>
  <c r="N79"/>
  <c r="O79"/>
  <c r="P79"/>
  <c r="Q79"/>
  <c r="R79"/>
  <c r="S79"/>
  <c r="H17"/>
  <c r="I17"/>
  <c r="J17"/>
  <c r="K17"/>
  <c r="L17"/>
  <c r="M17"/>
  <c r="N17"/>
  <c r="O17"/>
  <c r="P17"/>
  <c r="Q17"/>
  <c r="R17"/>
  <c r="S17"/>
  <c r="H98"/>
  <c r="I98"/>
  <c r="J98"/>
  <c r="K98"/>
  <c r="L98"/>
  <c r="M98"/>
  <c r="N98"/>
  <c r="O98"/>
  <c r="P98"/>
  <c r="Q98"/>
  <c r="R98"/>
  <c r="S98"/>
  <c r="H37"/>
  <c r="I37"/>
  <c r="J37"/>
  <c r="K37"/>
  <c r="L37"/>
  <c r="M37"/>
  <c r="N37"/>
  <c r="O37"/>
  <c r="P37"/>
  <c r="Q37"/>
  <c r="R37"/>
  <c r="S37"/>
  <c r="H88"/>
  <c r="I88"/>
  <c r="J88"/>
  <c r="K88"/>
  <c r="L88"/>
  <c r="M88"/>
  <c r="N88"/>
  <c r="O88"/>
  <c r="P88"/>
  <c r="Q88"/>
  <c r="R88"/>
  <c r="S88"/>
  <c r="H46"/>
  <c r="I46"/>
  <c r="J46"/>
  <c r="K46"/>
  <c r="L46"/>
  <c r="M46"/>
  <c r="N46"/>
  <c r="O46"/>
  <c r="P46"/>
  <c r="Q46"/>
  <c r="R46"/>
  <c r="S46"/>
  <c r="H119"/>
  <c r="I119"/>
  <c r="J119"/>
  <c r="K119"/>
  <c r="L119"/>
  <c r="M119"/>
  <c r="N119"/>
  <c r="O119"/>
  <c r="P119"/>
  <c r="Q119"/>
  <c r="R119"/>
  <c r="S119"/>
  <c r="H66" i="2"/>
  <c r="I66"/>
  <c r="J66"/>
  <c r="K66"/>
  <c r="L66"/>
  <c r="M66"/>
  <c r="N66"/>
  <c r="O66"/>
  <c r="P66"/>
  <c r="Q66"/>
  <c r="R66"/>
  <c r="S66"/>
  <c r="H128"/>
  <c r="I128"/>
  <c r="J128"/>
  <c r="K128"/>
  <c r="L128"/>
  <c r="M128"/>
  <c r="N128"/>
  <c r="O128"/>
  <c r="P128"/>
  <c r="Q128"/>
  <c r="R128"/>
  <c r="S128"/>
  <c r="H50"/>
  <c r="I50"/>
  <c r="J50"/>
  <c r="K50"/>
  <c r="L50"/>
  <c r="M50"/>
  <c r="N50"/>
  <c r="O50"/>
  <c r="P50"/>
  <c r="Q50"/>
  <c r="R50"/>
  <c r="S50"/>
  <c r="H148"/>
  <c r="I148"/>
  <c r="J148"/>
  <c r="K148"/>
  <c r="L148"/>
  <c r="M148"/>
  <c r="N148"/>
  <c r="O148"/>
  <c r="P148"/>
  <c r="Q148"/>
  <c r="R148"/>
  <c r="S148"/>
  <c r="H74"/>
  <c r="I74"/>
  <c r="J74"/>
  <c r="K74"/>
  <c r="L74"/>
  <c r="M74"/>
  <c r="N74"/>
  <c r="O74"/>
  <c r="P74"/>
  <c r="Q74"/>
  <c r="R74"/>
  <c r="S74"/>
  <c r="H98"/>
  <c r="I98"/>
  <c r="J98"/>
  <c r="K98"/>
  <c r="L98"/>
  <c r="M98"/>
  <c r="N98"/>
  <c r="O98"/>
  <c r="P98"/>
  <c r="Q98"/>
  <c r="R98"/>
  <c r="S98"/>
  <c r="H21"/>
  <c r="I21"/>
  <c r="J21"/>
  <c r="K21"/>
  <c r="L21"/>
  <c r="M21"/>
  <c r="N21"/>
  <c r="O21"/>
  <c r="P21"/>
  <c r="Q21"/>
  <c r="R21"/>
  <c r="S21"/>
  <c r="H64"/>
  <c r="I64"/>
  <c r="J64"/>
  <c r="K64"/>
  <c r="L64"/>
  <c r="M64"/>
  <c r="N64"/>
  <c r="O64"/>
  <c r="P64"/>
  <c r="Q64"/>
  <c r="R64"/>
  <c r="S64"/>
  <c r="H135"/>
  <c r="I135"/>
  <c r="J135"/>
  <c r="K135"/>
  <c r="L135"/>
  <c r="M135"/>
  <c r="N135"/>
  <c r="O135"/>
  <c r="P135"/>
  <c r="Q135"/>
  <c r="R135"/>
  <c r="S135"/>
  <c r="H65"/>
  <c r="I65"/>
  <c r="J65"/>
  <c r="K65"/>
  <c r="L65"/>
  <c r="M65"/>
  <c r="N65"/>
  <c r="O65"/>
  <c r="P65"/>
  <c r="Q65"/>
  <c r="R65"/>
  <c r="S65"/>
  <c r="H138"/>
  <c r="I138"/>
  <c r="J138"/>
  <c r="K138"/>
  <c r="L138"/>
  <c r="M138"/>
  <c r="N138"/>
  <c r="O138"/>
  <c r="P138"/>
  <c r="Q138"/>
  <c r="R138"/>
  <c r="S138"/>
  <c r="H70"/>
  <c r="I70"/>
  <c r="J70"/>
  <c r="K70"/>
  <c r="L70"/>
  <c r="M70"/>
  <c r="N70"/>
  <c r="O70"/>
  <c r="P70"/>
  <c r="Q70"/>
  <c r="R70"/>
  <c r="S70"/>
  <c r="H90"/>
  <c r="I90"/>
  <c r="J90"/>
  <c r="K90"/>
  <c r="L90"/>
  <c r="M90"/>
  <c r="N90"/>
  <c r="O90"/>
  <c r="P90"/>
  <c r="Q90"/>
  <c r="R90"/>
  <c r="S90"/>
  <c r="H4"/>
  <c r="I4"/>
  <c r="J4"/>
  <c r="K4"/>
  <c r="L4"/>
  <c r="M4"/>
  <c r="N4"/>
  <c r="O4"/>
  <c r="P4"/>
  <c r="Q4"/>
  <c r="R4"/>
  <c r="S4"/>
  <c r="H57"/>
  <c r="I57"/>
  <c r="J57"/>
  <c r="K57"/>
  <c r="L57"/>
  <c r="M57"/>
  <c r="N57"/>
  <c r="O57"/>
  <c r="P57"/>
  <c r="Q57"/>
  <c r="R57"/>
  <c r="S57"/>
  <c r="H125"/>
  <c r="I125"/>
  <c r="J125"/>
  <c r="K125"/>
  <c r="L125"/>
  <c r="M125"/>
  <c r="N125"/>
  <c r="O125"/>
  <c r="P125"/>
  <c r="Q125"/>
  <c r="R125"/>
  <c r="S125"/>
  <c r="H53"/>
  <c r="I53"/>
  <c r="J53"/>
  <c r="K53"/>
  <c r="L53"/>
  <c r="M53"/>
  <c r="N53"/>
  <c r="O53"/>
  <c r="P53"/>
  <c r="Q53"/>
  <c r="R53"/>
  <c r="S53"/>
  <c r="H150"/>
  <c r="I150"/>
  <c r="J150"/>
  <c r="K150"/>
  <c r="L150"/>
  <c r="M150"/>
  <c r="N150"/>
  <c r="O150"/>
  <c r="P150"/>
  <c r="Q150"/>
  <c r="R150"/>
  <c r="S150"/>
  <c r="H75"/>
  <c r="I75"/>
  <c r="J75"/>
  <c r="K75"/>
  <c r="L75"/>
  <c r="M75"/>
  <c r="N75"/>
  <c r="O75"/>
  <c r="P75"/>
  <c r="Q75"/>
  <c r="R75"/>
  <c r="S75"/>
  <c r="H105"/>
  <c r="I105"/>
  <c r="J105"/>
  <c r="K105"/>
  <c r="L105"/>
  <c r="M105"/>
  <c r="N105"/>
  <c r="O105"/>
  <c r="P105"/>
  <c r="Q105"/>
  <c r="R105"/>
  <c r="S105"/>
  <c r="H6"/>
  <c r="I6"/>
  <c r="J6"/>
  <c r="K6"/>
  <c r="L6"/>
  <c r="M6"/>
  <c r="N6"/>
  <c r="O6"/>
  <c r="P6"/>
  <c r="Q6"/>
  <c r="R6"/>
  <c r="S6"/>
  <c r="H40"/>
  <c r="I40"/>
  <c r="J40"/>
  <c r="K40"/>
  <c r="L40"/>
  <c r="M40"/>
  <c r="N40"/>
  <c r="O40"/>
  <c r="P40"/>
  <c r="Q40"/>
  <c r="R40"/>
  <c r="S40"/>
  <c r="H108"/>
  <c r="I108"/>
  <c r="J108"/>
  <c r="K108"/>
  <c r="L108"/>
  <c r="M108"/>
  <c r="N108"/>
  <c r="O108"/>
  <c r="P108"/>
  <c r="Q108"/>
  <c r="R108"/>
  <c r="S108"/>
  <c r="H39"/>
  <c r="I39"/>
  <c r="J39"/>
  <c r="K39"/>
  <c r="L39"/>
  <c r="M39"/>
  <c r="N39"/>
  <c r="O39"/>
  <c r="P39"/>
  <c r="Q39"/>
  <c r="R39"/>
  <c r="S39"/>
  <c r="H140"/>
  <c r="I140"/>
  <c r="J140"/>
  <c r="K140"/>
  <c r="L140"/>
  <c r="M140"/>
  <c r="N140"/>
  <c r="O140"/>
  <c r="P140"/>
  <c r="Q140"/>
  <c r="R140"/>
  <c r="S140"/>
  <c r="H71"/>
  <c r="I71"/>
  <c r="J71"/>
  <c r="K71"/>
  <c r="L71"/>
  <c r="M71"/>
  <c r="N71"/>
  <c r="O71"/>
  <c r="P71"/>
  <c r="Q71"/>
  <c r="R71"/>
  <c r="S71"/>
  <c r="H120"/>
  <c r="I120"/>
  <c r="J120"/>
  <c r="K120"/>
  <c r="L120"/>
  <c r="M120"/>
  <c r="N120"/>
  <c r="O120"/>
  <c r="P120"/>
  <c r="Q120"/>
  <c r="R120"/>
  <c r="S120"/>
  <c r="H28"/>
  <c r="I28"/>
  <c r="J28"/>
  <c r="K28"/>
  <c r="L28"/>
  <c r="M28"/>
  <c r="N28"/>
  <c r="O28"/>
  <c r="P28"/>
  <c r="Q28"/>
  <c r="R28"/>
  <c r="S28"/>
  <c r="H69"/>
  <c r="I69"/>
  <c r="J69"/>
  <c r="K69"/>
  <c r="L69"/>
  <c r="M69"/>
  <c r="N69"/>
  <c r="O69"/>
  <c r="P69"/>
  <c r="Q69"/>
  <c r="R69"/>
  <c r="S69"/>
  <c r="H122"/>
  <c r="I122"/>
  <c r="J122"/>
  <c r="K122"/>
  <c r="L122"/>
  <c r="M122"/>
  <c r="N122"/>
  <c r="O122"/>
  <c r="P122"/>
  <c r="Q122"/>
  <c r="R122"/>
  <c r="S122"/>
  <c r="H52"/>
  <c r="I52"/>
  <c r="J52"/>
  <c r="K52"/>
  <c r="L52"/>
  <c r="M52"/>
  <c r="N52"/>
  <c r="O52"/>
  <c r="P52"/>
  <c r="Q52"/>
  <c r="R52"/>
  <c r="S52"/>
  <c r="H146"/>
  <c r="I146"/>
  <c r="J146"/>
  <c r="K146"/>
  <c r="L146"/>
  <c r="M146"/>
  <c r="N146"/>
  <c r="O146"/>
  <c r="P146"/>
  <c r="Q146"/>
  <c r="R146"/>
  <c r="S146"/>
  <c r="H67"/>
  <c r="I67"/>
  <c r="J67"/>
  <c r="K67"/>
  <c r="L67"/>
  <c r="M67"/>
  <c r="N67"/>
  <c r="O67"/>
  <c r="P67"/>
  <c r="Q67"/>
  <c r="R67"/>
  <c r="S67"/>
  <c r="H96"/>
  <c r="I96"/>
  <c r="J96"/>
  <c r="K96"/>
  <c r="L96"/>
  <c r="M96"/>
  <c r="N96"/>
  <c r="O96"/>
  <c r="P96"/>
  <c r="Q96"/>
  <c r="R96"/>
  <c r="S96"/>
  <c r="H5"/>
  <c r="I5"/>
  <c r="J5"/>
  <c r="K5"/>
  <c r="L5"/>
  <c r="M5"/>
  <c r="N5"/>
  <c r="O5"/>
  <c r="P5"/>
  <c r="Q5"/>
  <c r="R5"/>
  <c r="S5"/>
  <c r="H76"/>
  <c r="I76"/>
  <c r="J76"/>
  <c r="K76"/>
  <c r="L76"/>
  <c r="M76"/>
  <c r="N76"/>
  <c r="O76"/>
  <c r="P76"/>
  <c r="Q76"/>
  <c r="R76"/>
  <c r="S76"/>
  <c r="H136"/>
  <c r="I136"/>
  <c r="J136"/>
  <c r="K136"/>
  <c r="L136"/>
  <c r="M136"/>
  <c r="N136"/>
  <c r="O136"/>
  <c r="P136"/>
  <c r="Q136"/>
  <c r="R136"/>
  <c r="S136"/>
  <c r="H77"/>
  <c r="I77"/>
  <c r="J77"/>
  <c r="K77"/>
  <c r="L77"/>
  <c r="M77"/>
  <c r="N77"/>
  <c r="O77"/>
  <c r="P77"/>
  <c r="Q77"/>
  <c r="R77"/>
  <c r="S77"/>
  <c r="H142"/>
  <c r="I142"/>
  <c r="J142"/>
  <c r="K142"/>
  <c r="L142"/>
  <c r="M142"/>
  <c r="N142"/>
  <c r="O142"/>
  <c r="P142"/>
  <c r="Q142"/>
  <c r="R142"/>
  <c r="S142"/>
  <c r="H78"/>
  <c r="I78"/>
  <c r="J78"/>
  <c r="K78"/>
  <c r="L78"/>
  <c r="M78"/>
  <c r="N78"/>
  <c r="O78"/>
  <c r="P78"/>
  <c r="Q78"/>
  <c r="R78"/>
  <c r="S78"/>
  <c r="H102"/>
  <c r="I102"/>
  <c r="J102"/>
  <c r="K102"/>
  <c r="L102"/>
  <c r="M102"/>
  <c r="N102"/>
  <c r="O102"/>
  <c r="P102"/>
  <c r="Q102"/>
  <c r="R102"/>
  <c r="S102"/>
  <c r="H17"/>
  <c r="I17"/>
  <c r="J17"/>
  <c r="K17"/>
  <c r="L17"/>
  <c r="M17"/>
  <c r="N17"/>
  <c r="O17"/>
  <c r="P17"/>
  <c r="Q17"/>
  <c r="R17"/>
  <c r="S17"/>
  <c r="H79"/>
  <c r="I79"/>
  <c r="J79"/>
  <c r="K79"/>
  <c r="L79"/>
  <c r="M79"/>
  <c r="N79"/>
  <c r="O79"/>
  <c r="P79"/>
  <c r="Q79"/>
  <c r="R79"/>
  <c r="S79"/>
  <c r="H134"/>
  <c r="I134"/>
  <c r="J134"/>
  <c r="K134"/>
  <c r="L134"/>
  <c r="M134"/>
  <c r="N134"/>
  <c r="O134"/>
  <c r="P134"/>
  <c r="Q134"/>
  <c r="R134"/>
  <c r="S134"/>
  <c r="H68"/>
  <c r="I68"/>
  <c r="J68"/>
  <c r="K68"/>
  <c r="L68"/>
  <c r="M68"/>
  <c r="N68"/>
  <c r="O68"/>
  <c r="P68"/>
  <c r="Q68"/>
  <c r="R68"/>
  <c r="S68"/>
  <c r="H151"/>
  <c r="I151"/>
  <c r="J151"/>
  <c r="K151"/>
  <c r="L151"/>
  <c r="M151"/>
  <c r="N151"/>
  <c r="O151"/>
  <c r="P151"/>
  <c r="Q151"/>
  <c r="R151"/>
  <c r="S151"/>
  <c r="H72"/>
  <c r="I72"/>
  <c r="J72"/>
  <c r="K72"/>
  <c r="L72"/>
  <c r="M72"/>
  <c r="N72"/>
  <c r="O72"/>
  <c r="P72"/>
  <c r="Q72"/>
  <c r="R72"/>
  <c r="S72"/>
  <c r="H107"/>
  <c r="I107"/>
  <c r="J107"/>
  <c r="K107"/>
  <c r="L107"/>
  <c r="M107"/>
  <c r="N107"/>
  <c r="O107"/>
  <c r="P107"/>
  <c r="Q107"/>
  <c r="R107"/>
  <c r="S107"/>
  <c r="H19"/>
  <c r="I19"/>
  <c r="J19"/>
  <c r="K19"/>
  <c r="L19"/>
  <c r="M19"/>
  <c r="N19"/>
  <c r="O19"/>
  <c r="P19"/>
  <c r="Q19"/>
  <c r="R19"/>
  <c r="S19"/>
  <c r="H41" i="1"/>
  <c r="I41"/>
  <c r="J41"/>
  <c r="K41"/>
  <c r="L41"/>
  <c r="M41"/>
  <c r="N41"/>
  <c r="O41"/>
  <c r="P41"/>
  <c r="Q41"/>
  <c r="R41"/>
  <c r="S41"/>
  <c r="H94"/>
  <c r="I94"/>
  <c r="J94"/>
  <c r="K94"/>
  <c r="L94"/>
  <c r="M94"/>
  <c r="N94"/>
  <c r="O94"/>
  <c r="P94"/>
  <c r="Q94"/>
  <c r="R94"/>
  <c r="S94"/>
  <c r="H8"/>
  <c r="I8"/>
  <c r="J8"/>
  <c r="K8"/>
  <c r="L8"/>
  <c r="M8"/>
  <c r="N8"/>
  <c r="O8"/>
  <c r="P8"/>
  <c r="Q8"/>
  <c r="R8"/>
  <c r="S8"/>
  <c r="H142"/>
  <c r="I142"/>
  <c r="J142"/>
  <c r="K142"/>
  <c r="L142"/>
  <c r="M142"/>
  <c r="N142"/>
  <c r="O142"/>
  <c r="P142"/>
  <c r="Q142"/>
  <c r="R142"/>
  <c r="S142"/>
  <c r="H79"/>
  <c r="I79"/>
  <c r="J79"/>
  <c r="K79"/>
  <c r="L79"/>
  <c r="M79"/>
  <c r="N79"/>
  <c r="O79"/>
  <c r="P79"/>
  <c r="Q79"/>
  <c r="R79"/>
  <c r="S79"/>
  <c r="H134"/>
  <c r="I134"/>
  <c r="J134"/>
  <c r="K134"/>
  <c r="L134"/>
  <c r="M134"/>
  <c r="N134"/>
  <c r="O134"/>
  <c r="P134"/>
  <c r="Q134"/>
  <c r="R134"/>
  <c r="S134"/>
  <c r="H48"/>
  <c r="I48"/>
  <c r="J48"/>
  <c r="K48"/>
  <c r="L48"/>
  <c r="M48"/>
  <c r="N48"/>
  <c r="O48"/>
  <c r="P48"/>
  <c r="Q48"/>
  <c r="R48"/>
  <c r="S48"/>
  <c r="H87"/>
  <c r="I87"/>
  <c r="J87"/>
  <c r="K87"/>
  <c r="L87"/>
  <c r="M87"/>
  <c r="N87"/>
  <c r="O87"/>
  <c r="P87"/>
  <c r="Q87"/>
  <c r="R87"/>
  <c r="S87"/>
  <c r="H107"/>
  <c r="I107"/>
  <c r="J107"/>
  <c r="K107"/>
  <c r="L107"/>
  <c r="M107"/>
  <c r="N107"/>
  <c r="O107"/>
  <c r="P107"/>
  <c r="Q107"/>
  <c r="R107"/>
  <c r="S107"/>
  <c r="H84"/>
  <c r="I84"/>
  <c r="J84"/>
  <c r="K84"/>
  <c r="L84"/>
  <c r="M84"/>
  <c r="N84"/>
  <c r="O84"/>
  <c r="P84"/>
  <c r="Q84"/>
  <c r="R84"/>
  <c r="S84"/>
  <c r="H138"/>
  <c r="I138"/>
  <c r="J138"/>
  <c r="K138"/>
  <c r="L138"/>
  <c r="M138"/>
  <c r="N138"/>
  <c r="O138"/>
  <c r="P138"/>
  <c r="Q138"/>
  <c r="R138"/>
  <c r="S138"/>
  <c r="H23"/>
  <c r="I23"/>
  <c r="J23"/>
  <c r="K23"/>
  <c r="L23"/>
  <c r="M23"/>
  <c r="N23"/>
  <c r="O23"/>
  <c r="P23"/>
  <c r="Q23"/>
  <c r="R23"/>
  <c r="S23"/>
  <c r="H132"/>
  <c r="I132"/>
  <c r="J132"/>
  <c r="K132"/>
  <c r="L132"/>
  <c r="M132"/>
  <c r="N132"/>
  <c r="O132"/>
  <c r="P132"/>
  <c r="Q132"/>
  <c r="R132"/>
  <c r="S132"/>
  <c r="H53"/>
  <c r="I53"/>
  <c r="J53"/>
  <c r="K53"/>
  <c r="L53"/>
  <c r="M53"/>
  <c r="N53"/>
  <c r="O53"/>
  <c r="P53"/>
  <c r="Q53"/>
  <c r="R53"/>
  <c r="S53"/>
  <c r="H46"/>
  <c r="I46"/>
  <c r="J46"/>
  <c r="K46"/>
  <c r="L46"/>
  <c r="M46"/>
  <c r="N46"/>
  <c r="O46"/>
  <c r="P46"/>
  <c r="Q46"/>
  <c r="R46"/>
  <c r="S46"/>
  <c r="H144"/>
  <c r="I144"/>
  <c r="J144"/>
  <c r="K144"/>
  <c r="L144"/>
  <c r="M144"/>
  <c r="N144"/>
  <c r="O144"/>
  <c r="P144"/>
  <c r="Q144"/>
  <c r="R144"/>
  <c r="S144"/>
  <c r="H77"/>
  <c r="I77"/>
  <c r="J77"/>
  <c r="K77"/>
  <c r="L77"/>
  <c r="M77"/>
  <c r="N77"/>
  <c r="O77"/>
  <c r="P77"/>
  <c r="Q77"/>
  <c r="R77"/>
  <c r="S77"/>
  <c r="H131"/>
  <c r="I131"/>
  <c r="J131"/>
  <c r="K131"/>
  <c r="L131"/>
  <c r="M131"/>
  <c r="N131"/>
  <c r="O131"/>
  <c r="P131"/>
  <c r="Q131"/>
  <c r="R131"/>
  <c r="S131"/>
  <c r="H36"/>
  <c r="I36"/>
  <c r="J36"/>
  <c r="K36"/>
  <c r="L36"/>
  <c r="M36"/>
  <c r="N36"/>
  <c r="O36"/>
  <c r="P36"/>
  <c r="Q36"/>
  <c r="R36"/>
  <c r="S36"/>
  <c r="H105"/>
  <c r="I105"/>
  <c r="J105"/>
  <c r="K105"/>
  <c r="L105"/>
  <c r="M105"/>
  <c r="N105"/>
  <c r="O105"/>
  <c r="P105"/>
  <c r="Q105"/>
  <c r="R105"/>
  <c r="S105"/>
  <c r="H69"/>
  <c r="I69"/>
  <c r="J69"/>
  <c r="K69"/>
  <c r="L69"/>
  <c r="M69"/>
  <c r="N69"/>
  <c r="O69"/>
  <c r="P69"/>
  <c r="Q69"/>
  <c r="R69"/>
  <c r="S69"/>
  <c r="H47"/>
  <c r="I47"/>
  <c r="J47"/>
  <c r="K47"/>
  <c r="L47"/>
  <c r="M47"/>
  <c r="N47"/>
  <c r="O47"/>
  <c r="P47"/>
  <c r="Q47"/>
  <c r="R47"/>
  <c r="S47"/>
  <c r="H146"/>
  <c r="I146"/>
  <c r="J146"/>
  <c r="K146"/>
  <c r="L146"/>
  <c r="M146"/>
  <c r="N146"/>
  <c r="O146"/>
  <c r="P146"/>
  <c r="Q146"/>
  <c r="R146"/>
  <c r="S146"/>
  <c r="H61"/>
  <c r="I61"/>
  <c r="J61"/>
  <c r="K61"/>
  <c r="L61"/>
  <c r="M61"/>
  <c r="N61"/>
  <c r="O61"/>
  <c r="P61"/>
  <c r="Q61"/>
  <c r="R61"/>
  <c r="S61"/>
  <c r="H137"/>
  <c r="I137"/>
  <c r="J137"/>
  <c r="K137"/>
  <c r="L137"/>
  <c r="M137"/>
  <c r="N137"/>
  <c r="O137"/>
  <c r="P137"/>
  <c r="Q137"/>
  <c r="R137"/>
  <c r="S137"/>
  <c r="H101"/>
  <c r="I101"/>
  <c r="J101"/>
  <c r="K101"/>
  <c r="L101"/>
  <c r="M101"/>
  <c r="N101"/>
  <c r="O101"/>
  <c r="P101"/>
  <c r="Q101"/>
  <c r="R101"/>
  <c r="S101"/>
  <c r="H111"/>
  <c r="I111"/>
  <c r="J111"/>
  <c r="K111"/>
  <c r="L111"/>
  <c r="M111"/>
  <c r="N111"/>
  <c r="O111"/>
  <c r="P111"/>
  <c r="Q111"/>
  <c r="R111"/>
  <c r="S111"/>
  <c r="H50"/>
  <c r="I50"/>
  <c r="J50"/>
  <c r="K50"/>
  <c r="L50"/>
  <c r="M50"/>
  <c r="N50"/>
  <c r="O50"/>
  <c r="P50"/>
  <c r="Q50"/>
  <c r="R50"/>
  <c r="S50"/>
  <c r="H85"/>
  <c r="I85"/>
  <c r="J85"/>
  <c r="K85"/>
  <c r="L85"/>
  <c r="M85"/>
  <c r="N85"/>
  <c r="O85"/>
  <c r="P85"/>
  <c r="Q85"/>
  <c r="R85"/>
  <c r="S85"/>
  <c r="H67"/>
  <c r="I67"/>
  <c r="J67"/>
  <c r="K67"/>
  <c r="L67"/>
  <c r="M67"/>
  <c r="N67"/>
  <c r="O67"/>
  <c r="P67"/>
  <c r="Q67"/>
  <c r="R67"/>
  <c r="S67"/>
  <c r="H44"/>
  <c r="I44"/>
  <c r="J44"/>
  <c r="K44"/>
  <c r="L44"/>
  <c r="M44"/>
  <c r="N44"/>
  <c r="O44"/>
  <c r="P44"/>
  <c r="Q44"/>
  <c r="R44"/>
  <c r="S44"/>
  <c r="H117"/>
  <c r="I117"/>
  <c r="J117"/>
  <c r="K117"/>
  <c r="L117"/>
  <c r="M117"/>
  <c r="N117"/>
  <c r="O117"/>
  <c r="P117"/>
  <c r="Q117"/>
  <c r="R117"/>
  <c r="S117"/>
  <c r="H59"/>
  <c r="I59"/>
  <c r="J59"/>
  <c r="K59"/>
  <c r="L59"/>
  <c r="M59"/>
  <c r="N59"/>
  <c r="O59"/>
  <c r="P59"/>
  <c r="Q59"/>
  <c r="R59"/>
  <c r="S59"/>
  <c r="H106"/>
  <c r="I106"/>
  <c r="J106"/>
  <c r="K106"/>
  <c r="L106"/>
  <c r="M106"/>
  <c r="N106"/>
  <c r="O106"/>
  <c r="P106"/>
  <c r="Q106"/>
  <c r="R106"/>
  <c r="S106"/>
  <c r="H58"/>
  <c r="I58"/>
  <c r="J58"/>
  <c r="K58"/>
  <c r="L58"/>
  <c r="M58"/>
  <c r="N58"/>
  <c r="O58"/>
  <c r="P58"/>
  <c r="Q58"/>
  <c r="R58"/>
  <c r="S58"/>
  <c r="H114"/>
  <c r="I114"/>
  <c r="J114"/>
  <c r="K114"/>
  <c r="L114"/>
  <c r="M114"/>
  <c r="N114"/>
  <c r="O114"/>
  <c r="P114"/>
  <c r="Q114"/>
  <c r="R114"/>
  <c r="S114"/>
  <c r="H128"/>
  <c r="I128"/>
  <c r="J128"/>
  <c r="K128"/>
  <c r="L128"/>
  <c r="M128"/>
  <c r="N128"/>
  <c r="O128"/>
  <c r="P128"/>
  <c r="Q128"/>
  <c r="R128"/>
  <c r="S128"/>
  <c r="H37"/>
  <c r="I37"/>
  <c r="J37"/>
  <c r="K37"/>
  <c r="L37"/>
  <c r="M37"/>
  <c r="N37"/>
  <c r="O37"/>
  <c r="P37"/>
  <c r="Q37"/>
  <c r="R37"/>
  <c r="S37"/>
  <c r="H97"/>
  <c r="I97"/>
  <c r="J97"/>
  <c r="K97"/>
  <c r="L97"/>
  <c r="M97"/>
  <c r="N97"/>
  <c r="O97"/>
  <c r="P97"/>
  <c r="Q97"/>
  <c r="R97"/>
  <c r="S97"/>
  <c r="H73"/>
  <c r="I73"/>
  <c r="J73"/>
  <c r="K73"/>
  <c r="L73"/>
  <c r="M73"/>
  <c r="N73"/>
  <c r="O73"/>
  <c r="P73"/>
  <c r="Q73"/>
  <c r="R73"/>
  <c r="S73"/>
  <c r="H91"/>
  <c r="I91"/>
  <c r="J91"/>
  <c r="K91"/>
  <c r="L91"/>
  <c r="M91"/>
  <c r="N91"/>
  <c r="O91"/>
  <c r="P91"/>
  <c r="Q91"/>
  <c r="R91"/>
  <c r="S91"/>
  <c r="H90"/>
  <c r="I90"/>
  <c r="J90"/>
  <c r="K90"/>
  <c r="L90"/>
  <c r="M90"/>
  <c r="N90"/>
  <c r="O90"/>
  <c r="P90"/>
  <c r="Q90"/>
  <c r="R90"/>
  <c r="S90"/>
  <c r="H68"/>
  <c r="I68"/>
  <c r="J68"/>
  <c r="K68"/>
  <c r="L68"/>
  <c r="M68"/>
  <c r="N68"/>
  <c r="O68"/>
  <c r="P68"/>
  <c r="Q68"/>
  <c r="R68"/>
  <c r="S68"/>
  <c r="H124"/>
  <c r="I124"/>
  <c r="J124"/>
  <c r="K124"/>
  <c r="L124"/>
  <c r="M124"/>
  <c r="N124"/>
  <c r="O124"/>
  <c r="P124"/>
  <c r="Q124"/>
  <c r="R124"/>
  <c r="S124"/>
  <c r="H55"/>
  <c r="I55"/>
  <c r="J55"/>
  <c r="K55"/>
  <c r="L55"/>
  <c r="M55"/>
  <c r="N55"/>
  <c r="O55"/>
  <c r="P55"/>
  <c r="Q55"/>
  <c r="R55"/>
  <c r="S55"/>
  <c r="H122"/>
  <c r="I122"/>
  <c r="J122"/>
  <c r="K122"/>
  <c r="L122"/>
  <c r="M122"/>
  <c r="N122"/>
  <c r="O122"/>
  <c r="P122"/>
  <c r="Q122"/>
  <c r="R122"/>
  <c r="S122"/>
  <c r="H56"/>
  <c r="I56"/>
  <c r="J56"/>
  <c r="K56"/>
  <c r="L56"/>
  <c r="M56"/>
  <c r="N56"/>
  <c r="O56"/>
  <c r="P56"/>
  <c r="Q56"/>
  <c r="R56"/>
  <c r="S56"/>
  <c r="H98"/>
  <c r="I98"/>
  <c r="J98"/>
  <c r="K98"/>
  <c r="L98"/>
  <c r="M98"/>
  <c r="N98"/>
  <c r="O98"/>
  <c r="P98"/>
  <c r="Q98"/>
  <c r="R98"/>
  <c r="S98"/>
  <c r="H95"/>
  <c r="I95"/>
  <c r="J95"/>
  <c r="K95"/>
  <c r="L95"/>
  <c r="M95"/>
  <c r="N95"/>
  <c r="O95"/>
  <c r="P95"/>
  <c r="Q95"/>
  <c r="R95"/>
  <c r="S95"/>
  <c r="N15" i="3"/>
  <c r="O15"/>
  <c r="P15"/>
  <c r="Q15"/>
  <c r="R15"/>
  <c r="S15"/>
  <c r="N155"/>
  <c r="O155"/>
  <c r="P155"/>
  <c r="Q155"/>
  <c r="R155"/>
  <c r="S155"/>
  <c r="N156"/>
  <c r="O156"/>
  <c r="P156"/>
  <c r="Q156"/>
  <c r="R156"/>
  <c r="S156"/>
  <c r="N157"/>
  <c r="O157"/>
  <c r="P157"/>
  <c r="Q157"/>
  <c r="R157"/>
  <c r="S157"/>
  <c r="N32"/>
  <c r="O32"/>
  <c r="P32"/>
  <c r="Q32"/>
  <c r="R32"/>
  <c r="S32"/>
  <c r="N158"/>
  <c r="O158"/>
  <c r="P158"/>
  <c r="Q158"/>
  <c r="R158"/>
  <c r="S158"/>
  <c r="N13"/>
  <c r="O13"/>
  <c r="P13"/>
  <c r="Q13"/>
  <c r="R13"/>
  <c r="S13"/>
  <c r="N159"/>
  <c r="O159"/>
  <c r="P159"/>
  <c r="Q159"/>
  <c r="R159"/>
  <c r="S159"/>
  <c r="N153"/>
  <c r="O153"/>
  <c r="P153"/>
  <c r="Q153"/>
  <c r="R153"/>
  <c r="S153"/>
  <c r="N160"/>
  <c r="O160"/>
  <c r="P160"/>
  <c r="Q160"/>
  <c r="R160"/>
  <c r="S160"/>
  <c r="N43"/>
  <c r="O43"/>
  <c r="P43"/>
  <c r="Q43"/>
  <c r="R43"/>
  <c r="S43"/>
  <c r="N117"/>
  <c r="O117"/>
  <c r="P117"/>
  <c r="Q117"/>
  <c r="R117"/>
  <c r="S117"/>
  <c r="N44"/>
  <c r="O44"/>
  <c r="P44"/>
  <c r="Q44"/>
  <c r="R44"/>
  <c r="S44"/>
  <c r="N57"/>
  <c r="O57"/>
  <c r="P57"/>
  <c r="Q57"/>
  <c r="R57"/>
  <c r="S57"/>
  <c r="N161"/>
  <c r="O161"/>
  <c r="P161"/>
  <c r="Q161"/>
  <c r="R161"/>
  <c r="S161"/>
  <c r="N21"/>
  <c r="O21"/>
  <c r="P21"/>
  <c r="Q21"/>
  <c r="R21"/>
  <c r="S21"/>
  <c r="N162"/>
  <c r="O162"/>
  <c r="P162"/>
  <c r="Q162"/>
  <c r="R162"/>
  <c r="S162"/>
  <c r="N163"/>
  <c r="O163"/>
  <c r="P163"/>
  <c r="Q163"/>
  <c r="R163"/>
  <c r="S163"/>
  <c r="N164"/>
  <c r="O164"/>
  <c r="P164"/>
  <c r="Q164"/>
  <c r="R164"/>
  <c r="S164"/>
  <c r="N35"/>
  <c r="O35"/>
  <c r="P35"/>
  <c r="Q35"/>
  <c r="R35"/>
  <c r="S35"/>
  <c r="N165"/>
  <c r="O165"/>
  <c r="P165"/>
  <c r="Q165"/>
  <c r="R165"/>
  <c r="S165"/>
  <c r="N22"/>
  <c r="O22"/>
  <c r="P22"/>
  <c r="Q22"/>
  <c r="R22"/>
  <c r="S22"/>
  <c r="N166"/>
  <c r="O166"/>
  <c r="P166"/>
  <c r="Q166"/>
  <c r="R166"/>
  <c r="S166"/>
  <c r="N167"/>
  <c r="O167"/>
  <c r="P167"/>
  <c r="Q167"/>
  <c r="R167"/>
  <c r="S167"/>
  <c r="N168"/>
  <c r="O168"/>
  <c r="P168"/>
  <c r="Q168"/>
  <c r="R168"/>
  <c r="S168"/>
  <c r="N48"/>
  <c r="O48"/>
  <c r="P48"/>
  <c r="Q48"/>
  <c r="R48"/>
  <c r="S48"/>
  <c r="N169"/>
  <c r="O169"/>
  <c r="P169"/>
  <c r="Q169"/>
  <c r="R169"/>
  <c r="S169"/>
  <c r="N23"/>
  <c r="O23"/>
  <c r="P23"/>
  <c r="Q23"/>
  <c r="R23"/>
  <c r="S23"/>
  <c r="N170"/>
  <c r="O170"/>
  <c r="P170"/>
  <c r="Q170"/>
  <c r="R170"/>
  <c r="S170"/>
  <c r="N171"/>
  <c r="O171"/>
  <c r="P171"/>
  <c r="Q171"/>
  <c r="R171"/>
  <c r="S171"/>
  <c r="N172"/>
  <c r="O172"/>
  <c r="P172"/>
  <c r="Q172"/>
  <c r="R172"/>
  <c r="S172"/>
  <c r="N121"/>
  <c r="O121"/>
  <c r="P121"/>
  <c r="Q121"/>
  <c r="R121"/>
  <c r="S121"/>
  <c r="N173"/>
  <c r="O173"/>
  <c r="P173"/>
  <c r="Q173"/>
  <c r="R173"/>
  <c r="S173"/>
  <c r="N29"/>
  <c r="O29"/>
  <c r="P29"/>
  <c r="Q29"/>
  <c r="R29"/>
  <c r="S29"/>
  <c r="N174"/>
  <c r="O174"/>
  <c r="P174"/>
  <c r="Q174"/>
  <c r="R174"/>
  <c r="S174"/>
  <c r="N148"/>
  <c r="O148"/>
  <c r="P148"/>
  <c r="Q148"/>
  <c r="R148"/>
  <c r="S148"/>
  <c r="N175"/>
  <c r="O175"/>
  <c r="P175"/>
  <c r="Q175"/>
  <c r="R175"/>
  <c r="S175"/>
  <c r="N120"/>
  <c r="O120"/>
  <c r="P120"/>
  <c r="Q120"/>
  <c r="R120"/>
  <c r="S120"/>
  <c r="N12"/>
  <c r="O12"/>
  <c r="P12"/>
  <c r="Q12"/>
  <c r="R12"/>
  <c r="S12"/>
  <c r="N78"/>
  <c r="O78"/>
  <c r="P78"/>
  <c r="Q78"/>
  <c r="R78"/>
  <c r="S78"/>
  <c r="N34"/>
  <c r="O34"/>
  <c r="P34"/>
  <c r="Q34"/>
  <c r="R34"/>
  <c r="S34"/>
  <c r="N109"/>
  <c r="O109"/>
  <c r="P109"/>
  <c r="Q109"/>
  <c r="R109"/>
  <c r="S109"/>
  <c r="N2"/>
  <c r="O2"/>
  <c r="P2"/>
  <c r="Q2"/>
  <c r="R2"/>
  <c r="S2"/>
  <c r="N86"/>
  <c r="O86"/>
  <c r="P86"/>
  <c r="Q86"/>
  <c r="R86"/>
  <c r="S86"/>
  <c r="N50"/>
  <c r="O50"/>
  <c r="P50"/>
  <c r="Q50"/>
  <c r="R50"/>
  <c r="S50"/>
  <c r="N129"/>
  <c r="O129"/>
  <c r="P129"/>
  <c r="Q129"/>
  <c r="R129"/>
  <c r="S129"/>
  <c r="N8"/>
  <c r="O8"/>
  <c r="P8"/>
  <c r="Q8"/>
  <c r="R8"/>
  <c r="S8"/>
  <c r="N96"/>
  <c r="O96"/>
  <c r="P96"/>
  <c r="Q96"/>
  <c r="R96"/>
  <c r="S96"/>
  <c r="N45"/>
  <c r="O45"/>
  <c r="P45"/>
  <c r="Q45"/>
  <c r="R45"/>
  <c r="S45"/>
  <c r="N114"/>
  <c r="O114"/>
  <c r="P114"/>
  <c r="Q114"/>
  <c r="R114"/>
  <c r="S114"/>
  <c r="N5"/>
  <c r="O5"/>
  <c r="P5"/>
  <c r="Q5"/>
  <c r="R5"/>
  <c r="S5"/>
  <c r="N134"/>
  <c r="O134"/>
  <c r="P134"/>
  <c r="Q134"/>
  <c r="R134"/>
  <c r="S134"/>
  <c r="N113"/>
  <c r="O113"/>
  <c r="P113"/>
  <c r="Q113"/>
  <c r="R113"/>
  <c r="S113"/>
  <c r="N144"/>
  <c r="O144"/>
  <c r="P144"/>
  <c r="Q144"/>
  <c r="R144"/>
  <c r="S144"/>
  <c r="N36"/>
  <c r="O36"/>
  <c r="P36"/>
  <c r="Q36"/>
  <c r="R36"/>
  <c r="S36"/>
  <c r="N131"/>
  <c r="O131"/>
  <c r="P131"/>
  <c r="Q131"/>
  <c r="R131"/>
  <c r="S131"/>
  <c r="N125"/>
  <c r="O125"/>
  <c r="P125"/>
  <c r="Q125"/>
  <c r="R125"/>
  <c r="S125"/>
  <c r="N150"/>
  <c r="O150"/>
  <c r="P150"/>
  <c r="Q150"/>
  <c r="R150"/>
  <c r="S150"/>
  <c r="N31"/>
  <c r="O31"/>
  <c r="P31"/>
  <c r="Q31"/>
  <c r="R31"/>
  <c r="S31"/>
  <c r="N133"/>
  <c r="O133"/>
  <c r="P133"/>
  <c r="Q133"/>
  <c r="R133"/>
  <c r="S133"/>
  <c r="N123"/>
  <c r="O123"/>
  <c r="P123"/>
  <c r="Q123"/>
  <c r="R123"/>
  <c r="S123"/>
  <c r="N149"/>
  <c r="O149"/>
  <c r="P149"/>
  <c r="Q149"/>
  <c r="R149"/>
  <c r="S149"/>
  <c r="N27"/>
  <c r="O27"/>
  <c r="P27"/>
  <c r="Q27"/>
  <c r="R27"/>
  <c r="S27"/>
  <c r="N138"/>
  <c r="O138"/>
  <c r="P138"/>
  <c r="Q138"/>
  <c r="R138"/>
  <c r="S138"/>
  <c r="N130"/>
  <c r="O130"/>
  <c r="P130"/>
  <c r="Q130"/>
  <c r="R130"/>
  <c r="S130"/>
  <c r="N145"/>
  <c r="O145"/>
  <c r="P145"/>
  <c r="Q145"/>
  <c r="R145"/>
  <c r="S145"/>
  <c r="N33"/>
  <c r="O33"/>
  <c r="P33"/>
  <c r="Q33"/>
  <c r="R33"/>
  <c r="S33"/>
  <c r="N136"/>
  <c r="O136"/>
  <c r="P136"/>
  <c r="Q136"/>
  <c r="R136"/>
  <c r="S136"/>
  <c r="N118"/>
  <c r="O118"/>
  <c r="P118"/>
  <c r="Q118"/>
  <c r="R118"/>
  <c r="S118"/>
  <c r="N147"/>
  <c r="O147"/>
  <c r="P147"/>
  <c r="Q147"/>
  <c r="R147"/>
  <c r="S147"/>
  <c r="N176"/>
  <c r="O176"/>
  <c r="P176"/>
  <c r="Q176"/>
  <c r="R176"/>
  <c r="S176"/>
  <c r="N177"/>
  <c r="O177"/>
  <c r="P177"/>
  <c r="Q177"/>
  <c r="R177"/>
  <c r="S177"/>
  <c r="N61"/>
  <c r="O61"/>
  <c r="P61"/>
  <c r="Q61"/>
  <c r="R61"/>
  <c r="S61"/>
  <c r="N92"/>
  <c r="O92"/>
  <c r="P92"/>
  <c r="Q92"/>
  <c r="R92"/>
  <c r="S92"/>
  <c r="N178"/>
  <c r="O178"/>
  <c r="P178"/>
  <c r="Q178"/>
  <c r="R178"/>
  <c r="S178"/>
  <c r="N179"/>
  <c r="O179"/>
  <c r="P179"/>
  <c r="Q179"/>
  <c r="R179"/>
  <c r="S179"/>
  <c r="N65"/>
  <c r="O65"/>
  <c r="P65"/>
  <c r="Q65"/>
  <c r="R65"/>
  <c r="S65"/>
  <c r="N94"/>
  <c r="O94"/>
  <c r="P94"/>
  <c r="Q94"/>
  <c r="R94"/>
  <c r="S94"/>
  <c r="N180"/>
  <c r="O180"/>
  <c r="P180"/>
  <c r="Q180"/>
  <c r="R180"/>
  <c r="S180"/>
  <c r="N181"/>
  <c r="O181"/>
  <c r="P181"/>
  <c r="Q181"/>
  <c r="R181"/>
  <c r="S181"/>
  <c r="N95"/>
  <c r="O95"/>
  <c r="P95"/>
  <c r="Q95"/>
  <c r="R95"/>
  <c r="S95"/>
  <c r="N90"/>
  <c r="O90"/>
  <c r="P90"/>
  <c r="Q90"/>
  <c r="R90"/>
  <c r="S90"/>
  <c r="N182"/>
  <c r="O182"/>
  <c r="P182"/>
  <c r="Q182"/>
  <c r="R182"/>
  <c r="S182"/>
  <c r="N183"/>
  <c r="O183"/>
  <c r="P183"/>
  <c r="Q183"/>
  <c r="R183"/>
  <c r="S183"/>
  <c r="N89"/>
  <c r="O89"/>
  <c r="P89"/>
  <c r="Q89"/>
  <c r="R89"/>
  <c r="S89"/>
  <c r="N84"/>
  <c r="O84"/>
  <c r="P84"/>
  <c r="Q84"/>
  <c r="R84"/>
  <c r="S84"/>
  <c r="N184"/>
  <c r="O184"/>
  <c r="P184"/>
  <c r="Q184"/>
  <c r="R184"/>
  <c r="S184"/>
  <c r="N185"/>
  <c r="O185"/>
  <c r="P185"/>
  <c r="Q185"/>
  <c r="R185"/>
  <c r="S185"/>
  <c r="N83"/>
  <c r="O83"/>
  <c r="P83"/>
  <c r="Q83"/>
  <c r="R83"/>
  <c r="S83"/>
  <c r="N87"/>
  <c r="O87"/>
  <c r="P87"/>
  <c r="Q87"/>
  <c r="R87"/>
  <c r="S87"/>
  <c r="N186"/>
  <c r="O186"/>
  <c r="P186"/>
  <c r="Q186"/>
  <c r="R186"/>
  <c r="S186"/>
  <c r="N187"/>
  <c r="O187"/>
  <c r="P187"/>
  <c r="Q187"/>
  <c r="R187"/>
  <c r="S187"/>
  <c r="N103"/>
  <c r="O103"/>
  <c r="P103"/>
  <c r="Q103"/>
  <c r="R103"/>
  <c r="S103"/>
  <c r="N97"/>
  <c r="O97"/>
  <c r="P97"/>
  <c r="Q97"/>
  <c r="R97"/>
  <c r="S97"/>
  <c r="N188"/>
  <c r="O188"/>
  <c r="P188"/>
  <c r="Q188"/>
  <c r="R188"/>
  <c r="S188"/>
  <c r="N189"/>
  <c r="O189"/>
  <c r="P189"/>
  <c r="Q189"/>
  <c r="R189"/>
  <c r="S189"/>
  <c r="N104"/>
  <c r="O104"/>
  <c r="P104"/>
  <c r="Q104"/>
  <c r="R104"/>
  <c r="S104"/>
  <c r="N77"/>
  <c r="O77"/>
  <c r="P77"/>
  <c r="Q77"/>
  <c r="R77"/>
  <c r="S77"/>
  <c r="N190"/>
  <c r="O190"/>
  <c r="P190"/>
  <c r="Q190"/>
  <c r="R190"/>
  <c r="S190"/>
  <c r="N191"/>
  <c r="O191"/>
  <c r="P191"/>
  <c r="Q191"/>
  <c r="R191"/>
  <c r="S191"/>
  <c r="N85"/>
  <c r="O85"/>
  <c r="P85"/>
  <c r="Q85"/>
  <c r="R85"/>
  <c r="S85"/>
  <c r="N93"/>
  <c r="O93"/>
  <c r="P93"/>
  <c r="Q93"/>
  <c r="R93"/>
  <c r="S93"/>
  <c r="N192"/>
  <c r="O192"/>
  <c r="P192"/>
  <c r="Q192"/>
  <c r="R192"/>
  <c r="S192"/>
  <c r="N193"/>
  <c r="O193"/>
  <c r="P193"/>
  <c r="Q193"/>
  <c r="R193"/>
  <c r="S193"/>
  <c r="N69"/>
  <c r="O69"/>
  <c r="P69"/>
  <c r="Q69"/>
  <c r="R69"/>
  <c r="S69"/>
  <c r="N107"/>
  <c r="O107"/>
  <c r="P107"/>
  <c r="Q107"/>
  <c r="R107"/>
  <c r="S107"/>
  <c r="N139"/>
  <c r="O139"/>
  <c r="P139"/>
  <c r="Q139"/>
  <c r="R139"/>
  <c r="S139"/>
  <c r="N41"/>
  <c r="O41"/>
  <c r="P41"/>
  <c r="Q41"/>
  <c r="R41"/>
  <c r="S41"/>
  <c r="N137"/>
  <c r="O137"/>
  <c r="P137"/>
  <c r="Q137"/>
  <c r="R137"/>
  <c r="S137"/>
  <c r="N110"/>
  <c r="O110"/>
  <c r="P110"/>
  <c r="Q110"/>
  <c r="R110"/>
  <c r="S110"/>
  <c r="N140"/>
  <c r="O140"/>
  <c r="P140"/>
  <c r="Q140"/>
  <c r="R140"/>
  <c r="S140"/>
  <c r="N151"/>
  <c r="O151"/>
  <c r="P151"/>
  <c r="Q151"/>
  <c r="R151"/>
  <c r="S151"/>
  <c r="N142"/>
  <c r="O142"/>
  <c r="P142"/>
  <c r="Q142"/>
  <c r="R142"/>
  <c r="S142"/>
  <c r="N24"/>
  <c r="O24"/>
  <c r="P24"/>
  <c r="Q24"/>
  <c r="R24"/>
  <c r="S24"/>
  <c r="N135"/>
  <c r="O135"/>
  <c r="P135"/>
  <c r="Q135"/>
  <c r="R135"/>
  <c r="S135"/>
  <c r="N99"/>
  <c r="O99"/>
  <c r="P99"/>
  <c r="Q99"/>
  <c r="R99"/>
  <c r="S99"/>
  <c r="N143"/>
  <c r="O143"/>
  <c r="P143"/>
  <c r="Q143"/>
  <c r="R143"/>
  <c r="S143"/>
  <c r="N152"/>
  <c r="O152"/>
  <c r="P152"/>
  <c r="Q152"/>
  <c r="R152"/>
  <c r="S152"/>
  <c r="N75"/>
  <c r="O75"/>
  <c r="P75"/>
  <c r="Q75"/>
  <c r="R75"/>
  <c r="S75"/>
  <c r="N14"/>
  <c r="O14"/>
  <c r="P14"/>
  <c r="Q14"/>
  <c r="R14"/>
  <c r="S14"/>
  <c r="N73"/>
  <c r="O73"/>
  <c r="P73"/>
  <c r="Q73"/>
  <c r="R73"/>
  <c r="S73"/>
  <c r="N111"/>
  <c r="O111"/>
  <c r="P111"/>
  <c r="Q111"/>
  <c r="R111"/>
  <c r="S111"/>
  <c r="N39"/>
  <c r="O39"/>
  <c r="P39"/>
  <c r="Q39"/>
  <c r="R39"/>
  <c r="S39"/>
  <c r="N106"/>
  <c r="O106"/>
  <c r="P106"/>
  <c r="Q106"/>
  <c r="R106"/>
  <c r="S106"/>
  <c r="N67"/>
  <c r="O67"/>
  <c r="P67"/>
  <c r="Q67"/>
  <c r="R67"/>
  <c r="S67"/>
  <c r="N7"/>
  <c r="O7"/>
  <c r="P7"/>
  <c r="Q7"/>
  <c r="R7"/>
  <c r="S7"/>
  <c r="N66"/>
  <c r="O66"/>
  <c r="P66"/>
  <c r="Q66"/>
  <c r="R66"/>
  <c r="S66"/>
  <c r="N100"/>
  <c r="O100"/>
  <c r="P100"/>
  <c r="Q100"/>
  <c r="R100"/>
  <c r="S100"/>
  <c r="N38"/>
  <c r="O38"/>
  <c r="P38"/>
  <c r="Q38"/>
  <c r="R38"/>
  <c r="S38"/>
  <c r="N108"/>
  <c r="O108"/>
  <c r="P108"/>
  <c r="Q108"/>
  <c r="R108"/>
  <c r="S108"/>
  <c r="N74"/>
  <c r="O74"/>
  <c r="P74"/>
  <c r="Q74"/>
  <c r="R74"/>
  <c r="S74"/>
  <c r="N9"/>
  <c r="O9"/>
  <c r="P9"/>
  <c r="Q9"/>
  <c r="R9"/>
  <c r="S9"/>
  <c r="N81"/>
  <c r="O81"/>
  <c r="P81"/>
  <c r="Q81"/>
  <c r="R81"/>
  <c r="S81"/>
  <c r="N112"/>
  <c r="O112"/>
  <c r="P112"/>
  <c r="Q112"/>
  <c r="R112"/>
  <c r="S112"/>
  <c r="N53"/>
  <c r="O53"/>
  <c r="P53"/>
  <c r="Q53"/>
  <c r="R53"/>
  <c r="S53"/>
  <c r="N126"/>
  <c r="O126"/>
  <c r="P126"/>
  <c r="Q126"/>
  <c r="R126"/>
  <c r="S126"/>
  <c r="N68"/>
  <c r="O68"/>
  <c r="P68"/>
  <c r="Q68"/>
  <c r="R68"/>
  <c r="S68"/>
  <c r="N3"/>
  <c r="O3"/>
  <c r="P3"/>
  <c r="Q3"/>
  <c r="R3"/>
  <c r="S3"/>
  <c r="N80"/>
  <c r="O80"/>
  <c r="P80"/>
  <c r="Q80"/>
  <c r="R80"/>
  <c r="S80"/>
  <c r="N101"/>
  <c r="O101"/>
  <c r="P101"/>
  <c r="Q101"/>
  <c r="R101"/>
  <c r="S101"/>
  <c r="N54"/>
  <c r="O54"/>
  <c r="P54"/>
  <c r="Q54"/>
  <c r="R54"/>
  <c r="S54"/>
  <c r="N128"/>
  <c r="O128"/>
  <c r="P128"/>
  <c r="Q128"/>
  <c r="R128"/>
  <c r="S128"/>
  <c r="O154"/>
  <c r="P154"/>
  <c r="Q154"/>
  <c r="R154"/>
  <c r="S154"/>
  <c r="H15"/>
  <c r="I15"/>
  <c r="J15"/>
  <c r="K15"/>
  <c r="L15"/>
  <c r="M15"/>
  <c r="H155"/>
  <c r="I155"/>
  <c r="J155"/>
  <c r="K155"/>
  <c r="L155"/>
  <c r="M155"/>
  <c r="H156"/>
  <c r="I156"/>
  <c r="J156"/>
  <c r="K156"/>
  <c r="L156"/>
  <c r="M156"/>
  <c r="H157"/>
  <c r="I157"/>
  <c r="J157"/>
  <c r="K157"/>
  <c r="L157"/>
  <c r="M157"/>
  <c r="H32"/>
  <c r="I32"/>
  <c r="J32"/>
  <c r="K32"/>
  <c r="L32"/>
  <c r="M32"/>
  <c r="H158"/>
  <c r="I158"/>
  <c r="J158"/>
  <c r="K158"/>
  <c r="L158"/>
  <c r="M158"/>
  <c r="H13"/>
  <c r="I13"/>
  <c r="J13"/>
  <c r="K13"/>
  <c r="L13"/>
  <c r="M13"/>
  <c r="H159"/>
  <c r="I159"/>
  <c r="J159"/>
  <c r="K159"/>
  <c r="L159"/>
  <c r="M159"/>
  <c r="H153"/>
  <c r="I153"/>
  <c r="J153"/>
  <c r="K153"/>
  <c r="L153"/>
  <c r="M153"/>
  <c r="H160"/>
  <c r="I160"/>
  <c r="J160"/>
  <c r="K160"/>
  <c r="L160"/>
  <c r="M160"/>
  <c r="H43"/>
  <c r="I43"/>
  <c r="J43"/>
  <c r="K43"/>
  <c r="L43"/>
  <c r="M43"/>
  <c r="H117"/>
  <c r="I117"/>
  <c r="J117"/>
  <c r="K117"/>
  <c r="L117"/>
  <c r="M117"/>
  <c r="H44"/>
  <c r="I44"/>
  <c r="J44"/>
  <c r="K44"/>
  <c r="L44"/>
  <c r="M44"/>
  <c r="H57"/>
  <c r="I57"/>
  <c r="J57"/>
  <c r="K57"/>
  <c r="L57"/>
  <c r="M57"/>
  <c r="H161"/>
  <c r="I161"/>
  <c r="J161"/>
  <c r="K161"/>
  <c r="L161"/>
  <c r="M161"/>
  <c r="H21"/>
  <c r="I21"/>
  <c r="J21"/>
  <c r="K21"/>
  <c r="L21"/>
  <c r="M21"/>
  <c r="H162"/>
  <c r="I162"/>
  <c r="J162"/>
  <c r="K162"/>
  <c r="L162"/>
  <c r="M162"/>
  <c r="H163"/>
  <c r="I163"/>
  <c r="J163"/>
  <c r="K163"/>
  <c r="L163"/>
  <c r="M163"/>
  <c r="H164"/>
  <c r="I164"/>
  <c r="J164"/>
  <c r="K164"/>
  <c r="L164"/>
  <c r="M164"/>
  <c r="H35"/>
  <c r="I35"/>
  <c r="J35"/>
  <c r="K35"/>
  <c r="L35"/>
  <c r="M35"/>
  <c r="H165"/>
  <c r="I165"/>
  <c r="J165"/>
  <c r="K165"/>
  <c r="L165"/>
  <c r="M165"/>
  <c r="H22"/>
  <c r="I22"/>
  <c r="J22"/>
  <c r="K22"/>
  <c r="L22"/>
  <c r="M22"/>
  <c r="H166"/>
  <c r="I166"/>
  <c r="J166"/>
  <c r="K166"/>
  <c r="L166"/>
  <c r="M166"/>
  <c r="H167"/>
  <c r="I167"/>
  <c r="J167"/>
  <c r="K167"/>
  <c r="L167"/>
  <c r="M167"/>
  <c r="H168"/>
  <c r="I168"/>
  <c r="J168"/>
  <c r="K168"/>
  <c r="L168"/>
  <c r="M168"/>
  <c r="H48"/>
  <c r="I48"/>
  <c r="J48"/>
  <c r="K48"/>
  <c r="L48"/>
  <c r="M48"/>
  <c r="H169"/>
  <c r="I169"/>
  <c r="J169"/>
  <c r="K169"/>
  <c r="L169"/>
  <c r="M169"/>
  <c r="H23"/>
  <c r="I23"/>
  <c r="J23"/>
  <c r="K23"/>
  <c r="L23"/>
  <c r="M23"/>
  <c r="H170"/>
  <c r="I170"/>
  <c r="J170"/>
  <c r="K170"/>
  <c r="L170"/>
  <c r="M170"/>
  <c r="H171"/>
  <c r="I171"/>
  <c r="J171"/>
  <c r="K171"/>
  <c r="L171"/>
  <c r="M171"/>
  <c r="H172"/>
  <c r="I172"/>
  <c r="J172"/>
  <c r="K172"/>
  <c r="L172"/>
  <c r="M172"/>
  <c r="H121"/>
  <c r="I121"/>
  <c r="J121"/>
  <c r="K121"/>
  <c r="L121"/>
  <c r="M121"/>
  <c r="H173"/>
  <c r="I173"/>
  <c r="J173"/>
  <c r="K173"/>
  <c r="L173"/>
  <c r="M173"/>
  <c r="H29"/>
  <c r="I29"/>
  <c r="J29"/>
  <c r="K29"/>
  <c r="L29"/>
  <c r="M29"/>
  <c r="H174"/>
  <c r="I174"/>
  <c r="J174"/>
  <c r="K174"/>
  <c r="L174"/>
  <c r="M174"/>
  <c r="H148"/>
  <c r="I148"/>
  <c r="J148"/>
  <c r="K148"/>
  <c r="L148"/>
  <c r="M148"/>
  <c r="H175"/>
  <c r="I175"/>
  <c r="J175"/>
  <c r="K175"/>
  <c r="L175"/>
  <c r="M175"/>
  <c r="H120"/>
  <c r="I120"/>
  <c r="J120"/>
  <c r="K120"/>
  <c r="L120"/>
  <c r="M120"/>
  <c r="H12"/>
  <c r="I12"/>
  <c r="J12"/>
  <c r="K12"/>
  <c r="L12"/>
  <c r="M12"/>
  <c r="H78"/>
  <c r="I78"/>
  <c r="J78"/>
  <c r="K78"/>
  <c r="L78"/>
  <c r="M78"/>
  <c r="H34"/>
  <c r="I34"/>
  <c r="J34"/>
  <c r="K34"/>
  <c r="L34"/>
  <c r="M34"/>
  <c r="H109"/>
  <c r="I109"/>
  <c r="J109"/>
  <c r="K109"/>
  <c r="L109"/>
  <c r="M109"/>
  <c r="H2"/>
  <c r="I2"/>
  <c r="J2"/>
  <c r="K2"/>
  <c r="L2"/>
  <c r="M2"/>
  <c r="H86"/>
  <c r="I86"/>
  <c r="J86"/>
  <c r="K86"/>
  <c r="L86"/>
  <c r="M86"/>
  <c r="H50"/>
  <c r="I50"/>
  <c r="J50"/>
  <c r="K50"/>
  <c r="L50"/>
  <c r="M50"/>
  <c r="H129"/>
  <c r="I129"/>
  <c r="J129"/>
  <c r="K129"/>
  <c r="L129"/>
  <c r="M129"/>
  <c r="H8"/>
  <c r="I8"/>
  <c r="J8"/>
  <c r="K8"/>
  <c r="L8"/>
  <c r="M8"/>
  <c r="H96"/>
  <c r="I96"/>
  <c r="J96"/>
  <c r="K96"/>
  <c r="L96"/>
  <c r="M96"/>
  <c r="H45"/>
  <c r="I45"/>
  <c r="J45"/>
  <c r="K45"/>
  <c r="L45"/>
  <c r="M45"/>
  <c r="H114"/>
  <c r="I114"/>
  <c r="J114"/>
  <c r="K114"/>
  <c r="L114"/>
  <c r="M114"/>
  <c r="H5"/>
  <c r="I5"/>
  <c r="J5"/>
  <c r="K5"/>
  <c r="L5"/>
  <c r="M5"/>
  <c r="H134"/>
  <c r="I134"/>
  <c r="J134"/>
  <c r="K134"/>
  <c r="L134"/>
  <c r="M134"/>
  <c r="H113"/>
  <c r="I113"/>
  <c r="J113"/>
  <c r="K113"/>
  <c r="L113"/>
  <c r="M113"/>
  <c r="H144"/>
  <c r="I144"/>
  <c r="J144"/>
  <c r="K144"/>
  <c r="L144"/>
  <c r="M144"/>
  <c r="H36"/>
  <c r="I36"/>
  <c r="J36"/>
  <c r="K36"/>
  <c r="L36"/>
  <c r="M36"/>
  <c r="H131"/>
  <c r="I131"/>
  <c r="J131"/>
  <c r="K131"/>
  <c r="L131"/>
  <c r="M131"/>
  <c r="H125"/>
  <c r="I125"/>
  <c r="J125"/>
  <c r="K125"/>
  <c r="L125"/>
  <c r="M125"/>
  <c r="H150"/>
  <c r="I150"/>
  <c r="J150"/>
  <c r="K150"/>
  <c r="L150"/>
  <c r="M150"/>
  <c r="H31"/>
  <c r="I31"/>
  <c r="J31"/>
  <c r="K31"/>
  <c r="L31"/>
  <c r="M31"/>
  <c r="H133"/>
  <c r="I133"/>
  <c r="J133"/>
  <c r="K133"/>
  <c r="L133"/>
  <c r="M133"/>
  <c r="H123"/>
  <c r="I123"/>
  <c r="J123"/>
  <c r="K123"/>
  <c r="L123"/>
  <c r="M123"/>
  <c r="H149"/>
  <c r="I149"/>
  <c r="J149"/>
  <c r="K149"/>
  <c r="L149"/>
  <c r="M149"/>
  <c r="H27"/>
  <c r="I27"/>
  <c r="J27"/>
  <c r="K27"/>
  <c r="L27"/>
  <c r="M27"/>
  <c r="H138"/>
  <c r="I138"/>
  <c r="J138"/>
  <c r="K138"/>
  <c r="L138"/>
  <c r="M138"/>
  <c r="H130"/>
  <c r="I130"/>
  <c r="J130"/>
  <c r="K130"/>
  <c r="L130"/>
  <c r="M130"/>
  <c r="H145"/>
  <c r="I145"/>
  <c r="J145"/>
  <c r="K145"/>
  <c r="L145"/>
  <c r="M145"/>
  <c r="H33"/>
  <c r="I33"/>
  <c r="J33"/>
  <c r="K33"/>
  <c r="L33"/>
  <c r="M33"/>
  <c r="H136"/>
  <c r="I136"/>
  <c r="J136"/>
  <c r="K136"/>
  <c r="L136"/>
  <c r="M136"/>
  <c r="H118"/>
  <c r="I118"/>
  <c r="J118"/>
  <c r="K118"/>
  <c r="L118"/>
  <c r="M118"/>
  <c r="H147"/>
  <c r="I147"/>
  <c r="J147"/>
  <c r="K147"/>
  <c r="L147"/>
  <c r="M147"/>
  <c r="H176"/>
  <c r="I176"/>
  <c r="J176"/>
  <c r="K176"/>
  <c r="L176"/>
  <c r="M176"/>
  <c r="H177"/>
  <c r="I177"/>
  <c r="J177"/>
  <c r="K177"/>
  <c r="L177"/>
  <c r="M177"/>
  <c r="H61"/>
  <c r="I61"/>
  <c r="J61"/>
  <c r="K61"/>
  <c r="L61"/>
  <c r="M61"/>
  <c r="H92"/>
  <c r="I92"/>
  <c r="J92"/>
  <c r="K92"/>
  <c r="L92"/>
  <c r="M92"/>
  <c r="H178"/>
  <c r="I178"/>
  <c r="J178"/>
  <c r="K178"/>
  <c r="L178"/>
  <c r="M178"/>
  <c r="H179"/>
  <c r="I179"/>
  <c r="J179"/>
  <c r="K179"/>
  <c r="L179"/>
  <c r="M179"/>
  <c r="H65"/>
  <c r="I65"/>
  <c r="J65"/>
  <c r="K65"/>
  <c r="L65"/>
  <c r="M65"/>
  <c r="H94"/>
  <c r="I94"/>
  <c r="J94"/>
  <c r="K94"/>
  <c r="L94"/>
  <c r="M94"/>
  <c r="H180"/>
  <c r="I180"/>
  <c r="J180"/>
  <c r="K180"/>
  <c r="L180"/>
  <c r="M180"/>
  <c r="H181"/>
  <c r="I181"/>
  <c r="J181"/>
  <c r="K181"/>
  <c r="L181"/>
  <c r="M181"/>
  <c r="H95"/>
  <c r="I95"/>
  <c r="J95"/>
  <c r="K95"/>
  <c r="L95"/>
  <c r="M95"/>
  <c r="H90"/>
  <c r="I90"/>
  <c r="J90"/>
  <c r="K90"/>
  <c r="L90"/>
  <c r="M90"/>
  <c r="H182"/>
  <c r="I182"/>
  <c r="J182"/>
  <c r="K182"/>
  <c r="L182"/>
  <c r="M182"/>
  <c r="H183"/>
  <c r="I183"/>
  <c r="J183"/>
  <c r="K183"/>
  <c r="L183"/>
  <c r="M183"/>
  <c r="H89"/>
  <c r="I89"/>
  <c r="J89"/>
  <c r="K89"/>
  <c r="L89"/>
  <c r="M89"/>
  <c r="H84"/>
  <c r="I84"/>
  <c r="J84"/>
  <c r="K84"/>
  <c r="L84"/>
  <c r="M84"/>
  <c r="H184"/>
  <c r="I184"/>
  <c r="J184"/>
  <c r="K184"/>
  <c r="L184"/>
  <c r="M184"/>
  <c r="H185"/>
  <c r="I185"/>
  <c r="J185"/>
  <c r="K185"/>
  <c r="L185"/>
  <c r="M185"/>
  <c r="H83"/>
  <c r="I83"/>
  <c r="J83"/>
  <c r="K83"/>
  <c r="L83"/>
  <c r="M83"/>
  <c r="H87"/>
  <c r="I87"/>
  <c r="J87"/>
  <c r="K87"/>
  <c r="L87"/>
  <c r="M87"/>
  <c r="H186"/>
  <c r="I186"/>
  <c r="J186"/>
  <c r="K186"/>
  <c r="L186"/>
  <c r="M186"/>
  <c r="H187"/>
  <c r="I187"/>
  <c r="J187"/>
  <c r="K187"/>
  <c r="L187"/>
  <c r="M187"/>
  <c r="H103"/>
  <c r="I103"/>
  <c r="J103"/>
  <c r="K103"/>
  <c r="L103"/>
  <c r="M103"/>
  <c r="H97"/>
  <c r="I97"/>
  <c r="J97"/>
  <c r="K97"/>
  <c r="L97"/>
  <c r="M97"/>
  <c r="H188"/>
  <c r="I188"/>
  <c r="J188"/>
  <c r="K188"/>
  <c r="L188"/>
  <c r="M188"/>
  <c r="H189"/>
  <c r="I189"/>
  <c r="J189"/>
  <c r="K189"/>
  <c r="L189"/>
  <c r="M189"/>
  <c r="H104"/>
  <c r="I104"/>
  <c r="J104"/>
  <c r="K104"/>
  <c r="L104"/>
  <c r="M104"/>
  <c r="H77"/>
  <c r="I77"/>
  <c r="J77"/>
  <c r="K77"/>
  <c r="L77"/>
  <c r="M77"/>
  <c r="H190"/>
  <c r="I190"/>
  <c r="J190"/>
  <c r="K190"/>
  <c r="L190"/>
  <c r="M190"/>
  <c r="H191"/>
  <c r="I191"/>
  <c r="J191"/>
  <c r="K191"/>
  <c r="L191"/>
  <c r="M191"/>
  <c r="H85"/>
  <c r="I85"/>
  <c r="J85"/>
  <c r="K85"/>
  <c r="L85"/>
  <c r="M85"/>
  <c r="H93"/>
  <c r="I93"/>
  <c r="J93"/>
  <c r="K93"/>
  <c r="L93"/>
  <c r="M93"/>
  <c r="H192"/>
  <c r="I192"/>
  <c r="J192"/>
  <c r="K192"/>
  <c r="L192"/>
  <c r="M192"/>
  <c r="H193"/>
  <c r="I193"/>
  <c r="J193"/>
  <c r="K193"/>
  <c r="L193"/>
  <c r="M193"/>
  <c r="H69"/>
  <c r="I69"/>
  <c r="J69"/>
  <c r="K69"/>
  <c r="L69"/>
  <c r="M69"/>
  <c r="H107"/>
  <c r="I107"/>
  <c r="J107"/>
  <c r="K107"/>
  <c r="L107"/>
  <c r="M107"/>
  <c r="H139"/>
  <c r="I139"/>
  <c r="J139"/>
  <c r="K139"/>
  <c r="L139"/>
  <c r="M139"/>
  <c r="H41"/>
  <c r="I41"/>
  <c r="J41"/>
  <c r="K41"/>
  <c r="L41"/>
  <c r="M41"/>
  <c r="H137"/>
  <c r="I137"/>
  <c r="J137"/>
  <c r="K137"/>
  <c r="L137"/>
  <c r="M137"/>
  <c r="H110"/>
  <c r="I110"/>
  <c r="J110"/>
  <c r="K110"/>
  <c r="L110"/>
  <c r="M110"/>
  <c r="H140"/>
  <c r="I140"/>
  <c r="J140"/>
  <c r="K140"/>
  <c r="L140"/>
  <c r="M140"/>
  <c r="H151"/>
  <c r="I151"/>
  <c r="J151"/>
  <c r="K151"/>
  <c r="L151"/>
  <c r="M151"/>
  <c r="H142"/>
  <c r="I142"/>
  <c r="J142"/>
  <c r="K142"/>
  <c r="L142"/>
  <c r="M142"/>
  <c r="H24"/>
  <c r="I24"/>
  <c r="J24"/>
  <c r="K24"/>
  <c r="L24"/>
  <c r="M24"/>
  <c r="H135"/>
  <c r="I135"/>
  <c r="J135"/>
  <c r="K135"/>
  <c r="L135"/>
  <c r="M135"/>
  <c r="H99"/>
  <c r="I99"/>
  <c r="J99"/>
  <c r="K99"/>
  <c r="L99"/>
  <c r="M99"/>
  <c r="H143"/>
  <c r="I143"/>
  <c r="J143"/>
  <c r="K143"/>
  <c r="L143"/>
  <c r="M143"/>
  <c r="H152"/>
  <c r="I152"/>
  <c r="J152"/>
  <c r="K152"/>
  <c r="L152"/>
  <c r="M152"/>
  <c r="H75"/>
  <c r="I75"/>
  <c r="J75"/>
  <c r="K75"/>
  <c r="L75"/>
  <c r="M75"/>
  <c r="H14"/>
  <c r="I14"/>
  <c r="J14"/>
  <c r="K14"/>
  <c r="L14"/>
  <c r="M14"/>
  <c r="H73"/>
  <c r="I73"/>
  <c r="J73"/>
  <c r="K73"/>
  <c r="L73"/>
  <c r="M73"/>
  <c r="H111"/>
  <c r="I111"/>
  <c r="J111"/>
  <c r="K111"/>
  <c r="L111"/>
  <c r="M111"/>
  <c r="H39"/>
  <c r="I39"/>
  <c r="J39"/>
  <c r="K39"/>
  <c r="L39"/>
  <c r="M39"/>
  <c r="H106"/>
  <c r="I106"/>
  <c r="J106"/>
  <c r="K106"/>
  <c r="L106"/>
  <c r="M106"/>
  <c r="H67"/>
  <c r="I67"/>
  <c r="J67"/>
  <c r="K67"/>
  <c r="L67"/>
  <c r="M67"/>
  <c r="H7"/>
  <c r="I7"/>
  <c r="J7"/>
  <c r="K7"/>
  <c r="L7"/>
  <c r="M7"/>
  <c r="H66"/>
  <c r="I66"/>
  <c r="J66"/>
  <c r="K66"/>
  <c r="L66"/>
  <c r="M66"/>
  <c r="H100"/>
  <c r="I100"/>
  <c r="J100"/>
  <c r="K100"/>
  <c r="L100"/>
  <c r="M100"/>
  <c r="H38"/>
  <c r="I38"/>
  <c r="J38"/>
  <c r="K38"/>
  <c r="L38"/>
  <c r="M38"/>
  <c r="H108"/>
  <c r="I108"/>
  <c r="J108"/>
  <c r="K108"/>
  <c r="L108"/>
  <c r="M108"/>
  <c r="H74"/>
  <c r="I74"/>
  <c r="J74"/>
  <c r="K74"/>
  <c r="L74"/>
  <c r="M74"/>
  <c r="H9"/>
  <c r="I9"/>
  <c r="J9"/>
  <c r="K9"/>
  <c r="L9"/>
  <c r="M9"/>
  <c r="H81"/>
  <c r="I81"/>
  <c r="J81"/>
  <c r="K81"/>
  <c r="L81"/>
  <c r="M81"/>
  <c r="H112"/>
  <c r="I112"/>
  <c r="J112"/>
  <c r="K112"/>
  <c r="L112"/>
  <c r="M112"/>
  <c r="H53"/>
  <c r="I53"/>
  <c r="J53"/>
  <c r="K53"/>
  <c r="L53"/>
  <c r="M53"/>
  <c r="H126"/>
  <c r="I126"/>
  <c r="J126"/>
  <c r="K126"/>
  <c r="L126"/>
  <c r="M126"/>
  <c r="H68"/>
  <c r="I68"/>
  <c r="J68"/>
  <c r="K68"/>
  <c r="L68"/>
  <c r="M68"/>
  <c r="H3"/>
  <c r="I3"/>
  <c r="J3"/>
  <c r="K3"/>
  <c r="L3"/>
  <c r="M3"/>
  <c r="H80"/>
  <c r="I80"/>
  <c r="J80"/>
  <c r="K80"/>
  <c r="L80"/>
  <c r="M80"/>
  <c r="H101"/>
  <c r="I101"/>
  <c r="J101"/>
  <c r="K101"/>
  <c r="L101"/>
  <c r="M101"/>
  <c r="H54"/>
  <c r="I54"/>
  <c r="J54"/>
  <c r="K54"/>
  <c r="L54"/>
  <c r="M54"/>
  <c r="H128"/>
  <c r="I128"/>
  <c r="J128"/>
  <c r="K128"/>
  <c r="L128"/>
  <c r="M128"/>
  <c r="I154"/>
  <c r="J154"/>
  <c r="K154"/>
  <c r="L154"/>
  <c r="M154"/>
  <c r="N149" i="2"/>
  <c r="O149"/>
  <c r="P149"/>
  <c r="Q149"/>
  <c r="R149"/>
  <c r="S149"/>
  <c r="N155"/>
  <c r="O155"/>
  <c r="P155"/>
  <c r="Q155"/>
  <c r="R155"/>
  <c r="S155"/>
  <c r="N156"/>
  <c r="O156"/>
  <c r="P156"/>
  <c r="Q156"/>
  <c r="R156"/>
  <c r="S156"/>
  <c r="N157"/>
  <c r="O157"/>
  <c r="P157"/>
  <c r="Q157"/>
  <c r="R157"/>
  <c r="S157"/>
  <c r="N83"/>
  <c r="O83"/>
  <c r="P83"/>
  <c r="Q83"/>
  <c r="R83"/>
  <c r="S83"/>
  <c r="N158"/>
  <c r="O158"/>
  <c r="P158"/>
  <c r="Q158"/>
  <c r="R158"/>
  <c r="S158"/>
  <c r="N147"/>
  <c r="O147"/>
  <c r="P147"/>
  <c r="Q147"/>
  <c r="R147"/>
  <c r="S147"/>
  <c r="N159"/>
  <c r="O159"/>
  <c r="P159"/>
  <c r="Q159"/>
  <c r="R159"/>
  <c r="S159"/>
  <c r="N153"/>
  <c r="O153"/>
  <c r="P153"/>
  <c r="Q153"/>
  <c r="R153"/>
  <c r="S153"/>
  <c r="N160"/>
  <c r="O160"/>
  <c r="P160"/>
  <c r="Q160"/>
  <c r="R160"/>
  <c r="S160"/>
  <c r="N84"/>
  <c r="O84"/>
  <c r="P84"/>
  <c r="Q84"/>
  <c r="R84"/>
  <c r="S84"/>
  <c r="N8"/>
  <c r="O8"/>
  <c r="P8"/>
  <c r="Q8"/>
  <c r="R8"/>
  <c r="S8"/>
  <c r="N85"/>
  <c r="O85"/>
  <c r="P85"/>
  <c r="Q85"/>
  <c r="R85"/>
  <c r="S85"/>
  <c r="N94"/>
  <c r="O94"/>
  <c r="P94"/>
  <c r="Q94"/>
  <c r="R94"/>
  <c r="S94"/>
  <c r="N161"/>
  <c r="O161"/>
  <c r="P161"/>
  <c r="Q161"/>
  <c r="R161"/>
  <c r="S161"/>
  <c r="N137"/>
  <c r="O137"/>
  <c r="P137"/>
  <c r="Q137"/>
  <c r="R137"/>
  <c r="S137"/>
  <c r="N162"/>
  <c r="O162"/>
  <c r="P162"/>
  <c r="Q162"/>
  <c r="R162"/>
  <c r="S162"/>
  <c r="N163"/>
  <c r="O163"/>
  <c r="P163"/>
  <c r="Q163"/>
  <c r="R163"/>
  <c r="S163"/>
  <c r="N164"/>
  <c r="O164"/>
  <c r="P164"/>
  <c r="Q164"/>
  <c r="R164"/>
  <c r="S164"/>
  <c r="N81"/>
  <c r="O81"/>
  <c r="P81"/>
  <c r="Q81"/>
  <c r="R81"/>
  <c r="S81"/>
  <c r="N165"/>
  <c r="O165"/>
  <c r="P165"/>
  <c r="Q165"/>
  <c r="R165"/>
  <c r="S165"/>
  <c r="N133"/>
  <c r="O133"/>
  <c r="P133"/>
  <c r="Q133"/>
  <c r="R133"/>
  <c r="S133"/>
  <c r="N166"/>
  <c r="O166"/>
  <c r="P166"/>
  <c r="Q166"/>
  <c r="R166"/>
  <c r="S166"/>
  <c r="N167"/>
  <c r="O167"/>
  <c r="P167"/>
  <c r="Q167"/>
  <c r="R167"/>
  <c r="S167"/>
  <c r="N168"/>
  <c r="O168"/>
  <c r="P168"/>
  <c r="Q168"/>
  <c r="R168"/>
  <c r="S168"/>
  <c r="N89"/>
  <c r="O89"/>
  <c r="P89"/>
  <c r="Q89"/>
  <c r="R89"/>
  <c r="S89"/>
  <c r="N169"/>
  <c r="O169"/>
  <c r="P169"/>
  <c r="Q169"/>
  <c r="R169"/>
  <c r="S169"/>
  <c r="N114"/>
  <c r="O114"/>
  <c r="P114"/>
  <c r="Q114"/>
  <c r="R114"/>
  <c r="S114"/>
  <c r="N170"/>
  <c r="O170"/>
  <c r="P170"/>
  <c r="Q170"/>
  <c r="R170"/>
  <c r="S170"/>
  <c r="N171"/>
  <c r="O171"/>
  <c r="P171"/>
  <c r="Q171"/>
  <c r="R171"/>
  <c r="S171"/>
  <c r="N172"/>
  <c r="O172"/>
  <c r="P172"/>
  <c r="Q172"/>
  <c r="R172"/>
  <c r="S172"/>
  <c r="N127"/>
  <c r="O127"/>
  <c r="P127"/>
  <c r="Q127"/>
  <c r="R127"/>
  <c r="S127"/>
  <c r="N173"/>
  <c r="O173"/>
  <c r="P173"/>
  <c r="Q173"/>
  <c r="R173"/>
  <c r="S173"/>
  <c r="N104"/>
  <c r="O104"/>
  <c r="P104"/>
  <c r="Q104"/>
  <c r="R104"/>
  <c r="S104"/>
  <c r="N174"/>
  <c r="O174"/>
  <c r="P174"/>
  <c r="Q174"/>
  <c r="R174"/>
  <c r="S174"/>
  <c r="N152"/>
  <c r="O152"/>
  <c r="P152"/>
  <c r="Q152"/>
  <c r="R152"/>
  <c r="S152"/>
  <c r="N175"/>
  <c r="O175"/>
  <c r="P175"/>
  <c r="Q175"/>
  <c r="R175"/>
  <c r="S175"/>
  <c r="N121"/>
  <c r="O121"/>
  <c r="P121"/>
  <c r="Q121"/>
  <c r="R121"/>
  <c r="S121"/>
  <c r="N145"/>
  <c r="O145"/>
  <c r="P145"/>
  <c r="Q145"/>
  <c r="R145"/>
  <c r="S145"/>
  <c r="N58"/>
  <c r="O58"/>
  <c r="P58"/>
  <c r="Q58"/>
  <c r="R58"/>
  <c r="S58"/>
  <c r="N87"/>
  <c r="O87"/>
  <c r="P87"/>
  <c r="Q87"/>
  <c r="R87"/>
  <c r="S87"/>
  <c r="N2"/>
  <c r="O2"/>
  <c r="P2"/>
  <c r="Q2"/>
  <c r="R2"/>
  <c r="S2"/>
  <c r="N115"/>
  <c r="O115"/>
  <c r="P115"/>
  <c r="Q115"/>
  <c r="R115"/>
  <c r="S115"/>
  <c r="N34"/>
  <c r="O34"/>
  <c r="P34"/>
  <c r="Q34"/>
  <c r="R34"/>
  <c r="S34"/>
  <c r="N99"/>
  <c r="O99"/>
  <c r="P99"/>
  <c r="Q99"/>
  <c r="R99"/>
  <c r="S99"/>
  <c r="N7"/>
  <c r="O7"/>
  <c r="P7"/>
  <c r="Q7"/>
  <c r="R7"/>
  <c r="S7"/>
  <c r="N118"/>
  <c r="O118"/>
  <c r="P118"/>
  <c r="Q118"/>
  <c r="R118"/>
  <c r="S118"/>
  <c r="N42"/>
  <c r="O42"/>
  <c r="P42"/>
  <c r="Q42"/>
  <c r="R42"/>
  <c r="S42"/>
  <c r="N95"/>
  <c r="O95"/>
  <c r="P95"/>
  <c r="Q95"/>
  <c r="R95"/>
  <c r="S95"/>
  <c r="N3"/>
  <c r="O3"/>
  <c r="P3"/>
  <c r="Q3"/>
  <c r="R3"/>
  <c r="S3"/>
  <c r="N119"/>
  <c r="O119"/>
  <c r="P119"/>
  <c r="Q119"/>
  <c r="R119"/>
  <c r="S119"/>
  <c r="N41"/>
  <c r="O41"/>
  <c r="P41"/>
  <c r="Q41"/>
  <c r="R41"/>
  <c r="S41"/>
  <c r="N110"/>
  <c r="O110"/>
  <c r="P110"/>
  <c r="Q110"/>
  <c r="R110"/>
  <c r="S110"/>
  <c r="N27"/>
  <c r="O27"/>
  <c r="P27"/>
  <c r="Q27"/>
  <c r="R27"/>
  <c r="S27"/>
  <c r="N113"/>
  <c r="O113"/>
  <c r="P113"/>
  <c r="Q113"/>
  <c r="R113"/>
  <c r="S113"/>
  <c r="N43"/>
  <c r="O43"/>
  <c r="P43"/>
  <c r="Q43"/>
  <c r="R43"/>
  <c r="S43"/>
  <c r="N130"/>
  <c r="O130"/>
  <c r="P130"/>
  <c r="Q130"/>
  <c r="R130"/>
  <c r="S130"/>
  <c r="N33"/>
  <c r="O33"/>
  <c r="P33"/>
  <c r="Q33"/>
  <c r="R33"/>
  <c r="S33"/>
  <c r="N112"/>
  <c r="O112"/>
  <c r="P112"/>
  <c r="Q112"/>
  <c r="R112"/>
  <c r="S112"/>
  <c r="N46"/>
  <c r="O46"/>
  <c r="P46"/>
  <c r="Q46"/>
  <c r="R46"/>
  <c r="S46"/>
  <c r="N126"/>
  <c r="O126"/>
  <c r="P126"/>
  <c r="Q126"/>
  <c r="R126"/>
  <c r="S126"/>
  <c r="N31"/>
  <c r="O31"/>
  <c r="P31"/>
  <c r="Q31"/>
  <c r="R31"/>
  <c r="S31"/>
  <c r="N123"/>
  <c r="O123"/>
  <c r="P123"/>
  <c r="Q123"/>
  <c r="R123"/>
  <c r="S123"/>
  <c r="N60"/>
  <c r="O60"/>
  <c r="P60"/>
  <c r="Q60"/>
  <c r="R60"/>
  <c r="S60"/>
  <c r="N139"/>
  <c r="O139"/>
  <c r="P139"/>
  <c r="Q139"/>
  <c r="R139"/>
  <c r="S139"/>
  <c r="N37"/>
  <c r="O37"/>
  <c r="P37"/>
  <c r="Q37"/>
  <c r="R37"/>
  <c r="S37"/>
  <c r="N103"/>
  <c r="O103"/>
  <c r="P103"/>
  <c r="Q103"/>
  <c r="R103"/>
  <c r="S103"/>
  <c r="N29"/>
  <c r="O29"/>
  <c r="P29"/>
  <c r="Q29"/>
  <c r="R29"/>
  <c r="S29"/>
  <c r="N116"/>
  <c r="O116"/>
  <c r="P116"/>
  <c r="Q116"/>
  <c r="R116"/>
  <c r="S116"/>
  <c r="N25"/>
  <c r="O25"/>
  <c r="P25"/>
  <c r="Q25"/>
  <c r="R25"/>
  <c r="S25"/>
  <c r="N176"/>
  <c r="O176"/>
  <c r="P176"/>
  <c r="Q176"/>
  <c r="R176"/>
  <c r="S176"/>
  <c r="N177"/>
  <c r="O177"/>
  <c r="P177"/>
  <c r="Q177"/>
  <c r="R177"/>
  <c r="S177"/>
  <c r="N18"/>
  <c r="O18"/>
  <c r="P18"/>
  <c r="Q18"/>
  <c r="R18"/>
  <c r="S18"/>
  <c r="N86"/>
  <c r="O86"/>
  <c r="P86"/>
  <c r="Q86"/>
  <c r="R86"/>
  <c r="S86"/>
  <c r="N178"/>
  <c r="O178"/>
  <c r="P178"/>
  <c r="Q178"/>
  <c r="R178"/>
  <c r="S178"/>
  <c r="N179"/>
  <c r="O179"/>
  <c r="P179"/>
  <c r="Q179"/>
  <c r="R179"/>
  <c r="S179"/>
  <c r="N24"/>
  <c r="O24"/>
  <c r="P24"/>
  <c r="Q24"/>
  <c r="R24"/>
  <c r="S24"/>
  <c r="N80"/>
  <c r="O80"/>
  <c r="P80"/>
  <c r="Q80"/>
  <c r="R80"/>
  <c r="S80"/>
  <c r="N180"/>
  <c r="O180"/>
  <c r="P180"/>
  <c r="Q180"/>
  <c r="R180"/>
  <c r="S180"/>
  <c r="N181"/>
  <c r="O181"/>
  <c r="P181"/>
  <c r="Q181"/>
  <c r="R181"/>
  <c r="S181"/>
  <c r="N30"/>
  <c r="O30"/>
  <c r="P30"/>
  <c r="Q30"/>
  <c r="R30"/>
  <c r="S30"/>
  <c r="N106"/>
  <c r="O106"/>
  <c r="P106"/>
  <c r="Q106"/>
  <c r="R106"/>
  <c r="S106"/>
  <c r="N182"/>
  <c r="O182"/>
  <c r="P182"/>
  <c r="Q182"/>
  <c r="R182"/>
  <c r="S182"/>
  <c r="N183"/>
  <c r="O183"/>
  <c r="P183"/>
  <c r="Q183"/>
  <c r="R183"/>
  <c r="S183"/>
  <c r="N32"/>
  <c r="O32"/>
  <c r="P32"/>
  <c r="Q32"/>
  <c r="R32"/>
  <c r="S32"/>
  <c r="N92"/>
  <c r="O92"/>
  <c r="P92"/>
  <c r="Q92"/>
  <c r="R92"/>
  <c r="S92"/>
  <c r="N184"/>
  <c r="O184"/>
  <c r="P184"/>
  <c r="Q184"/>
  <c r="R184"/>
  <c r="S184"/>
  <c r="N185"/>
  <c r="O185"/>
  <c r="P185"/>
  <c r="Q185"/>
  <c r="R185"/>
  <c r="S185"/>
  <c r="N38"/>
  <c r="O38"/>
  <c r="P38"/>
  <c r="Q38"/>
  <c r="R38"/>
  <c r="S38"/>
  <c r="N97"/>
  <c r="O97"/>
  <c r="P97"/>
  <c r="Q97"/>
  <c r="R97"/>
  <c r="S97"/>
  <c r="N186"/>
  <c r="O186"/>
  <c r="P186"/>
  <c r="Q186"/>
  <c r="R186"/>
  <c r="S186"/>
  <c r="N187"/>
  <c r="O187"/>
  <c r="P187"/>
  <c r="Q187"/>
  <c r="R187"/>
  <c r="S187"/>
  <c r="N35"/>
  <c r="O35"/>
  <c r="P35"/>
  <c r="Q35"/>
  <c r="R35"/>
  <c r="S35"/>
  <c r="N101"/>
  <c r="O101"/>
  <c r="P101"/>
  <c r="Q101"/>
  <c r="R101"/>
  <c r="S101"/>
  <c r="N188"/>
  <c r="O188"/>
  <c r="P188"/>
  <c r="Q188"/>
  <c r="R188"/>
  <c r="S188"/>
  <c r="N189"/>
  <c r="O189"/>
  <c r="P189"/>
  <c r="Q189"/>
  <c r="R189"/>
  <c r="S189"/>
  <c r="N36"/>
  <c r="O36"/>
  <c r="P36"/>
  <c r="Q36"/>
  <c r="R36"/>
  <c r="S36"/>
  <c r="N82"/>
  <c r="O82"/>
  <c r="P82"/>
  <c r="Q82"/>
  <c r="R82"/>
  <c r="S82"/>
  <c r="N190"/>
  <c r="O190"/>
  <c r="P190"/>
  <c r="Q190"/>
  <c r="R190"/>
  <c r="S190"/>
  <c r="N191"/>
  <c r="O191"/>
  <c r="P191"/>
  <c r="Q191"/>
  <c r="R191"/>
  <c r="S191"/>
  <c r="N23"/>
  <c r="O23"/>
  <c r="P23"/>
  <c r="Q23"/>
  <c r="R23"/>
  <c r="S23"/>
  <c r="N141"/>
  <c r="O141"/>
  <c r="P141"/>
  <c r="Q141"/>
  <c r="R141"/>
  <c r="S141"/>
  <c r="N192"/>
  <c r="O192"/>
  <c r="P192"/>
  <c r="Q192"/>
  <c r="R192"/>
  <c r="S192"/>
  <c r="N193"/>
  <c r="O193"/>
  <c r="P193"/>
  <c r="Q193"/>
  <c r="R193"/>
  <c r="S193"/>
  <c r="N26"/>
  <c r="O26"/>
  <c r="P26"/>
  <c r="Q26"/>
  <c r="R26"/>
  <c r="S26"/>
  <c r="N117"/>
  <c r="O117"/>
  <c r="P117"/>
  <c r="Q117"/>
  <c r="R117"/>
  <c r="S117"/>
  <c r="N55"/>
  <c r="O55"/>
  <c r="P55"/>
  <c r="Q55"/>
  <c r="R55"/>
  <c r="S55"/>
  <c r="N111"/>
  <c r="O111"/>
  <c r="P111"/>
  <c r="Q111"/>
  <c r="R111"/>
  <c r="S111"/>
  <c r="N54"/>
  <c r="O54"/>
  <c r="P54"/>
  <c r="Q54"/>
  <c r="R54"/>
  <c r="S54"/>
  <c r="N14"/>
  <c r="O14"/>
  <c r="P14"/>
  <c r="Q14"/>
  <c r="R14"/>
  <c r="S14"/>
  <c r="N143"/>
  <c r="O143"/>
  <c r="P143"/>
  <c r="Q143"/>
  <c r="R143"/>
  <c r="S143"/>
  <c r="N47"/>
  <c r="O47"/>
  <c r="P47"/>
  <c r="Q47"/>
  <c r="R47"/>
  <c r="S47"/>
  <c r="N62"/>
  <c r="O62"/>
  <c r="P62"/>
  <c r="Q62"/>
  <c r="R62"/>
  <c r="S62"/>
  <c r="N109"/>
  <c r="O109"/>
  <c r="P109"/>
  <c r="Q109"/>
  <c r="R109"/>
  <c r="S109"/>
  <c r="N56"/>
  <c r="O56"/>
  <c r="P56"/>
  <c r="Q56"/>
  <c r="R56"/>
  <c r="S56"/>
  <c r="N9"/>
  <c r="O9"/>
  <c r="P9"/>
  <c r="Q9"/>
  <c r="R9"/>
  <c r="S9"/>
  <c r="N144"/>
  <c r="O144"/>
  <c r="P144"/>
  <c r="Q144"/>
  <c r="R144"/>
  <c r="S144"/>
  <c r="N49"/>
  <c r="O49"/>
  <c r="P49"/>
  <c r="Q49"/>
  <c r="R49"/>
  <c r="S49"/>
  <c r="N61"/>
  <c r="O61"/>
  <c r="P61"/>
  <c r="Q61"/>
  <c r="R61"/>
  <c r="S61"/>
  <c r="N131"/>
  <c r="O131"/>
  <c r="P131"/>
  <c r="Q131"/>
  <c r="R131"/>
  <c r="S131"/>
  <c r="N59"/>
  <c r="O59"/>
  <c r="P59"/>
  <c r="Q59"/>
  <c r="R59"/>
  <c r="S59"/>
  <c r="N15"/>
  <c r="O15"/>
  <c r="P15"/>
  <c r="Q15"/>
  <c r="R15"/>
  <c r="S15"/>
  <c r="N91"/>
  <c r="O91"/>
  <c r="P91"/>
  <c r="Q91"/>
  <c r="R91"/>
  <c r="S91"/>
  <c r="N12"/>
  <c r="O12"/>
  <c r="P12"/>
  <c r="Q12"/>
  <c r="R12"/>
  <c r="S12"/>
  <c r="N73"/>
  <c r="O73"/>
  <c r="P73"/>
  <c r="Q73"/>
  <c r="R73"/>
  <c r="S73"/>
  <c r="N124"/>
  <c r="O124"/>
  <c r="P124"/>
  <c r="Q124"/>
  <c r="R124"/>
  <c r="S124"/>
  <c r="N63"/>
  <c r="O63"/>
  <c r="P63"/>
  <c r="Q63"/>
  <c r="R63"/>
  <c r="S63"/>
  <c r="N10"/>
  <c r="O10"/>
  <c r="P10"/>
  <c r="Q10"/>
  <c r="R10"/>
  <c r="S10"/>
  <c r="N88"/>
  <c r="O88"/>
  <c r="P88"/>
  <c r="Q88"/>
  <c r="R88"/>
  <c r="S88"/>
  <c r="N13"/>
  <c r="O13"/>
  <c r="P13"/>
  <c r="Q13"/>
  <c r="R13"/>
  <c r="S13"/>
  <c r="N48"/>
  <c r="O48"/>
  <c r="P48"/>
  <c r="Q48"/>
  <c r="R48"/>
  <c r="S48"/>
  <c r="N132"/>
  <c r="O132"/>
  <c r="P132"/>
  <c r="Q132"/>
  <c r="R132"/>
  <c r="S132"/>
  <c r="N45"/>
  <c r="O45"/>
  <c r="P45"/>
  <c r="Q45"/>
  <c r="R45"/>
  <c r="S45"/>
  <c r="N16"/>
  <c r="O16"/>
  <c r="P16"/>
  <c r="Q16"/>
  <c r="R16"/>
  <c r="S16"/>
  <c r="N93"/>
  <c r="O93"/>
  <c r="P93"/>
  <c r="Q93"/>
  <c r="R93"/>
  <c r="S93"/>
  <c r="N22"/>
  <c r="O22"/>
  <c r="P22"/>
  <c r="Q22"/>
  <c r="R22"/>
  <c r="S22"/>
  <c r="N51"/>
  <c r="O51"/>
  <c r="P51"/>
  <c r="Q51"/>
  <c r="R51"/>
  <c r="S51"/>
  <c r="N129"/>
  <c r="O129"/>
  <c r="P129"/>
  <c r="Q129"/>
  <c r="R129"/>
  <c r="S129"/>
  <c r="N44"/>
  <c r="O44"/>
  <c r="P44"/>
  <c r="Q44"/>
  <c r="R44"/>
  <c r="S44"/>
  <c r="N11"/>
  <c r="O11"/>
  <c r="P11"/>
  <c r="Q11"/>
  <c r="R11"/>
  <c r="S11"/>
  <c r="N100"/>
  <c r="O100"/>
  <c r="P100"/>
  <c r="Q100"/>
  <c r="R100"/>
  <c r="S100"/>
  <c r="N20"/>
  <c r="O20"/>
  <c r="P20"/>
  <c r="Q20"/>
  <c r="R20"/>
  <c r="S20"/>
  <c r="O154"/>
  <c r="P154"/>
  <c r="Q154"/>
  <c r="R154"/>
  <c r="S154"/>
  <c r="H149"/>
  <c r="I149"/>
  <c r="J149"/>
  <c r="K149"/>
  <c r="L149"/>
  <c r="M149"/>
  <c r="H155"/>
  <c r="I155"/>
  <c r="J155"/>
  <c r="K155"/>
  <c r="L155"/>
  <c r="M155"/>
  <c r="H156"/>
  <c r="I156"/>
  <c r="J156"/>
  <c r="K156"/>
  <c r="L156"/>
  <c r="M156"/>
  <c r="H157"/>
  <c r="I157"/>
  <c r="J157"/>
  <c r="K157"/>
  <c r="L157"/>
  <c r="M157"/>
  <c r="H83"/>
  <c r="I83"/>
  <c r="J83"/>
  <c r="K83"/>
  <c r="L83"/>
  <c r="M83"/>
  <c r="H158"/>
  <c r="I158"/>
  <c r="J158"/>
  <c r="K158"/>
  <c r="L158"/>
  <c r="M158"/>
  <c r="H147"/>
  <c r="I147"/>
  <c r="J147"/>
  <c r="K147"/>
  <c r="L147"/>
  <c r="M147"/>
  <c r="H159"/>
  <c r="I159"/>
  <c r="J159"/>
  <c r="K159"/>
  <c r="L159"/>
  <c r="M159"/>
  <c r="H153"/>
  <c r="I153"/>
  <c r="J153"/>
  <c r="K153"/>
  <c r="L153"/>
  <c r="M153"/>
  <c r="H160"/>
  <c r="I160"/>
  <c r="J160"/>
  <c r="K160"/>
  <c r="L160"/>
  <c r="M160"/>
  <c r="H84"/>
  <c r="I84"/>
  <c r="J84"/>
  <c r="K84"/>
  <c r="L84"/>
  <c r="M84"/>
  <c r="H8"/>
  <c r="I8"/>
  <c r="J8"/>
  <c r="K8"/>
  <c r="L8"/>
  <c r="M8"/>
  <c r="H85"/>
  <c r="I85"/>
  <c r="J85"/>
  <c r="K85"/>
  <c r="L85"/>
  <c r="M85"/>
  <c r="H94"/>
  <c r="I94"/>
  <c r="J94"/>
  <c r="K94"/>
  <c r="L94"/>
  <c r="M94"/>
  <c r="H161"/>
  <c r="I161"/>
  <c r="J161"/>
  <c r="K161"/>
  <c r="L161"/>
  <c r="M161"/>
  <c r="H137"/>
  <c r="I137"/>
  <c r="J137"/>
  <c r="K137"/>
  <c r="L137"/>
  <c r="M137"/>
  <c r="H162"/>
  <c r="I162"/>
  <c r="J162"/>
  <c r="K162"/>
  <c r="L162"/>
  <c r="M162"/>
  <c r="H163"/>
  <c r="I163"/>
  <c r="J163"/>
  <c r="K163"/>
  <c r="L163"/>
  <c r="M163"/>
  <c r="H164"/>
  <c r="I164"/>
  <c r="J164"/>
  <c r="K164"/>
  <c r="L164"/>
  <c r="M164"/>
  <c r="H81"/>
  <c r="I81"/>
  <c r="J81"/>
  <c r="K81"/>
  <c r="L81"/>
  <c r="M81"/>
  <c r="H165"/>
  <c r="I165"/>
  <c r="J165"/>
  <c r="K165"/>
  <c r="L165"/>
  <c r="M165"/>
  <c r="H133"/>
  <c r="I133"/>
  <c r="J133"/>
  <c r="K133"/>
  <c r="L133"/>
  <c r="M133"/>
  <c r="H166"/>
  <c r="I166"/>
  <c r="J166"/>
  <c r="K166"/>
  <c r="L166"/>
  <c r="M166"/>
  <c r="H167"/>
  <c r="I167"/>
  <c r="J167"/>
  <c r="K167"/>
  <c r="L167"/>
  <c r="M167"/>
  <c r="H168"/>
  <c r="I168"/>
  <c r="J168"/>
  <c r="K168"/>
  <c r="L168"/>
  <c r="M168"/>
  <c r="H89"/>
  <c r="I89"/>
  <c r="J89"/>
  <c r="K89"/>
  <c r="L89"/>
  <c r="M89"/>
  <c r="H169"/>
  <c r="I169"/>
  <c r="J169"/>
  <c r="K169"/>
  <c r="L169"/>
  <c r="M169"/>
  <c r="H114"/>
  <c r="I114"/>
  <c r="J114"/>
  <c r="K114"/>
  <c r="L114"/>
  <c r="M114"/>
  <c r="H170"/>
  <c r="I170"/>
  <c r="J170"/>
  <c r="K170"/>
  <c r="L170"/>
  <c r="M170"/>
  <c r="H171"/>
  <c r="I171"/>
  <c r="J171"/>
  <c r="K171"/>
  <c r="L171"/>
  <c r="M171"/>
  <c r="H172"/>
  <c r="I172"/>
  <c r="J172"/>
  <c r="K172"/>
  <c r="L172"/>
  <c r="M172"/>
  <c r="H127"/>
  <c r="I127"/>
  <c r="J127"/>
  <c r="K127"/>
  <c r="L127"/>
  <c r="M127"/>
  <c r="H173"/>
  <c r="I173"/>
  <c r="J173"/>
  <c r="K173"/>
  <c r="L173"/>
  <c r="M173"/>
  <c r="H104"/>
  <c r="I104"/>
  <c r="J104"/>
  <c r="K104"/>
  <c r="L104"/>
  <c r="M104"/>
  <c r="H174"/>
  <c r="I174"/>
  <c r="J174"/>
  <c r="K174"/>
  <c r="L174"/>
  <c r="M174"/>
  <c r="H152"/>
  <c r="I152"/>
  <c r="J152"/>
  <c r="K152"/>
  <c r="L152"/>
  <c r="M152"/>
  <c r="H175"/>
  <c r="I175"/>
  <c r="J175"/>
  <c r="K175"/>
  <c r="L175"/>
  <c r="M175"/>
  <c r="H121"/>
  <c r="I121"/>
  <c r="J121"/>
  <c r="K121"/>
  <c r="L121"/>
  <c r="M121"/>
  <c r="H145"/>
  <c r="I145"/>
  <c r="J145"/>
  <c r="K145"/>
  <c r="L145"/>
  <c r="M145"/>
  <c r="H58"/>
  <c r="I58"/>
  <c r="J58"/>
  <c r="K58"/>
  <c r="L58"/>
  <c r="M58"/>
  <c r="H87"/>
  <c r="I87"/>
  <c r="J87"/>
  <c r="K87"/>
  <c r="L87"/>
  <c r="M87"/>
  <c r="H2"/>
  <c r="I2"/>
  <c r="J2"/>
  <c r="K2"/>
  <c r="L2"/>
  <c r="M2"/>
  <c r="H115"/>
  <c r="I115"/>
  <c r="J115"/>
  <c r="K115"/>
  <c r="L115"/>
  <c r="M115"/>
  <c r="H34"/>
  <c r="I34"/>
  <c r="J34"/>
  <c r="K34"/>
  <c r="L34"/>
  <c r="M34"/>
  <c r="H99"/>
  <c r="I99"/>
  <c r="J99"/>
  <c r="K99"/>
  <c r="L99"/>
  <c r="M99"/>
  <c r="H7"/>
  <c r="I7"/>
  <c r="J7"/>
  <c r="K7"/>
  <c r="L7"/>
  <c r="M7"/>
  <c r="H118"/>
  <c r="I118"/>
  <c r="J118"/>
  <c r="K118"/>
  <c r="L118"/>
  <c r="M118"/>
  <c r="H42"/>
  <c r="I42"/>
  <c r="J42"/>
  <c r="K42"/>
  <c r="L42"/>
  <c r="M42"/>
  <c r="H95"/>
  <c r="I95"/>
  <c r="J95"/>
  <c r="K95"/>
  <c r="L95"/>
  <c r="M95"/>
  <c r="H3"/>
  <c r="I3"/>
  <c r="J3"/>
  <c r="K3"/>
  <c r="L3"/>
  <c r="M3"/>
  <c r="H119"/>
  <c r="I119"/>
  <c r="J119"/>
  <c r="K119"/>
  <c r="L119"/>
  <c r="M119"/>
  <c r="H41"/>
  <c r="I41"/>
  <c r="J41"/>
  <c r="K41"/>
  <c r="L41"/>
  <c r="M41"/>
  <c r="H110"/>
  <c r="I110"/>
  <c r="J110"/>
  <c r="K110"/>
  <c r="L110"/>
  <c r="M110"/>
  <c r="H27"/>
  <c r="I27"/>
  <c r="J27"/>
  <c r="K27"/>
  <c r="L27"/>
  <c r="M27"/>
  <c r="H113"/>
  <c r="I113"/>
  <c r="J113"/>
  <c r="K113"/>
  <c r="L113"/>
  <c r="M113"/>
  <c r="H43"/>
  <c r="I43"/>
  <c r="J43"/>
  <c r="K43"/>
  <c r="L43"/>
  <c r="M43"/>
  <c r="H130"/>
  <c r="I130"/>
  <c r="J130"/>
  <c r="K130"/>
  <c r="L130"/>
  <c r="M130"/>
  <c r="H33"/>
  <c r="I33"/>
  <c r="J33"/>
  <c r="K33"/>
  <c r="L33"/>
  <c r="M33"/>
  <c r="H112"/>
  <c r="I112"/>
  <c r="J112"/>
  <c r="K112"/>
  <c r="L112"/>
  <c r="M112"/>
  <c r="H46"/>
  <c r="I46"/>
  <c r="J46"/>
  <c r="K46"/>
  <c r="L46"/>
  <c r="M46"/>
  <c r="H126"/>
  <c r="I126"/>
  <c r="J126"/>
  <c r="K126"/>
  <c r="L126"/>
  <c r="M126"/>
  <c r="H31"/>
  <c r="I31"/>
  <c r="J31"/>
  <c r="K31"/>
  <c r="L31"/>
  <c r="M31"/>
  <c r="H123"/>
  <c r="I123"/>
  <c r="J123"/>
  <c r="K123"/>
  <c r="L123"/>
  <c r="M123"/>
  <c r="H60"/>
  <c r="I60"/>
  <c r="J60"/>
  <c r="K60"/>
  <c r="L60"/>
  <c r="M60"/>
  <c r="H139"/>
  <c r="I139"/>
  <c r="J139"/>
  <c r="K139"/>
  <c r="L139"/>
  <c r="M139"/>
  <c r="H37"/>
  <c r="I37"/>
  <c r="J37"/>
  <c r="K37"/>
  <c r="L37"/>
  <c r="M37"/>
  <c r="H103"/>
  <c r="I103"/>
  <c r="J103"/>
  <c r="K103"/>
  <c r="L103"/>
  <c r="M103"/>
  <c r="H29"/>
  <c r="I29"/>
  <c r="J29"/>
  <c r="K29"/>
  <c r="L29"/>
  <c r="M29"/>
  <c r="H116"/>
  <c r="I116"/>
  <c r="J116"/>
  <c r="K116"/>
  <c r="L116"/>
  <c r="M116"/>
  <c r="H25"/>
  <c r="I25"/>
  <c r="J25"/>
  <c r="K25"/>
  <c r="L25"/>
  <c r="M25"/>
  <c r="H176"/>
  <c r="I176"/>
  <c r="J176"/>
  <c r="K176"/>
  <c r="L176"/>
  <c r="M176"/>
  <c r="H177"/>
  <c r="I177"/>
  <c r="J177"/>
  <c r="K177"/>
  <c r="L177"/>
  <c r="M177"/>
  <c r="H18"/>
  <c r="I18"/>
  <c r="J18"/>
  <c r="K18"/>
  <c r="L18"/>
  <c r="M18"/>
  <c r="H86"/>
  <c r="I86"/>
  <c r="J86"/>
  <c r="K86"/>
  <c r="L86"/>
  <c r="M86"/>
  <c r="H178"/>
  <c r="I178"/>
  <c r="J178"/>
  <c r="K178"/>
  <c r="L178"/>
  <c r="M178"/>
  <c r="H179"/>
  <c r="I179"/>
  <c r="J179"/>
  <c r="K179"/>
  <c r="L179"/>
  <c r="M179"/>
  <c r="H24"/>
  <c r="I24"/>
  <c r="J24"/>
  <c r="K24"/>
  <c r="L24"/>
  <c r="M24"/>
  <c r="H80"/>
  <c r="I80"/>
  <c r="J80"/>
  <c r="K80"/>
  <c r="L80"/>
  <c r="M80"/>
  <c r="H180"/>
  <c r="I180"/>
  <c r="J180"/>
  <c r="K180"/>
  <c r="L180"/>
  <c r="M180"/>
  <c r="H181"/>
  <c r="I181"/>
  <c r="J181"/>
  <c r="K181"/>
  <c r="L181"/>
  <c r="M181"/>
  <c r="H30"/>
  <c r="I30"/>
  <c r="J30"/>
  <c r="K30"/>
  <c r="L30"/>
  <c r="M30"/>
  <c r="H106"/>
  <c r="I106"/>
  <c r="J106"/>
  <c r="K106"/>
  <c r="L106"/>
  <c r="M106"/>
  <c r="H182"/>
  <c r="I182"/>
  <c r="J182"/>
  <c r="K182"/>
  <c r="L182"/>
  <c r="M182"/>
  <c r="H183"/>
  <c r="I183"/>
  <c r="J183"/>
  <c r="K183"/>
  <c r="L183"/>
  <c r="M183"/>
  <c r="H32"/>
  <c r="I32"/>
  <c r="J32"/>
  <c r="K32"/>
  <c r="L32"/>
  <c r="M32"/>
  <c r="H92"/>
  <c r="I92"/>
  <c r="J92"/>
  <c r="K92"/>
  <c r="L92"/>
  <c r="M92"/>
  <c r="H184"/>
  <c r="I184"/>
  <c r="J184"/>
  <c r="K184"/>
  <c r="L184"/>
  <c r="M184"/>
  <c r="H185"/>
  <c r="I185"/>
  <c r="J185"/>
  <c r="K185"/>
  <c r="L185"/>
  <c r="M185"/>
  <c r="H38"/>
  <c r="I38"/>
  <c r="J38"/>
  <c r="K38"/>
  <c r="L38"/>
  <c r="M38"/>
  <c r="H97"/>
  <c r="I97"/>
  <c r="J97"/>
  <c r="K97"/>
  <c r="L97"/>
  <c r="M97"/>
  <c r="H186"/>
  <c r="I186"/>
  <c r="J186"/>
  <c r="K186"/>
  <c r="L186"/>
  <c r="M186"/>
  <c r="H187"/>
  <c r="I187"/>
  <c r="J187"/>
  <c r="K187"/>
  <c r="L187"/>
  <c r="M187"/>
  <c r="H35"/>
  <c r="I35"/>
  <c r="J35"/>
  <c r="K35"/>
  <c r="L35"/>
  <c r="M35"/>
  <c r="H101"/>
  <c r="I101"/>
  <c r="J101"/>
  <c r="K101"/>
  <c r="L101"/>
  <c r="M101"/>
  <c r="H188"/>
  <c r="I188"/>
  <c r="J188"/>
  <c r="K188"/>
  <c r="L188"/>
  <c r="M188"/>
  <c r="H189"/>
  <c r="I189"/>
  <c r="J189"/>
  <c r="K189"/>
  <c r="L189"/>
  <c r="M189"/>
  <c r="H36"/>
  <c r="I36"/>
  <c r="J36"/>
  <c r="K36"/>
  <c r="L36"/>
  <c r="M36"/>
  <c r="H82"/>
  <c r="I82"/>
  <c r="J82"/>
  <c r="K82"/>
  <c r="L82"/>
  <c r="M82"/>
  <c r="H190"/>
  <c r="I190"/>
  <c r="J190"/>
  <c r="K190"/>
  <c r="L190"/>
  <c r="M190"/>
  <c r="H191"/>
  <c r="I191"/>
  <c r="J191"/>
  <c r="K191"/>
  <c r="L191"/>
  <c r="M191"/>
  <c r="H23"/>
  <c r="I23"/>
  <c r="J23"/>
  <c r="K23"/>
  <c r="L23"/>
  <c r="M23"/>
  <c r="H141"/>
  <c r="I141"/>
  <c r="J141"/>
  <c r="K141"/>
  <c r="L141"/>
  <c r="M141"/>
  <c r="H192"/>
  <c r="I192"/>
  <c r="J192"/>
  <c r="K192"/>
  <c r="L192"/>
  <c r="M192"/>
  <c r="H193"/>
  <c r="I193"/>
  <c r="J193"/>
  <c r="K193"/>
  <c r="L193"/>
  <c r="M193"/>
  <c r="H26"/>
  <c r="I26"/>
  <c r="J26"/>
  <c r="K26"/>
  <c r="L26"/>
  <c r="M26"/>
  <c r="H117"/>
  <c r="I117"/>
  <c r="J117"/>
  <c r="K117"/>
  <c r="L117"/>
  <c r="M117"/>
  <c r="H55"/>
  <c r="I55"/>
  <c r="J55"/>
  <c r="K55"/>
  <c r="L55"/>
  <c r="M55"/>
  <c r="H111"/>
  <c r="I111"/>
  <c r="J111"/>
  <c r="K111"/>
  <c r="L111"/>
  <c r="M111"/>
  <c r="H54"/>
  <c r="I54"/>
  <c r="J54"/>
  <c r="K54"/>
  <c r="L54"/>
  <c r="M54"/>
  <c r="H14"/>
  <c r="I14"/>
  <c r="J14"/>
  <c r="K14"/>
  <c r="L14"/>
  <c r="M14"/>
  <c r="H143"/>
  <c r="I143"/>
  <c r="J143"/>
  <c r="K143"/>
  <c r="L143"/>
  <c r="M143"/>
  <c r="H47"/>
  <c r="I47"/>
  <c r="J47"/>
  <c r="K47"/>
  <c r="L47"/>
  <c r="M47"/>
  <c r="H62"/>
  <c r="I62"/>
  <c r="J62"/>
  <c r="K62"/>
  <c r="L62"/>
  <c r="M62"/>
  <c r="H109"/>
  <c r="I109"/>
  <c r="J109"/>
  <c r="K109"/>
  <c r="L109"/>
  <c r="M109"/>
  <c r="H56"/>
  <c r="I56"/>
  <c r="J56"/>
  <c r="K56"/>
  <c r="L56"/>
  <c r="M56"/>
  <c r="H9"/>
  <c r="I9"/>
  <c r="J9"/>
  <c r="K9"/>
  <c r="L9"/>
  <c r="M9"/>
  <c r="H144"/>
  <c r="I144"/>
  <c r="J144"/>
  <c r="K144"/>
  <c r="L144"/>
  <c r="M144"/>
  <c r="H49"/>
  <c r="I49"/>
  <c r="J49"/>
  <c r="K49"/>
  <c r="L49"/>
  <c r="M49"/>
  <c r="H61"/>
  <c r="I61"/>
  <c r="J61"/>
  <c r="K61"/>
  <c r="L61"/>
  <c r="M61"/>
  <c r="H131"/>
  <c r="I131"/>
  <c r="J131"/>
  <c r="K131"/>
  <c r="L131"/>
  <c r="M131"/>
  <c r="H59"/>
  <c r="I59"/>
  <c r="J59"/>
  <c r="K59"/>
  <c r="L59"/>
  <c r="M59"/>
  <c r="H15"/>
  <c r="I15"/>
  <c r="J15"/>
  <c r="K15"/>
  <c r="L15"/>
  <c r="M15"/>
  <c r="H91"/>
  <c r="I91"/>
  <c r="J91"/>
  <c r="K91"/>
  <c r="L91"/>
  <c r="M91"/>
  <c r="H12"/>
  <c r="I12"/>
  <c r="J12"/>
  <c r="K12"/>
  <c r="L12"/>
  <c r="M12"/>
  <c r="H73"/>
  <c r="I73"/>
  <c r="J73"/>
  <c r="K73"/>
  <c r="L73"/>
  <c r="M73"/>
  <c r="H124"/>
  <c r="I124"/>
  <c r="J124"/>
  <c r="K124"/>
  <c r="L124"/>
  <c r="M124"/>
  <c r="H63"/>
  <c r="I63"/>
  <c r="J63"/>
  <c r="K63"/>
  <c r="L63"/>
  <c r="M63"/>
  <c r="H10"/>
  <c r="I10"/>
  <c r="J10"/>
  <c r="K10"/>
  <c r="L10"/>
  <c r="M10"/>
  <c r="H88"/>
  <c r="I88"/>
  <c r="J88"/>
  <c r="K88"/>
  <c r="L88"/>
  <c r="M88"/>
  <c r="H13"/>
  <c r="I13"/>
  <c r="J13"/>
  <c r="K13"/>
  <c r="L13"/>
  <c r="M13"/>
  <c r="H48"/>
  <c r="I48"/>
  <c r="J48"/>
  <c r="K48"/>
  <c r="L48"/>
  <c r="M48"/>
  <c r="H132"/>
  <c r="I132"/>
  <c r="J132"/>
  <c r="K132"/>
  <c r="L132"/>
  <c r="M132"/>
  <c r="H45"/>
  <c r="I45"/>
  <c r="J45"/>
  <c r="K45"/>
  <c r="L45"/>
  <c r="M45"/>
  <c r="H16"/>
  <c r="I16"/>
  <c r="J16"/>
  <c r="K16"/>
  <c r="L16"/>
  <c r="M16"/>
  <c r="H93"/>
  <c r="I93"/>
  <c r="J93"/>
  <c r="K93"/>
  <c r="L93"/>
  <c r="M93"/>
  <c r="H22"/>
  <c r="I22"/>
  <c r="J22"/>
  <c r="K22"/>
  <c r="L22"/>
  <c r="M22"/>
  <c r="H51"/>
  <c r="I51"/>
  <c r="J51"/>
  <c r="K51"/>
  <c r="L51"/>
  <c r="M51"/>
  <c r="H129"/>
  <c r="I129"/>
  <c r="J129"/>
  <c r="K129"/>
  <c r="L129"/>
  <c r="M129"/>
  <c r="H44"/>
  <c r="I44"/>
  <c r="J44"/>
  <c r="K44"/>
  <c r="L44"/>
  <c r="M44"/>
  <c r="H11"/>
  <c r="I11"/>
  <c r="J11"/>
  <c r="K11"/>
  <c r="L11"/>
  <c r="M11"/>
  <c r="H100"/>
  <c r="I100"/>
  <c r="J100"/>
  <c r="K100"/>
  <c r="L100"/>
  <c r="M100"/>
  <c r="H20"/>
  <c r="I20"/>
  <c r="J20"/>
  <c r="K20"/>
  <c r="L20"/>
  <c r="M20"/>
  <c r="I154"/>
  <c r="J154"/>
  <c r="K154"/>
  <c r="L154"/>
  <c r="M154"/>
  <c r="N3" i="1"/>
  <c r="O3"/>
  <c r="P3"/>
  <c r="Q3"/>
  <c r="R3"/>
  <c r="S3"/>
  <c r="N4"/>
  <c r="O4"/>
  <c r="P4"/>
  <c r="Q4"/>
  <c r="R4"/>
  <c r="S4"/>
  <c r="N5"/>
  <c r="O5"/>
  <c r="P5"/>
  <c r="Q5"/>
  <c r="R5"/>
  <c r="S5"/>
  <c r="N6"/>
  <c r="O6"/>
  <c r="P6"/>
  <c r="Q6"/>
  <c r="R6"/>
  <c r="S6"/>
  <c r="N7"/>
  <c r="O7"/>
  <c r="P7"/>
  <c r="Q7"/>
  <c r="R7"/>
  <c r="S7"/>
  <c r="N9"/>
  <c r="O9"/>
  <c r="P9"/>
  <c r="Q9"/>
  <c r="R9"/>
  <c r="S9"/>
  <c r="N10"/>
  <c r="O10"/>
  <c r="P10"/>
  <c r="Q10"/>
  <c r="R10"/>
  <c r="S10"/>
  <c r="N11"/>
  <c r="O11"/>
  <c r="P11"/>
  <c r="Q11"/>
  <c r="R11"/>
  <c r="S11"/>
  <c r="N12"/>
  <c r="O12"/>
  <c r="P12"/>
  <c r="Q12"/>
  <c r="R12"/>
  <c r="S12"/>
  <c r="N13"/>
  <c r="O13"/>
  <c r="P13"/>
  <c r="Q13"/>
  <c r="R13"/>
  <c r="S13"/>
  <c r="N14"/>
  <c r="O14"/>
  <c r="P14"/>
  <c r="Q14"/>
  <c r="R14"/>
  <c r="S14"/>
  <c r="N15"/>
  <c r="O15"/>
  <c r="P15"/>
  <c r="Q15"/>
  <c r="R15"/>
  <c r="S15"/>
  <c r="N16"/>
  <c r="O16"/>
  <c r="P16"/>
  <c r="Q16"/>
  <c r="R16"/>
  <c r="S16"/>
  <c r="N17"/>
  <c r="O17"/>
  <c r="P17"/>
  <c r="Q17"/>
  <c r="R17"/>
  <c r="S17"/>
  <c r="N18"/>
  <c r="O18"/>
  <c r="P18"/>
  <c r="Q18"/>
  <c r="R18"/>
  <c r="S18"/>
  <c r="N19"/>
  <c r="O19"/>
  <c r="P19"/>
  <c r="Q19"/>
  <c r="R19"/>
  <c r="S19"/>
  <c r="N20"/>
  <c r="O20"/>
  <c r="P20"/>
  <c r="Q20"/>
  <c r="R20"/>
  <c r="S20"/>
  <c r="N21"/>
  <c r="O21"/>
  <c r="P21"/>
  <c r="Q21"/>
  <c r="R21"/>
  <c r="S21"/>
  <c r="N22"/>
  <c r="O22"/>
  <c r="P22"/>
  <c r="Q22"/>
  <c r="R22"/>
  <c r="S22"/>
  <c r="N24"/>
  <c r="O24"/>
  <c r="P24"/>
  <c r="Q24"/>
  <c r="R24"/>
  <c r="S24"/>
  <c r="N25"/>
  <c r="O25"/>
  <c r="P25"/>
  <c r="Q25"/>
  <c r="R25"/>
  <c r="S25"/>
  <c r="N26"/>
  <c r="O26"/>
  <c r="P26"/>
  <c r="Q26"/>
  <c r="R26"/>
  <c r="S26"/>
  <c r="N27"/>
  <c r="O27"/>
  <c r="P27"/>
  <c r="Q27"/>
  <c r="R27"/>
  <c r="S27"/>
  <c r="N28"/>
  <c r="O28"/>
  <c r="P28"/>
  <c r="Q28"/>
  <c r="R28"/>
  <c r="S28"/>
  <c r="N29"/>
  <c r="O29"/>
  <c r="P29"/>
  <c r="Q29"/>
  <c r="R29"/>
  <c r="S29"/>
  <c r="N30"/>
  <c r="O30"/>
  <c r="P30"/>
  <c r="Q30"/>
  <c r="R30"/>
  <c r="S30"/>
  <c r="N31"/>
  <c r="O31"/>
  <c r="P31"/>
  <c r="Q31"/>
  <c r="R31"/>
  <c r="S31"/>
  <c r="N32"/>
  <c r="O32"/>
  <c r="P32"/>
  <c r="Q32"/>
  <c r="R32"/>
  <c r="S32"/>
  <c r="N33"/>
  <c r="O33"/>
  <c r="P33"/>
  <c r="Q33"/>
  <c r="R33"/>
  <c r="S33"/>
  <c r="N34"/>
  <c r="O34"/>
  <c r="P34"/>
  <c r="Q34"/>
  <c r="R34"/>
  <c r="S34"/>
  <c r="N35"/>
  <c r="O35"/>
  <c r="P35"/>
  <c r="Q35"/>
  <c r="R35"/>
  <c r="S35"/>
  <c r="N38"/>
  <c r="O38"/>
  <c r="P38"/>
  <c r="Q38"/>
  <c r="R38"/>
  <c r="S38"/>
  <c r="N39"/>
  <c r="O39"/>
  <c r="P39"/>
  <c r="Q39"/>
  <c r="R39"/>
  <c r="S39"/>
  <c r="N40"/>
  <c r="O40"/>
  <c r="P40"/>
  <c r="Q40"/>
  <c r="R40"/>
  <c r="S40"/>
  <c r="N42"/>
  <c r="O42"/>
  <c r="P42"/>
  <c r="Q42"/>
  <c r="R42"/>
  <c r="S42"/>
  <c r="N43"/>
  <c r="O43"/>
  <c r="P43"/>
  <c r="Q43"/>
  <c r="R43"/>
  <c r="S43"/>
  <c r="N45"/>
  <c r="O45"/>
  <c r="P45"/>
  <c r="Q45"/>
  <c r="R45"/>
  <c r="S45"/>
  <c r="N49"/>
  <c r="O49"/>
  <c r="P49"/>
  <c r="Q49"/>
  <c r="R49"/>
  <c r="S49"/>
  <c r="N51"/>
  <c r="O51"/>
  <c r="P51"/>
  <c r="Q51"/>
  <c r="R51"/>
  <c r="S51"/>
  <c r="N52"/>
  <c r="O52"/>
  <c r="P52"/>
  <c r="Q52"/>
  <c r="R52"/>
  <c r="S52"/>
  <c r="N54"/>
  <c r="O54"/>
  <c r="P54"/>
  <c r="Q54"/>
  <c r="R54"/>
  <c r="S54"/>
  <c r="N57"/>
  <c r="O57"/>
  <c r="P57"/>
  <c r="Q57"/>
  <c r="R57"/>
  <c r="S57"/>
  <c r="N60"/>
  <c r="O60"/>
  <c r="P60"/>
  <c r="Q60"/>
  <c r="R60"/>
  <c r="S60"/>
  <c r="N62"/>
  <c r="O62"/>
  <c r="P62"/>
  <c r="Q62"/>
  <c r="R62"/>
  <c r="S62"/>
  <c r="N63"/>
  <c r="O63"/>
  <c r="P63"/>
  <c r="Q63"/>
  <c r="R63"/>
  <c r="S63"/>
  <c r="N64"/>
  <c r="O64"/>
  <c r="P64"/>
  <c r="Q64"/>
  <c r="R64"/>
  <c r="S64"/>
  <c r="N65"/>
  <c r="O65"/>
  <c r="P65"/>
  <c r="Q65"/>
  <c r="R65"/>
  <c r="S65"/>
  <c r="N66"/>
  <c r="O66"/>
  <c r="P66"/>
  <c r="Q66"/>
  <c r="R66"/>
  <c r="S66"/>
  <c r="N70"/>
  <c r="O70"/>
  <c r="P70"/>
  <c r="Q70"/>
  <c r="R70"/>
  <c r="S70"/>
  <c r="N71"/>
  <c r="O71"/>
  <c r="P71"/>
  <c r="Q71"/>
  <c r="R71"/>
  <c r="S71"/>
  <c r="N72"/>
  <c r="O72"/>
  <c r="P72"/>
  <c r="Q72"/>
  <c r="R72"/>
  <c r="S72"/>
  <c r="N74"/>
  <c r="O74"/>
  <c r="P74"/>
  <c r="Q74"/>
  <c r="R74"/>
  <c r="S74"/>
  <c r="N75"/>
  <c r="O75"/>
  <c r="P75"/>
  <c r="Q75"/>
  <c r="R75"/>
  <c r="S75"/>
  <c r="N76"/>
  <c r="O76"/>
  <c r="P76"/>
  <c r="Q76"/>
  <c r="R76"/>
  <c r="S76"/>
  <c r="N78"/>
  <c r="O78"/>
  <c r="P78"/>
  <c r="Q78"/>
  <c r="R78"/>
  <c r="S78"/>
  <c r="N80"/>
  <c r="O80"/>
  <c r="P80"/>
  <c r="Q80"/>
  <c r="R80"/>
  <c r="S80"/>
  <c r="N81"/>
  <c r="O81"/>
  <c r="P81"/>
  <c r="Q81"/>
  <c r="R81"/>
  <c r="S81"/>
  <c r="N82"/>
  <c r="O82"/>
  <c r="P82"/>
  <c r="Q82"/>
  <c r="R82"/>
  <c r="S82"/>
  <c r="N83"/>
  <c r="O83"/>
  <c r="P83"/>
  <c r="Q83"/>
  <c r="R83"/>
  <c r="S83"/>
  <c r="N86"/>
  <c r="O86"/>
  <c r="P86"/>
  <c r="Q86"/>
  <c r="R86"/>
  <c r="S86"/>
  <c r="N88"/>
  <c r="O88"/>
  <c r="P88"/>
  <c r="Q88"/>
  <c r="R88"/>
  <c r="S88"/>
  <c r="N89"/>
  <c r="O89"/>
  <c r="P89"/>
  <c r="Q89"/>
  <c r="R89"/>
  <c r="S89"/>
  <c r="N92"/>
  <c r="O92"/>
  <c r="P92"/>
  <c r="Q92"/>
  <c r="R92"/>
  <c r="S92"/>
  <c r="N93"/>
  <c r="O93"/>
  <c r="P93"/>
  <c r="Q93"/>
  <c r="R93"/>
  <c r="S93"/>
  <c r="N96"/>
  <c r="O96"/>
  <c r="P96"/>
  <c r="Q96"/>
  <c r="R96"/>
  <c r="S96"/>
  <c r="N99"/>
  <c r="O99"/>
  <c r="P99"/>
  <c r="Q99"/>
  <c r="R99"/>
  <c r="S99"/>
  <c r="N100"/>
  <c r="O100"/>
  <c r="P100"/>
  <c r="Q100"/>
  <c r="R100"/>
  <c r="S100"/>
  <c r="N102"/>
  <c r="O102"/>
  <c r="P102"/>
  <c r="Q102"/>
  <c r="R102"/>
  <c r="S102"/>
  <c r="N103"/>
  <c r="O103"/>
  <c r="P103"/>
  <c r="Q103"/>
  <c r="R103"/>
  <c r="S103"/>
  <c r="N104"/>
  <c r="O104"/>
  <c r="P104"/>
  <c r="Q104"/>
  <c r="R104"/>
  <c r="S104"/>
  <c r="N108"/>
  <c r="O108"/>
  <c r="P108"/>
  <c r="Q108"/>
  <c r="R108"/>
  <c r="S108"/>
  <c r="N109"/>
  <c r="O109"/>
  <c r="P109"/>
  <c r="Q109"/>
  <c r="R109"/>
  <c r="S109"/>
  <c r="N110"/>
  <c r="O110"/>
  <c r="P110"/>
  <c r="Q110"/>
  <c r="R110"/>
  <c r="S110"/>
  <c r="N112"/>
  <c r="O112"/>
  <c r="P112"/>
  <c r="Q112"/>
  <c r="R112"/>
  <c r="S112"/>
  <c r="N113"/>
  <c r="O113"/>
  <c r="P113"/>
  <c r="Q113"/>
  <c r="R113"/>
  <c r="S113"/>
  <c r="N115"/>
  <c r="O115"/>
  <c r="P115"/>
  <c r="Q115"/>
  <c r="R115"/>
  <c r="S115"/>
  <c r="N116"/>
  <c r="O116"/>
  <c r="P116"/>
  <c r="Q116"/>
  <c r="R116"/>
  <c r="S116"/>
  <c r="N118"/>
  <c r="O118"/>
  <c r="P118"/>
  <c r="Q118"/>
  <c r="R118"/>
  <c r="S118"/>
  <c r="N119"/>
  <c r="O119"/>
  <c r="P119"/>
  <c r="Q119"/>
  <c r="R119"/>
  <c r="S119"/>
  <c r="N120"/>
  <c r="O120"/>
  <c r="P120"/>
  <c r="Q120"/>
  <c r="R120"/>
  <c r="S120"/>
  <c r="N121"/>
  <c r="O121"/>
  <c r="P121"/>
  <c r="Q121"/>
  <c r="R121"/>
  <c r="S121"/>
  <c r="N123"/>
  <c r="O123"/>
  <c r="P123"/>
  <c r="Q123"/>
  <c r="R123"/>
  <c r="S123"/>
  <c r="N125"/>
  <c r="O125"/>
  <c r="P125"/>
  <c r="Q125"/>
  <c r="R125"/>
  <c r="S125"/>
  <c r="N126"/>
  <c r="O126"/>
  <c r="P126"/>
  <c r="Q126"/>
  <c r="R126"/>
  <c r="S126"/>
  <c r="N127"/>
  <c r="O127"/>
  <c r="P127"/>
  <c r="Q127"/>
  <c r="R127"/>
  <c r="S127"/>
  <c r="N129"/>
  <c r="O129"/>
  <c r="P129"/>
  <c r="Q129"/>
  <c r="R129"/>
  <c r="S129"/>
  <c r="N130"/>
  <c r="O130"/>
  <c r="P130"/>
  <c r="Q130"/>
  <c r="R130"/>
  <c r="S130"/>
  <c r="N133"/>
  <c r="O133"/>
  <c r="P133"/>
  <c r="Q133"/>
  <c r="R133"/>
  <c r="S133"/>
  <c r="N135"/>
  <c r="O135"/>
  <c r="P135"/>
  <c r="Q135"/>
  <c r="R135"/>
  <c r="S135"/>
  <c r="N136"/>
  <c r="O136"/>
  <c r="P136"/>
  <c r="Q136"/>
  <c r="R136"/>
  <c r="S136"/>
  <c r="N139"/>
  <c r="O139"/>
  <c r="P139"/>
  <c r="Q139"/>
  <c r="R139"/>
  <c r="S139"/>
  <c r="N140"/>
  <c r="O140"/>
  <c r="P140"/>
  <c r="Q140"/>
  <c r="R140"/>
  <c r="S140"/>
  <c r="N141"/>
  <c r="O141"/>
  <c r="P141"/>
  <c r="Q141"/>
  <c r="R141"/>
  <c r="S141"/>
  <c r="N143"/>
  <c r="O143"/>
  <c r="P143"/>
  <c r="Q143"/>
  <c r="R143"/>
  <c r="S143"/>
  <c r="N145"/>
  <c r="O145"/>
  <c r="P145"/>
  <c r="Q145"/>
  <c r="R145"/>
  <c r="S145"/>
  <c r="N147"/>
  <c r="O147"/>
  <c r="P147"/>
  <c r="Q147"/>
  <c r="R147"/>
  <c r="S147"/>
  <c r="N148"/>
  <c r="O148"/>
  <c r="P148"/>
  <c r="Q148"/>
  <c r="R148"/>
  <c r="S148"/>
  <c r="N149"/>
  <c r="O149"/>
  <c r="P149"/>
  <c r="Q149"/>
  <c r="R149"/>
  <c r="S149"/>
  <c r="N150"/>
  <c r="O150"/>
  <c r="P150"/>
  <c r="Q150"/>
  <c r="R150"/>
  <c r="S150"/>
  <c r="N151"/>
  <c r="O151"/>
  <c r="P151"/>
  <c r="Q151"/>
  <c r="R151"/>
  <c r="S151"/>
  <c r="N152"/>
  <c r="O152"/>
  <c r="P152"/>
  <c r="Q152"/>
  <c r="R152"/>
  <c r="S152"/>
  <c r="N153"/>
  <c r="O153"/>
  <c r="P153"/>
  <c r="Q153"/>
  <c r="R153"/>
  <c r="S153"/>
  <c r="N154"/>
  <c r="O154"/>
  <c r="P154"/>
  <c r="Q154"/>
  <c r="R154"/>
  <c r="S154"/>
  <c r="N155"/>
  <c r="O155"/>
  <c r="P155"/>
  <c r="Q155"/>
  <c r="R155"/>
  <c r="S155"/>
  <c r="N156"/>
  <c r="O156"/>
  <c r="P156"/>
  <c r="Q156"/>
  <c r="R156"/>
  <c r="S156"/>
  <c r="N157"/>
  <c r="O157"/>
  <c r="P157"/>
  <c r="Q157"/>
  <c r="R157"/>
  <c r="S157"/>
  <c r="N158"/>
  <c r="O158"/>
  <c r="P158"/>
  <c r="Q158"/>
  <c r="R158"/>
  <c r="S158"/>
  <c r="N159"/>
  <c r="O159"/>
  <c r="P159"/>
  <c r="Q159"/>
  <c r="R159"/>
  <c r="S159"/>
  <c r="N160"/>
  <c r="O160"/>
  <c r="P160"/>
  <c r="Q160"/>
  <c r="R160"/>
  <c r="S160"/>
  <c r="N161"/>
  <c r="O161"/>
  <c r="P161"/>
  <c r="Q161"/>
  <c r="R161"/>
  <c r="S161"/>
  <c r="N162"/>
  <c r="O162"/>
  <c r="P162"/>
  <c r="Q162"/>
  <c r="R162"/>
  <c r="S162"/>
  <c r="N163"/>
  <c r="O163"/>
  <c r="P163"/>
  <c r="Q163"/>
  <c r="R163"/>
  <c r="S163"/>
  <c r="N164"/>
  <c r="O164"/>
  <c r="P164"/>
  <c r="Q164"/>
  <c r="R164"/>
  <c r="S164"/>
  <c r="N165"/>
  <c r="O165"/>
  <c r="P165"/>
  <c r="Q165"/>
  <c r="R165"/>
  <c r="S165"/>
  <c r="N166"/>
  <c r="O166"/>
  <c r="P166"/>
  <c r="Q166"/>
  <c r="R166"/>
  <c r="S166"/>
  <c r="N167"/>
  <c r="O167"/>
  <c r="P167"/>
  <c r="Q167"/>
  <c r="R167"/>
  <c r="S167"/>
  <c r="N168"/>
  <c r="O168"/>
  <c r="P168"/>
  <c r="Q168"/>
  <c r="R168"/>
  <c r="S168"/>
  <c r="N169"/>
  <c r="O169"/>
  <c r="P169"/>
  <c r="Q169"/>
  <c r="R169"/>
  <c r="S169"/>
  <c r="N170"/>
  <c r="O170"/>
  <c r="P170"/>
  <c r="Q170"/>
  <c r="R170"/>
  <c r="S170"/>
  <c r="N171"/>
  <c r="O171"/>
  <c r="P171"/>
  <c r="Q171"/>
  <c r="R171"/>
  <c r="S171"/>
  <c r="N172"/>
  <c r="O172"/>
  <c r="P172"/>
  <c r="Q172"/>
  <c r="R172"/>
  <c r="S172"/>
  <c r="N173"/>
  <c r="O173"/>
  <c r="P173"/>
  <c r="Q173"/>
  <c r="R173"/>
  <c r="S173"/>
  <c r="N174"/>
  <c r="O174"/>
  <c r="P174"/>
  <c r="Q174"/>
  <c r="R174"/>
  <c r="S174"/>
  <c r="N175"/>
  <c r="O175"/>
  <c r="P175"/>
  <c r="Q175"/>
  <c r="R175"/>
  <c r="S175"/>
  <c r="N176"/>
  <c r="O176"/>
  <c r="P176"/>
  <c r="Q176"/>
  <c r="R176"/>
  <c r="S176"/>
  <c r="N177"/>
  <c r="O177"/>
  <c r="P177"/>
  <c r="Q177"/>
  <c r="R177"/>
  <c r="S177"/>
  <c r="N178"/>
  <c r="O178"/>
  <c r="P178"/>
  <c r="Q178"/>
  <c r="R178"/>
  <c r="S178"/>
  <c r="N179"/>
  <c r="O179"/>
  <c r="P179"/>
  <c r="Q179"/>
  <c r="R179"/>
  <c r="S179"/>
  <c r="N180"/>
  <c r="O180"/>
  <c r="P180"/>
  <c r="Q180"/>
  <c r="R180"/>
  <c r="S180"/>
  <c r="N181"/>
  <c r="O181"/>
  <c r="P181"/>
  <c r="Q181"/>
  <c r="R181"/>
  <c r="S181"/>
  <c r="N182"/>
  <c r="O182"/>
  <c r="P182"/>
  <c r="Q182"/>
  <c r="R182"/>
  <c r="S182"/>
  <c r="N183"/>
  <c r="O183"/>
  <c r="P183"/>
  <c r="Q183"/>
  <c r="R183"/>
  <c r="S183"/>
  <c r="N184"/>
  <c r="O184"/>
  <c r="P184"/>
  <c r="Q184"/>
  <c r="R184"/>
  <c r="S184"/>
  <c r="N185"/>
  <c r="O185"/>
  <c r="P185"/>
  <c r="Q185"/>
  <c r="R185"/>
  <c r="S185"/>
  <c r="N186"/>
  <c r="O186"/>
  <c r="P186"/>
  <c r="Q186"/>
  <c r="R186"/>
  <c r="S186"/>
  <c r="N187"/>
  <c r="O187"/>
  <c r="P187"/>
  <c r="Q187"/>
  <c r="R187"/>
  <c r="S187"/>
  <c r="N188"/>
  <c r="O188"/>
  <c r="P188"/>
  <c r="Q188"/>
  <c r="R188"/>
  <c r="S188"/>
  <c r="N189"/>
  <c r="O189"/>
  <c r="P189"/>
  <c r="Q189"/>
  <c r="R189"/>
  <c r="S189"/>
  <c r="N190"/>
  <c r="O190"/>
  <c r="P190"/>
  <c r="Q190"/>
  <c r="R190"/>
  <c r="S190"/>
  <c r="N191"/>
  <c r="O191"/>
  <c r="P191"/>
  <c r="Q191"/>
  <c r="R191"/>
  <c r="S191"/>
  <c r="N192"/>
  <c r="O192"/>
  <c r="P192"/>
  <c r="Q192"/>
  <c r="R192"/>
  <c r="S192"/>
  <c r="N193"/>
  <c r="O193"/>
  <c r="P193"/>
  <c r="Q193"/>
  <c r="R193"/>
  <c r="S193"/>
  <c r="O2"/>
  <c r="P2"/>
  <c r="Q2"/>
  <c r="R2"/>
  <c r="S2"/>
  <c r="N2"/>
  <c r="H3"/>
  <c r="I3"/>
  <c r="J3"/>
  <c r="K3"/>
  <c r="L3"/>
  <c r="M3"/>
  <c r="H4"/>
  <c r="I4"/>
  <c r="J4"/>
  <c r="K4"/>
  <c r="L4"/>
  <c r="M4"/>
  <c r="H5"/>
  <c r="I5"/>
  <c r="J5"/>
  <c r="K5"/>
  <c r="L5"/>
  <c r="M5"/>
  <c r="H6"/>
  <c r="I6"/>
  <c r="J6"/>
  <c r="K6"/>
  <c r="L6"/>
  <c r="M6"/>
  <c r="H7"/>
  <c r="I7"/>
  <c r="J7"/>
  <c r="K7"/>
  <c r="L7"/>
  <c r="M7"/>
  <c r="H9"/>
  <c r="I9"/>
  <c r="J9"/>
  <c r="K9"/>
  <c r="L9"/>
  <c r="M9"/>
  <c r="H10"/>
  <c r="I10"/>
  <c r="J10"/>
  <c r="K10"/>
  <c r="L10"/>
  <c r="M10"/>
  <c r="H11"/>
  <c r="I11"/>
  <c r="J11"/>
  <c r="K11"/>
  <c r="L11"/>
  <c r="M11"/>
  <c r="H12"/>
  <c r="I12"/>
  <c r="J12"/>
  <c r="K12"/>
  <c r="L12"/>
  <c r="M12"/>
  <c r="H13"/>
  <c r="I13"/>
  <c r="J13"/>
  <c r="K13"/>
  <c r="L13"/>
  <c r="M13"/>
  <c r="H14"/>
  <c r="I14"/>
  <c r="J14"/>
  <c r="K14"/>
  <c r="L14"/>
  <c r="M14"/>
  <c r="H15"/>
  <c r="I15"/>
  <c r="J15"/>
  <c r="K15"/>
  <c r="L15"/>
  <c r="M15"/>
  <c r="H16"/>
  <c r="I16"/>
  <c r="J16"/>
  <c r="K16"/>
  <c r="L16"/>
  <c r="M16"/>
  <c r="H17"/>
  <c r="I17"/>
  <c r="J17"/>
  <c r="K17"/>
  <c r="L17"/>
  <c r="M17"/>
  <c r="H18"/>
  <c r="I18"/>
  <c r="J18"/>
  <c r="K18"/>
  <c r="L18"/>
  <c r="M18"/>
  <c r="H19"/>
  <c r="I19"/>
  <c r="J19"/>
  <c r="K19"/>
  <c r="L19"/>
  <c r="M19"/>
  <c r="H20"/>
  <c r="I20"/>
  <c r="J20"/>
  <c r="K20"/>
  <c r="L20"/>
  <c r="M20"/>
  <c r="H21"/>
  <c r="I21"/>
  <c r="J21"/>
  <c r="K21"/>
  <c r="L21"/>
  <c r="M21"/>
  <c r="H22"/>
  <c r="I22"/>
  <c r="J22"/>
  <c r="K22"/>
  <c r="L22"/>
  <c r="M22"/>
  <c r="H24"/>
  <c r="I24"/>
  <c r="J24"/>
  <c r="K24"/>
  <c r="L24"/>
  <c r="M24"/>
  <c r="H25"/>
  <c r="I25"/>
  <c r="J25"/>
  <c r="K25"/>
  <c r="L25"/>
  <c r="M25"/>
  <c r="H26"/>
  <c r="I26"/>
  <c r="J26"/>
  <c r="K26"/>
  <c r="L26"/>
  <c r="M26"/>
  <c r="H27"/>
  <c r="I27"/>
  <c r="J27"/>
  <c r="K27"/>
  <c r="L27"/>
  <c r="M27"/>
  <c r="H28"/>
  <c r="I28"/>
  <c r="J28"/>
  <c r="K28"/>
  <c r="L28"/>
  <c r="M28"/>
  <c r="H29"/>
  <c r="I29"/>
  <c r="J29"/>
  <c r="K29"/>
  <c r="L29"/>
  <c r="M29"/>
  <c r="H30"/>
  <c r="I30"/>
  <c r="J30"/>
  <c r="K30"/>
  <c r="L30"/>
  <c r="M30"/>
  <c r="H31"/>
  <c r="I31"/>
  <c r="J31"/>
  <c r="K31"/>
  <c r="L31"/>
  <c r="M31"/>
  <c r="H32"/>
  <c r="I32"/>
  <c r="J32"/>
  <c r="K32"/>
  <c r="L32"/>
  <c r="M32"/>
  <c r="H33"/>
  <c r="I33"/>
  <c r="J33"/>
  <c r="K33"/>
  <c r="L33"/>
  <c r="M33"/>
  <c r="H34"/>
  <c r="I34"/>
  <c r="J34"/>
  <c r="K34"/>
  <c r="L34"/>
  <c r="M34"/>
  <c r="H35"/>
  <c r="I35"/>
  <c r="J35"/>
  <c r="K35"/>
  <c r="L35"/>
  <c r="M35"/>
  <c r="H38"/>
  <c r="I38"/>
  <c r="J38"/>
  <c r="K38"/>
  <c r="L38"/>
  <c r="M38"/>
  <c r="H39"/>
  <c r="I39"/>
  <c r="J39"/>
  <c r="K39"/>
  <c r="L39"/>
  <c r="M39"/>
  <c r="H40"/>
  <c r="I40"/>
  <c r="J40"/>
  <c r="K40"/>
  <c r="L40"/>
  <c r="M40"/>
  <c r="H42"/>
  <c r="I42"/>
  <c r="J42"/>
  <c r="K42"/>
  <c r="L42"/>
  <c r="M42"/>
  <c r="H43"/>
  <c r="I43"/>
  <c r="J43"/>
  <c r="K43"/>
  <c r="L43"/>
  <c r="M43"/>
  <c r="H45"/>
  <c r="I45"/>
  <c r="J45"/>
  <c r="K45"/>
  <c r="L45"/>
  <c r="M45"/>
  <c r="H49"/>
  <c r="I49"/>
  <c r="J49"/>
  <c r="K49"/>
  <c r="L49"/>
  <c r="M49"/>
  <c r="H51"/>
  <c r="I51"/>
  <c r="J51"/>
  <c r="K51"/>
  <c r="L51"/>
  <c r="M51"/>
  <c r="H52"/>
  <c r="I52"/>
  <c r="J52"/>
  <c r="K52"/>
  <c r="L52"/>
  <c r="M52"/>
  <c r="H54"/>
  <c r="I54"/>
  <c r="J54"/>
  <c r="K54"/>
  <c r="L54"/>
  <c r="M54"/>
  <c r="H57"/>
  <c r="I57"/>
  <c r="J57"/>
  <c r="K57"/>
  <c r="L57"/>
  <c r="M57"/>
  <c r="H60"/>
  <c r="I60"/>
  <c r="J60"/>
  <c r="K60"/>
  <c r="L60"/>
  <c r="M60"/>
  <c r="H62"/>
  <c r="I62"/>
  <c r="J62"/>
  <c r="K62"/>
  <c r="L62"/>
  <c r="M62"/>
  <c r="H63"/>
  <c r="I63"/>
  <c r="J63"/>
  <c r="K63"/>
  <c r="L63"/>
  <c r="M63"/>
  <c r="H64"/>
  <c r="I64"/>
  <c r="J64"/>
  <c r="K64"/>
  <c r="L64"/>
  <c r="M64"/>
  <c r="H65"/>
  <c r="I65"/>
  <c r="J65"/>
  <c r="K65"/>
  <c r="L65"/>
  <c r="M65"/>
  <c r="H66"/>
  <c r="I66"/>
  <c r="J66"/>
  <c r="K66"/>
  <c r="L66"/>
  <c r="M66"/>
  <c r="H70"/>
  <c r="I70"/>
  <c r="J70"/>
  <c r="K70"/>
  <c r="L70"/>
  <c r="M70"/>
  <c r="H71"/>
  <c r="I71"/>
  <c r="J71"/>
  <c r="K71"/>
  <c r="L71"/>
  <c r="M71"/>
  <c r="H72"/>
  <c r="I72"/>
  <c r="J72"/>
  <c r="K72"/>
  <c r="L72"/>
  <c r="M72"/>
  <c r="H74"/>
  <c r="I74"/>
  <c r="J74"/>
  <c r="K74"/>
  <c r="L74"/>
  <c r="M74"/>
  <c r="H75"/>
  <c r="I75"/>
  <c r="J75"/>
  <c r="K75"/>
  <c r="L75"/>
  <c r="M75"/>
  <c r="H76"/>
  <c r="I76"/>
  <c r="J76"/>
  <c r="K76"/>
  <c r="L76"/>
  <c r="M76"/>
  <c r="H78"/>
  <c r="I78"/>
  <c r="J78"/>
  <c r="K78"/>
  <c r="L78"/>
  <c r="M78"/>
  <c r="H80"/>
  <c r="I80"/>
  <c r="J80"/>
  <c r="K80"/>
  <c r="L80"/>
  <c r="M80"/>
  <c r="H81"/>
  <c r="I81"/>
  <c r="J81"/>
  <c r="K81"/>
  <c r="L81"/>
  <c r="M81"/>
  <c r="H82"/>
  <c r="I82"/>
  <c r="J82"/>
  <c r="K82"/>
  <c r="L82"/>
  <c r="M82"/>
  <c r="H83"/>
  <c r="I83"/>
  <c r="J83"/>
  <c r="K83"/>
  <c r="L83"/>
  <c r="M83"/>
  <c r="H86"/>
  <c r="I86"/>
  <c r="J86"/>
  <c r="K86"/>
  <c r="L86"/>
  <c r="M86"/>
  <c r="H88"/>
  <c r="I88"/>
  <c r="J88"/>
  <c r="K88"/>
  <c r="L88"/>
  <c r="M88"/>
  <c r="H89"/>
  <c r="I89"/>
  <c r="J89"/>
  <c r="K89"/>
  <c r="L89"/>
  <c r="M89"/>
  <c r="H92"/>
  <c r="I92"/>
  <c r="J92"/>
  <c r="K92"/>
  <c r="L92"/>
  <c r="M92"/>
  <c r="H93"/>
  <c r="I93"/>
  <c r="J93"/>
  <c r="K93"/>
  <c r="L93"/>
  <c r="M93"/>
  <c r="H96"/>
  <c r="I96"/>
  <c r="J96"/>
  <c r="K96"/>
  <c r="L96"/>
  <c r="M96"/>
  <c r="H99"/>
  <c r="I99"/>
  <c r="J99"/>
  <c r="K99"/>
  <c r="L99"/>
  <c r="M99"/>
  <c r="H100"/>
  <c r="I100"/>
  <c r="J100"/>
  <c r="K100"/>
  <c r="L100"/>
  <c r="M100"/>
  <c r="H102"/>
  <c r="I102"/>
  <c r="J102"/>
  <c r="K102"/>
  <c r="L102"/>
  <c r="M102"/>
  <c r="H103"/>
  <c r="I103"/>
  <c r="J103"/>
  <c r="K103"/>
  <c r="L103"/>
  <c r="M103"/>
  <c r="H104"/>
  <c r="I104"/>
  <c r="J104"/>
  <c r="K104"/>
  <c r="L104"/>
  <c r="M104"/>
  <c r="H108"/>
  <c r="I108"/>
  <c r="J108"/>
  <c r="K108"/>
  <c r="L108"/>
  <c r="M108"/>
  <c r="H109"/>
  <c r="I109"/>
  <c r="J109"/>
  <c r="K109"/>
  <c r="L109"/>
  <c r="M109"/>
  <c r="H110"/>
  <c r="I110"/>
  <c r="J110"/>
  <c r="K110"/>
  <c r="L110"/>
  <c r="M110"/>
  <c r="H112"/>
  <c r="I112"/>
  <c r="J112"/>
  <c r="K112"/>
  <c r="L112"/>
  <c r="M112"/>
  <c r="H113"/>
  <c r="I113"/>
  <c r="J113"/>
  <c r="K113"/>
  <c r="L113"/>
  <c r="M113"/>
  <c r="H115"/>
  <c r="I115"/>
  <c r="J115"/>
  <c r="K115"/>
  <c r="L115"/>
  <c r="M115"/>
  <c r="H116"/>
  <c r="I116"/>
  <c r="J116"/>
  <c r="K116"/>
  <c r="L116"/>
  <c r="M116"/>
  <c r="H118"/>
  <c r="I118"/>
  <c r="J118"/>
  <c r="K118"/>
  <c r="L118"/>
  <c r="M118"/>
  <c r="H119"/>
  <c r="I119"/>
  <c r="J119"/>
  <c r="K119"/>
  <c r="L119"/>
  <c r="M119"/>
  <c r="H120"/>
  <c r="I120"/>
  <c r="J120"/>
  <c r="K120"/>
  <c r="L120"/>
  <c r="M120"/>
  <c r="H121"/>
  <c r="I121"/>
  <c r="J121"/>
  <c r="K121"/>
  <c r="L121"/>
  <c r="M121"/>
  <c r="H123"/>
  <c r="I123"/>
  <c r="J123"/>
  <c r="K123"/>
  <c r="L123"/>
  <c r="M123"/>
  <c r="H125"/>
  <c r="I125"/>
  <c r="J125"/>
  <c r="K125"/>
  <c r="L125"/>
  <c r="M125"/>
  <c r="H126"/>
  <c r="I126"/>
  <c r="J126"/>
  <c r="K126"/>
  <c r="L126"/>
  <c r="M126"/>
  <c r="H127"/>
  <c r="I127"/>
  <c r="J127"/>
  <c r="K127"/>
  <c r="L127"/>
  <c r="M127"/>
  <c r="H129"/>
  <c r="I129"/>
  <c r="J129"/>
  <c r="K129"/>
  <c r="L129"/>
  <c r="M129"/>
  <c r="H130"/>
  <c r="I130"/>
  <c r="J130"/>
  <c r="K130"/>
  <c r="L130"/>
  <c r="M130"/>
  <c r="H133"/>
  <c r="I133"/>
  <c r="J133"/>
  <c r="K133"/>
  <c r="L133"/>
  <c r="M133"/>
  <c r="H135"/>
  <c r="I135"/>
  <c r="J135"/>
  <c r="K135"/>
  <c r="L135"/>
  <c r="M135"/>
  <c r="H136"/>
  <c r="I136"/>
  <c r="J136"/>
  <c r="K136"/>
  <c r="L136"/>
  <c r="M136"/>
  <c r="H139"/>
  <c r="I139"/>
  <c r="J139"/>
  <c r="K139"/>
  <c r="L139"/>
  <c r="M139"/>
  <c r="H140"/>
  <c r="I140"/>
  <c r="J140"/>
  <c r="K140"/>
  <c r="L140"/>
  <c r="M140"/>
  <c r="H141"/>
  <c r="I141"/>
  <c r="J141"/>
  <c r="K141"/>
  <c r="L141"/>
  <c r="M141"/>
  <c r="H143"/>
  <c r="I143"/>
  <c r="J143"/>
  <c r="K143"/>
  <c r="L143"/>
  <c r="M143"/>
  <c r="H145"/>
  <c r="I145"/>
  <c r="J145"/>
  <c r="K145"/>
  <c r="L145"/>
  <c r="M145"/>
  <c r="H147"/>
  <c r="I147"/>
  <c r="J147"/>
  <c r="K147"/>
  <c r="L147"/>
  <c r="M147"/>
  <c r="H148"/>
  <c r="I148"/>
  <c r="J148"/>
  <c r="K148"/>
  <c r="L148"/>
  <c r="M148"/>
  <c r="H149"/>
  <c r="I149"/>
  <c r="J149"/>
  <c r="K149"/>
  <c r="L149"/>
  <c r="M149"/>
  <c r="H150"/>
  <c r="I150"/>
  <c r="J150"/>
  <c r="K150"/>
  <c r="L150"/>
  <c r="M150"/>
  <c r="H151"/>
  <c r="I151"/>
  <c r="J151"/>
  <c r="K151"/>
  <c r="L151"/>
  <c r="M151"/>
  <c r="H152"/>
  <c r="I152"/>
  <c r="J152"/>
  <c r="K152"/>
  <c r="L152"/>
  <c r="M152"/>
  <c r="H153"/>
  <c r="I153"/>
  <c r="J153"/>
  <c r="K153"/>
  <c r="L153"/>
  <c r="M153"/>
  <c r="H154"/>
  <c r="I154"/>
  <c r="J154"/>
  <c r="K154"/>
  <c r="L154"/>
  <c r="M154"/>
  <c r="H155"/>
  <c r="I155"/>
  <c r="J155"/>
  <c r="K155"/>
  <c r="L155"/>
  <c r="M155"/>
  <c r="H156"/>
  <c r="I156"/>
  <c r="J156"/>
  <c r="K156"/>
  <c r="L156"/>
  <c r="M156"/>
  <c r="H157"/>
  <c r="I157"/>
  <c r="J157"/>
  <c r="K157"/>
  <c r="L157"/>
  <c r="M157"/>
  <c r="H158"/>
  <c r="I158"/>
  <c r="J158"/>
  <c r="K158"/>
  <c r="L158"/>
  <c r="M158"/>
  <c r="H159"/>
  <c r="I159"/>
  <c r="J159"/>
  <c r="K159"/>
  <c r="L159"/>
  <c r="M159"/>
  <c r="H160"/>
  <c r="I160"/>
  <c r="J160"/>
  <c r="K160"/>
  <c r="L160"/>
  <c r="M160"/>
  <c r="H161"/>
  <c r="I161"/>
  <c r="J161"/>
  <c r="K161"/>
  <c r="L161"/>
  <c r="M161"/>
  <c r="H162"/>
  <c r="I162"/>
  <c r="J162"/>
  <c r="K162"/>
  <c r="L162"/>
  <c r="M162"/>
  <c r="H163"/>
  <c r="I163"/>
  <c r="J163"/>
  <c r="K163"/>
  <c r="L163"/>
  <c r="M163"/>
  <c r="H164"/>
  <c r="I164"/>
  <c r="J164"/>
  <c r="K164"/>
  <c r="L164"/>
  <c r="M164"/>
  <c r="H165"/>
  <c r="I165"/>
  <c r="J165"/>
  <c r="K165"/>
  <c r="L165"/>
  <c r="M165"/>
  <c r="H166"/>
  <c r="I166"/>
  <c r="J166"/>
  <c r="K166"/>
  <c r="L166"/>
  <c r="M166"/>
  <c r="H167"/>
  <c r="I167"/>
  <c r="J167"/>
  <c r="K167"/>
  <c r="L167"/>
  <c r="M167"/>
  <c r="H168"/>
  <c r="I168"/>
  <c r="J168"/>
  <c r="K168"/>
  <c r="L168"/>
  <c r="M168"/>
  <c r="H169"/>
  <c r="I169"/>
  <c r="J169"/>
  <c r="K169"/>
  <c r="L169"/>
  <c r="M169"/>
  <c r="H170"/>
  <c r="I170"/>
  <c r="J170"/>
  <c r="K170"/>
  <c r="L170"/>
  <c r="M170"/>
  <c r="H171"/>
  <c r="I171"/>
  <c r="J171"/>
  <c r="K171"/>
  <c r="L171"/>
  <c r="M171"/>
  <c r="H172"/>
  <c r="I172"/>
  <c r="J172"/>
  <c r="K172"/>
  <c r="L172"/>
  <c r="M172"/>
  <c r="H173"/>
  <c r="I173"/>
  <c r="J173"/>
  <c r="K173"/>
  <c r="L173"/>
  <c r="M173"/>
  <c r="H174"/>
  <c r="I174"/>
  <c r="J174"/>
  <c r="K174"/>
  <c r="L174"/>
  <c r="M174"/>
  <c r="H175"/>
  <c r="I175"/>
  <c r="J175"/>
  <c r="K175"/>
  <c r="L175"/>
  <c r="M175"/>
  <c r="H176"/>
  <c r="I176"/>
  <c r="J176"/>
  <c r="K176"/>
  <c r="L176"/>
  <c r="M176"/>
  <c r="H177"/>
  <c r="I177"/>
  <c r="J177"/>
  <c r="K177"/>
  <c r="L177"/>
  <c r="M177"/>
  <c r="H178"/>
  <c r="I178"/>
  <c r="J178"/>
  <c r="K178"/>
  <c r="L178"/>
  <c r="M178"/>
  <c r="H179"/>
  <c r="I179"/>
  <c r="J179"/>
  <c r="K179"/>
  <c r="L179"/>
  <c r="M179"/>
  <c r="H180"/>
  <c r="I180"/>
  <c r="J180"/>
  <c r="K180"/>
  <c r="L180"/>
  <c r="M180"/>
  <c r="H181"/>
  <c r="I181"/>
  <c r="J181"/>
  <c r="K181"/>
  <c r="L181"/>
  <c r="M181"/>
  <c r="H182"/>
  <c r="I182"/>
  <c r="J182"/>
  <c r="K182"/>
  <c r="L182"/>
  <c r="M182"/>
  <c r="H183"/>
  <c r="I183"/>
  <c r="J183"/>
  <c r="K183"/>
  <c r="L183"/>
  <c r="M183"/>
  <c r="H184"/>
  <c r="I184"/>
  <c r="J184"/>
  <c r="K184"/>
  <c r="L184"/>
  <c r="M184"/>
  <c r="H185"/>
  <c r="I185"/>
  <c r="J185"/>
  <c r="K185"/>
  <c r="L185"/>
  <c r="M185"/>
  <c r="H186"/>
  <c r="I186"/>
  <c r="J186"/>
  <c r="K186"/>
  <c r="L186"/>
  <c r="M186"/>
  <c r="H187"/>
  <c r="I187"/>
  <c r="J187"/>
  <c r="K187"/>
  <c r="L187"/>
  <c r="M187"/>
  <c r="H188"/>
  <c r="I188"/>
  <c r="J188"/>
  <c r="K188"/>
  <c r="L188"/>
  <c r="M188"/>
  <c r="H189"/>
  <c r="I189"/>
  <c r="J189"/>
  <c r="K189"/>
  <c r="L189"/>
  <c r="M189"/>
  <c r="H190"/>
  <c r="I190"/>
  <c r="J190"/>
  <c r="K190"/>
  <c r="L190"/>
  <c r="M190"/>
  <c r="H191"/>
  <c r="I191"/>
  <c r="J191"/>
  <c r="K191"/>
  <c r="L191"/>
  <c r="M191"/>
  <c r="H192"/>
  <c r="I192"/>
  <c r="J192"/>
  <c r="K192"/>
  <c r="L192"/>
  <c r="M192"/>
  <c r="H193"/>
  <c r="I193"/>
  <c r="J193"/>
  <c r="K193"/>
  <c r="L193"/>
  <c r="M193"/>
  <c r="I2"/>
  <c r="J2"/>
  <c r="K2"/>
  <c r="L2"/>
  <c r="M2"/>
  <c r="H2"/>
  <c r="H154" i="3"/>
  <c r="N154"/>
  <c r="S1"/>
  <c r="R1"/>
  <c r="Q1"/>
  <c r="P1"/>
  <c r="O1"/>
  <c r="N1"/>
  <c r="M1"/>
  <c r="L1"/>
  <c r="K1"/>
  <c r="J1"/>
  <c r="I1"/>
  <c r="H1"/>
  <c r="N154" i="2"/>
  <c r="S1"/>
  <c r="R1"/>
  <c r="Q1"/>
  <c r="P1"/>
  <c r="O1"/>
  <c r="N1"/>
  <c r="H154"/>
  <c r="L1"/>
  <c r="M1"/>
  <c r="I1"/>
  <c r="J1"/>
  <c r="K1"/>
  <c r="H1"/>
  <c r="I1" i="1"/>
  <c r="J1"/>
  <c r="K1"/>
  <c r="L1"/>
  <c r="M1"/>
  <c r="H1"/>
  <c r="N1"/>
  <c r="S1"/>
  <c r="O1"/>
  <c r="P1"/>
  <c r="Q1"/>
  <c r="R1"/>
  <c r="BE54" i="12" l="1"/>
  <c r="BE82"/>
  <c r="BE111"/>
  <c r="BE167"/>
  <c r="BD165"/>
  <c r="BE152"/>
  <c r="BE8"/>
  <c r="BE182"/>
  <c r="BE153"/>
  <c r="BE124"/>
  <c r="BE95"/>
  <c r="BE67"/>
  <c r="BE47"/>
  <c r="BE18"/>
  <c r="BE37"/>
  <c r="BE181"/>
  <c r="BE123"/>
  <c r="BE38"/>
  <c r="BE191"/>
  <c r="BE162"/>
  <c r="BE133"/>
  <c r="BE104"/>
  <c r="BE75"/>
  <c r="BE48"/>
  <c r="BE21"/>
  <c r="BE35"/>
  <c r="BE65"/>
  <c r="BE192"/>
  <c r="BE163"/>
  <c r="BE134"/>
  <c r="BE106"/>
  <c r="BE77"/>
  <c r="BE51"/>
  <c r="BE22"/>
  <c r="BE193"/>
  <c r="BE164"/>
  <c r="BE135"/>
  <c r="BE107"/>
  <c r="BE78"/>
  <c r="BE52"/>
  <c r="BE23"/>
  <c r="BE175"/>
  <c r="BE147"/>
  <c r="BE118"/>
  <c r="BE91"/>
  <c r="BE62"/>
  <c r="BE34"/>
  <c r="BE4"/>
  <c r="BE177"/>
  <c r="BE148"/>
  <c r="BE122"/>
  <c r="BE92"/>
  <c r="BE63"/>
  <c r="BE5"/>
  <c r="BE178"/>
  <c r="BE151"/>
  <c r="BE121"/>
  <c r="BE93"/>
  <c r="BE64"/>
  <c r="BE7"/>
  <c r="BE94"/>
  <c r="BE2"/>
  <c r="BE165"/>
  <c r="BE137"/>
  <c r="BE108"/>
  <c r="BE81"/>
  <c r="BE53"/>
  <c r="BE24"/>
  <c r="BE183"/>
  <c r="BE168"/>
  <c r="BE154"/>
  <c r="BE141"/>
  <c r="BE125"/>
  <c r="BE112"/>
  <c r="BE97"/>
  <c r="BE83"/>
  <c r="BE68"/>
  <c r="BE11"/>
  <c r="BE184"/>
  <c r="BE171"/>
  <c r="BE155"/>
  <c r="BE142"/>
  <c r="BE127"/>
  <c r="BE113"/>
  <c r="BE98"/>
  <c r="BE84"/>
  <c r="BE71"/>
  <c r="BE55"/>
  <c r="BE42"/>
  <c r="BE27"/>
  <c r="BE13"/>
  <c r="BE185"/>
  <c r="BE172"/>
  <c r="BE157"/>
  <c r="BE143"/>
  <c r="BE128"/>
  <c r="BE114"/>
  <c r="BE101"/>
  <c r="BE85"/>
  <c r="BE72"/>
  <c r="BE57"/>
  <c r="BE43"/>
  <c r="BE28"/>
  <c r="BE14"/>
  <c r="BE41"/>
  <c r="BE187"/>
  <c r="BE173"/>
  <c r="BE158"/>
  <c r="BE144"/>
  <c r="BE131"/>
  <c r="BE115"/>
  <c r="BE102"/>
  <c r="BE87"/>
  <c r="BE73"/>
  <c r="BE58"/>
  <c r="BE44"/>
  <c r="BE31"/>
  <c r="BE15"/>
  <c r="BE25"/>
  <c r="BE188"/>
  <c r="BE174"/>
  <c r="BE161"/>
  <c r="BE145"/>
  <c r="BE132"/>
  <c r="BE117"/>
  <c r="BE103"/>
  <c r="BE88"/>
  <c r="BE74"/>
  <c r="BE61"/>
  <c r="BE45"/>
  <c r="BE32"/>
  <c r="BE17"/>
  <c r="BE186"/>
  <c r="BE176"/>
  <c r="BE166"/>
  <c r="BE156"/>
  <c r="BE146"/>
  <c r="BE136"/>
  <c r="BE126"/>
  <c r="BE116"/>
  <c r="BE105"/>
  <c r="BE96"/>
  <c r="BE86"/>
  <c r="BE76"/>
  <c r="BE66"/>
  <c r="BE56"/>
  <c r="BE46"/>
  <c r="BE36"/>
  <c r="BE26"/>
  <c r="BE16"/>
  <c r="BE6"/>
  <c r="BE189"/>
  <c r="BE179"/>
  <c r="BE169"/>
  <c r="BE159"/>
  <c r="BE149"/>
  <c r="BE139"/>
  <c r="BE129"/>
  <c r="BE119"/>
  <c r="BE109"/>
  <c r="BE99"/>
  <c r="BE89"/>
  <c r="BE79"/>
  <c r="BE69"/>
  <c r="BE59"/>
  <c r="BE49"/>
  <c r="BE39"/>
  <c r="BE29"/>
  <c r="BE19"/>
  <c r="BE9"/>
  <c r="BE190"/>
  <c r="BE180"/>
  <c r="BE170"/>
  <c r="BE160"/>
  <c r="BE150"/>
  <c r="BE140"/>
  <c r="BE130"/>
  <c r="BE120"/>
  <c r="BE110"/>
  <c r="BE100"/>
  <c r="BE90"/>
  <c r="BE80"/>
  <c r="BE70"/>
  <c r="BE60"/>
  <c r="BE50"/>
  <c r="BE40"/>
  <c r="BE30"/>
  <c r="BE20"/>
  <c r="BE10"/>
  <c r="BE12"/>
  <c r="BD176"/>
  <c r="BD72"/>
  <c r="BD32"/>
  <c r="BD56"/>
  <c r="BD188"/>
  <c r="BD111"/>
  <c r="BD131"/>
  <c r="BD71"/>
  <c r="BD42"/>
  <c r="BD178"/>
  <c r="BD119"/>
  <c r="BD168"/>
  <c r="BD148"/>
  <c r="BD93"/>
  <c r="BD69"/>
  <c r="BD128"/>
  <c r="BD137"/>
  <c r="BD179"/>
  <c r="BD54"/>
  <c r="BD104"/>
  <c r="BD155"/>
  <c r="BD141"/>
  <c r="BD96"/>
  <c r="BD37"/>
  <c r="BD39"/>
  <c r="BD15"/>
  <c r="BD132"/>
  <c r="BD82"/>
  <c r="BD77"/>
  <c r="BD14"/>
  <c r="BD124"/>
  <c r="BD130"/>
  <c r="BD90"/>
  <c r="BD44"/>
  <c r="BD127"/>
  <c r="BD158"/>
  <c r="BD66"/>
  <c r="BD172"/>
  <c r="BD79"/>
  <c r="BD73"/>
  <c r="BD101"/>
  <c r="BD146"/>
  <c r="BD28"/>
  <c r="BD125"/>
  <c r="BD174"/>
  <c r="BD86"/>
  <c r="BD134"/>
  <c r="BD100"/>
  <c r="BD25"/>
  <c r="BD55"/>
  <c r="BD84"/>
  <c r="BD23"/>
  <c r="BD152"/>
  <c r="BD18"/>
  <c r="BD46"/>
  <c r="BD115"/>
  <c r="BD106"/>
  <c r="BD41"/>
  <c r="BD186"/>
  <c r="BD138"/>
  <c r="BD91"/>
  <c r="BD161"/>
  <c r="BD154"/>
  <c r="BD53"/>
  <c r="BD26"/>
  <c r="BD3"/>
  <c r="BD187"/>
  <c r="BD33"/>
  <c r="BD2"/>
  <c r="BD135"/>
  <c r="BD109"/>
  <c r="BD149"/>
  <c r="BD11"/>
  <c r="BD189"/>
  <c r="BD177"/>
  <c r="BD19"/>
  <c r="BD117"/>
  <c r="BD95"/>
  <c r="BD57"/>
  <c r="BD22"/>
  <c r="BD140"/>
  <c r="BD64"/>
  <c r="BD20"/>
  <c r="BD97"/>
  <c r="BD47"/>
  <c r="BD192"/>
  <c r="BD8"/>
  <c r="BD182"/>
  <c r="BD16"/>
  <c r="BD139"/>
  <c r="BD110"/>
  <c r="BD116"/>
  <c r="BD173"/>
  <c r="BD166"/>
  <c r="BD87"/>
  <c r="BD156"/>
  <c r="BD43"/>
  <c r="BD147"/>
  <c r="BD51"/>
  <c r="BD63"/>
  <c r="BD121"/>
  <c r="BD12"/>
  <c r="BD31"/>
  <c r="BD112"/>
  <c r="BD193"/>
  <c r="BD99"/>
  <c r="BD183"/>
  <c r="BD94"/>
  <c r="BD48"/>
  <c r="BD7"/>
  <c r="BD36"/>
  <c r="BD102"/>
  <c r="BD167"/>
  <c r="BD92"/>
  <c r="BD157"/>
  <c r="BD67"/>
  <c r="BD17"/>
  <c r="BD142"/>
  <c r="BD58"/>
  <c r="BD76"/>
  <c r="BD40"/>
  <c r="BD62"/>
  <c r="BD144"/>
  <c r="BD50"/>
  <c r="BD9"/>
  <c r="BD184"/>
  <c r="BD21"/>
  <c r="BD89"/>
  <c r="BD129"/>
  <c r="BD113"/>
  <c r="BD175"/>
  <c r="BD169"/>
  <c r="BD162"/>
  <c r="BD145"/>
  <c r="BD151"/>
  <c r="BD78"/>
  <c r="BD75"/>
  <c r="BD133"/>
  <c r="BD105"/>
  <c r="BD122"/>
  <c r="BD4"/>
  <c r="BD52"/>
  <c r="BD108"/>
  <c r="BD80"/>
  <c r="BD185"/>
  <c r="BD85"/>
  <c r="BD13"/>
  <c r="BD24"/>
  <c r="BD65"/>
  <c r="BD123"/>
  <c r="BD98"/>
  <c r="BD163"/>
  <c r="BD159"/>
  <c r="BD70"/>
  <c r="BD136"/>
  <c r="BD118"/>
  <c r="BD61"/>
  <c r="BD27"/>
  <c r="BD30"/>
  <c r="BD107"/>
  <c r="BD60"/>
  <c r="BD49"/>
  <c r="BD190"/>
  <c r="BD38"/>
  <c r="BD180"/>
  <c r="BD114"/>
  <c r="BD120"/>
  <c r="BD83"/>
  <c r="BD143"/>
  <c r="BD170"/>
  <c r="BD164"/>
  <c r="BD153"/>
  <c r="BD103"/>
  <c r="BD74"/>
  <c r="BD34"/>
  <c r="BD150"/>
  <c r="BD68"/>
  <c r="BD5"/>
  <c r="BD35"/>
  <c r="BD126"/>
  <c r="BD10"/>
  <c r="BD191"/>
  <c r="BD88"/>
  <c r="BD181"/>
  <c r="BD29"/>
  <c r="BD45"/>
  <c r="BD6"/>
  <c r="BD59"/>
  <c r="BD171"/>
  <c r="BD81"/>
</calcChain>
</file>

<file path=xl/sharedStrings.xml><?xml version="1.0" encoding="utf-8"?>
<sst xmlns="http://schemas.openxmlformats.org/spreadsheetml/2006/main" count="869" uniqueCount="216">
  <si>
    <t>setting</t>
  </si>
  <si>
    <t>Box-F1</t>
  </si>
  <si>
    <t>Mask-F1</t>
  </si>
  <si>
    <t>ft20_AdamW_ariel.pt_feval.csv</t>
  </si>
  <si>
    <t>ft20_AdamW_feval.csv</t>
  </si>
  <si>
    <t>ft20_RMSProp_ariel.pt_feval.csv</t>
  </si>
  <si>
    <t>ft20_RMSProp_feval.csv</t>
  </si>
  <si>
    <t>ft20_SGD_ariel.pt_feval.csv</t>
  </si>
  <si>
    <t>ft20_SGD_feval.csv</t>
  </si>
  <si>
    <t>ft21fin_SGD_finloop.pt_feval.csv</t>
  </si>
  <si>
    <t>ft21v8_SGD_feval.csv</t>
  </si>
  <si>
    <t>ft21v8_SGD_yolov8l-seg.pt_feval.csv</t>
  </si>
  <si>
    <t>ft21_AdamW_ariel.pt_feval.csv</t>
  </si>
  <si>
    <t>ft21_AdamW_feval.csv</t>
  </si>
  <si>
    <t>ft21_RMSProp_ariel.pt_feval.csv</t>
  </si>
  <si>
    <t>ft21_RMSProp_feval.csv</t>
  </si>
  <si>
    <t>ft21_SGD_ariel.pt_feval.csv</t>
  </si>
  <si>
    <t>ft21_SGD_feval.csv</t>
  </si>
  <si>
    <t>ft22_AdamW_ariel.pt_feval.csv</t>
  </si>
  <si>
    <t>ft22_AdamW_feval.csv</t>
  </si>
  <si>
    <t>ft22_RMSProp_ariel.pt_feval.csv</t>
  </si>
  <si>
    <t>ft22_RMSProp_feval.csv</t>
  </si>
  <si>
    <t>ft22_SGD_ariel.pt_feval.csv</t>
  </si>
  <si>
    <t>ft22_SGD_feval.csv</t>
  </si>
  <si>
    <t>ft23_AdamW_ariel.pt_feval.csv</t>
  </si>
  <si>
    <t>ft23_AdamW_feval.csv</t>
  </si>
  <si>
    <t>ft23_RMSProp_ariel.pt_feval.csv</t>
  </si>
  <si>
    <t>ft23_RMSProp_feval.csv</t>
  </si>
  <si>
    <t>ft23_SGD_ariel.pt_feval.csv</t>
  </si>
  <si>
    <t>ft23_SGD_feval.csv</t>
  </si>
  <si>
    <t>ft24_AdamW_ariel.pt_feval.csv</t>
  </si>
  <si>
    <t>ft24_AdamW_feval.csv</t>
  </si>
  <si>
    <t>ft24_RMSProp_ariel.pt_feval.csv</t>
  </si>
  <si>
    <t>ft24_RMSProp_feval.csv</t>
  </si>
  <si>
    <t>ft24_SGD_ariel.pt_feval.csv</t>
  </si>
  <si>
    <t>ft24_SGD_feval.csv</t>
  </si>
  <si>
    <t>ft25_AdamW_ariel.pt_feval.csv</t>
  </si>
  <si>
    <t>ft25_AdamW_feval.csv</t>
  </si>
  <si>
    <t>ft25_RMSProp_ariel.pt_feval.csv</t>
  </si>
  <si>
    <t>ft25_RMSProp_feval.csv</t>
  </si>
  <si>
    <t>ft25_SGD_ariel.pt_feval.csv</t>
  </si>
  <si>
    <t>ft25_SGD_feval.csv</t>
  </si>
  <si>
    <t>ft26_AdamW_feval.csv</t>
  </si>
  <si>
    <t>ft26_AdamW_finloop.pt_feval.csv</t>
  </si>
  <si>
    <t>ft26_SGD_feval.csv</t>
  </si>
  <si>
    <t>ft26_SGD_finloop.pt_feval.csv</t>
  </si>
  <si>
    <t>ft27_AdamW_feval.csv</t>
  </si>
  <si>
    <t>ft27_AdamW_finloop.pt_feval.csv</t>
  </si>
  <si>
    <t>ft27_SGD_feval.csv</t>
  </si>
  <si>
    <t>ft27_SGD_finloop.pt_feval.csv</t>
  </si>
  <si>
    <t>ft28_AdamW_feval.csv</t>
  </si>
  <si>
    <t>ft28_AdamW_finloop.pt_feval.csv</t>
  </si>
  <si>
    <t>ft28_SGD_feval.csv</t>
  </si>
  <si>
    <t>ft28_SGD_finloop.pt_feval.csv</t>
  </si>
  <si>
    <t>ft29_AdamW_feval.csv</t>
  </si>
  <si>
    <t>ft29_AdamW_finloop.pt_feval.csv</t>
  </si>
  <si>
    <t>ft29_SGD_feval.csv</t>
  </si>
  <si>
    <t>ft29_SGD_finloop.pt_feval.csv</t>
  </si>
  <si>
    <t>ft30_AdamW_feval.csv</t>
  </si>
  <si>
    <t>ft30_AdamW_finloop.pt_feval.csv</t>
  </si>
  <si>
    <t>ft30_SGD_feval.csv</t>
  </si>
  <si>
    <t>ft30_SGD_finloop.pt_feval.csv</t>
  </si>
  <si>
    <t>ft31_AdamW_feval.csv</t>
  </si>
  <si>
    <t>ft31_AdamW_finloop.pt_feval.csv</t>
  </si>
  <si>
    <t>ft31_SGD_feval.csv</t>
  </si>
  <si>
    <t>ft31_SGD_finloop.pt_feval.csv</t>
  </si>
  <si>
    <t>ft32_AdamW_feval.csv</t>
  </si>
  <si>
    <t>ft32_AdamW_finloop.pt_feval.csv</t>
  </si>
  <si>
    <t>ft32_SGD_feval.csv</t>
  </si>
  <si>
    <t>ft32_SGD_finloop.pt_feval.csv</t>
  </si>
  <si>
    <t>ft33_AdamW_feval.csv</t>
  </si>
  <si>
    <t>ft33_AdamW_finloop.pt_feval.csv</t>
  </si>
  <si>
    <t>ft33_SGD_feval.csv</t>
  </si>
  <si>
    <t>ft33_SGD_finloop.pt_feval.csv</t>
  </si>
  <si>
    <t>ft34_AdamW_finloop.pt_feval.csv</t>
  </si>
  <si>
    <t>ft34_Adam_finloop.pt_feval.csv</t>
  </si>
  <si>
    <t>ft34_auto_finloop.pt_feval.csv</t>
  </si>
  <si>
    <t>ft34_SGD_finloop.pt_feval.csv</t>
  </si>
  <si>
    <t>ft35_AdamW_finloop.pt_feval.csv</t>
  </si>
  <si>
    <t>ft35_Adam_finloop.pt_feval.csv</t>
  </si>
  <si>
    <t>ft35_auto_finloop.pt_feval.csv</t>
  </si>
  <si>
    <t>ft35_SGD_finloop.pt_feval.csv</t>
  </si>
  <si>
    <t>ft36_AdamW_finloop.pt_feval.csv</t>
  </si>
  <si>
    <t>ft36_Adam_finloop.pt_feval.csv</t>
  </si>
  <si>
    <t>ft36_auto_finloop.pt_feval.csv</t>
  </si>
  <si>
    <t>ft36_SGD_finloop.pt_feval.csv</t>
  </si>
  <si>
    <t>ft37_AdamW_finloop.pt_feval.csv</t>
  </si>
  <si>
    <t>ft37_Adam_finloop.pt_feval.csv</t>
  </si>
  <si>
    <t>ft37_auto_finloop.pt_feval.csv</t>
  </si>
  <si>
    <t>ft37_SGD_finloop.pt_feval.csv</t>
  </si>
  <si>
    <t>ft38_AdamW_finloop.pt_feval.csv</t>
  </si>
  <si>
    <t>ft38_Adam_finloop.pt_feval.csv</t>
  </si>
  <si>
    <t>ft38_auto_finloop.pt_feval.csv</t>
  </si>
  <si>
    <t>ft38_SGD_finloop.pt_feval.csv</t>
  </si>
  <si>
    <t>ft39_AdamW_finloop.pt_feval.csv</t>
  </si>
  <si>
    <t>ft39_Adam_finloop.pt_feval.csv</t>
  </si>
  <si>
    <t>ft39_auto_finloop.pt_feval.csv</t>
  </si>
  <si>
    <t>ft39_SGD_finloop.pt_feval.csv</t>
  </si>
  <si>
    <t>ft40_AdamW_finloop.pt_feval.csv</t>
  </si>
  <si>
    <t>ft40_Adam_finloop.pt_feval.csv</t>
  </si>
  <si>
    <t>ft40_auto_finloop.pt_feval.csv</t>
  </si>
  <si>
    <t>ft40_SGD_finloop.pt_feval.csv</t>
  </si>
  <si>
    <t>ft41_AdamW_finloop.pt_feval.csv</t>
  </si>
  <si>
    <t>ft41_Adam_finloop.pt_feval.csv</t>
  </si>
  <si>
    <t>ft41_auto_finloop.pt_feval.csv</t>
  </si>
  <si>
    <t>ft41_SGD_finloop.pt_feval.csv</t>
  </si>
  <si>
    <t>ft42_AdamW_finloop.pt_feval.csv</t>
  </si>
  <si>
    <t>ft42_Adam_finloop.pt_feval.csv</t>
  </si>
  <si>
    <t>ft42_auto_finloop.pt_feval.csv</t>
  </si>
  <si>
    <t>ft42_SGD_finloop.pt_feval.csv</t>
  </si>
  <si>
    <t>ft43cos_AdamW_feval.csv</t>
  </si>
  <si>
    <t>ft43cos_AdamW_finloop.pt_feval.csv</t>
  </si>
  <si>
    <t>ft43cos_Adam_finloop.pt_feval.csv</t>
  </si>
  <si>
    <t>ft43cos_auto_finloop.pt_feval.csv</t>
  </si>
  <si>
    <t>ft43cos_SGD_feval.csv</t>
  </si>
  <si>
    <t>ft43cos_SGD_finloop.pt_feval.csv</t>
  </si>
  <si>
    <t>ft43_AdamW_feval.csv</t>
  </si>
  <si>
    <t>ft43_AdamW_finloop.pt_feval.csv</t>
  </si>
  <si>
    <t>ft43_Adam_finloop.pt_feval.csv</t>
  </si>
  <si>
    <t>ft43_auto_finloop.pt_feval.csv</t>
  </si>
  <si>
    <t>ft43_SGD_feval.csv</t>
  </si>
  <si>
    <t>ft43_SGD_finloop.pt_feval.csv</t>
  </si>
  <si>
    <t>ft44cos_AdamW_feval.csv</t>
  </si>
  <si>
    <t>ft44cos_AdamW_finloop.pt_feval.csv</t>
  </si>
  <si>
    <t>ft44cos_Adam_finloop.pt_feval.csv</t>
  </si>
  <si>
    <t>ft44cos_auto_finloop.pt_feval.csv</t>
  </si>
  <si>
    <t>ft44cos_SGD_feval.csv</t>
  </si>
  <si>
    <t>ft44cos_SGD_finloop.pt_feval.csv</t>
  </si>
  <si>
    <t>ft44_AdamW_feval.csv</t>
  </si>
  <si>
    <t>ft44_AdamW_finloop.pt_feval.csv</t>
  </si>
  <si>
    <t>ft44_Adam_finloop.pt_feval.csv</t>
  </si>
  <si>
    <t>ft44_auto_finloop.pt_feval.csv</t>
  </si>
  <si>
    <t>ft44_SGD_feval.csv</t>
  </si>
  <si>
    <t>ft44_SGD_finloop.pt_feval.csv</t>
  </si>
  <si>
    <t>ft45cos_AdamW_feval.csv</t>
  </si>
  <si>
    <t>ft45cos_AdamW_finloop.pt_feval.csv</t>
  </si>
  <si>
    <t>ft45cos_Adam_finloop.pt_feval.csv</t>
  </si>
  <si>
    <t>ft45cos_auto_finloop.pt_feval.csv</t>
  </si>
  <si>
    <t>ft45cos_SGD_feval.csv</t>
  </si>
  <si>
    <t>ft45cos_SGD_finloop.pt_feval.csv</t>
  </si>
  <si>
    <t>ft45_AdamW_feval.csv</t>
  </si>
  <si>
    <t>ft45_AdamW_finloop.pt_feval.csv</t>
  </si>
  <si>
    <t>ft45_Adam_finloop.pt_feval.csv</t>
  </si>
  <si>
    <t>ft45_auto_finloop.pt_feval.csv</t>
  </si>
  <si>
    <t>ft45_SGD_feval.csv</t>
  </si>
  <si>
    <t>ft45_SGD_finloop.pt_feval.csv</t>
  </si>
  <si>
    <t>finloop</t>
  </si>
  <si>
    <t>B-mAP50</t>
  </si>
  <si>
    <t>B-mAP50-95</t>
  </si>
  <si>
    <t>M-mAP50</t>
  </si>
  <si>
    <t>M-mAP50-95</t>
  </si>
  <si>
    <t>rBox-F1</t>
  </si>
  <si>
    <t>rB-mAP50</t>
  </si>
  <si>
    <t>rB-mAP50-95</t>
  </si>
  <si>
    <t>rM-mAP50</t>
  </si>
  <si>
    <t>rM-mAP50-95</t>
  </si>
  <si>
    <t>rMask-F1</t>
  </si>
  <si>
    <t>dBox-F1</t>
  </si>
  <si>
    <t>dB-mAP50</t>
  </si>
  <si>
    <t>dB-mAP50-95</t>
  </si>
  <si>
    <t>dM-mAP50</t>
  </si>
  <si>
    <t>dM-mAP50-95</t>
  </si>
  <si>
    <t>dMask-F1</t>
  </si>
  <si>
    <t>pr-M-mAP50-95</t>
  </si>
  <si>
    <t>p</t>
  </si>
  <si>
    <t>r</t>
  </si>
  <si>
    <t>ft46cos_Adam_finloop.pt</t>
  </si>
  <si>
    <t>ft46cos_AdamW</t>
  </si>
  <si>
    <t>ft46cos_AdamW_finloop.pt</t>
  </si>
  <si>
    <t>ft46cos_auto</t>
  </si>
  <si>
    <t>ft46cos_auto_finloop.pt</t>
  </si>
  <si>
    <t>ft46cos_SGD</t>
  </si>
  <si>
    <t>ft46cos_SGD_finloop.pt</t>
  </si>
  <si>
    <t>ft47cos_Adam_finloop.pt</t>
  </si>
  <si>
    <t>ft47cos_AdamW</t>
  </si>
  <si>
    <t>ft47cos_AdamW_finloop.pt</t>
  </si>
  <si>
    <t>ft47cos_auto</t>
  </si>
  <si>
    <t>ft47cos_auto_finloop.pt</t>
  </si>
  <si>
    <t>ft47cos_SGD</t>
  </si>
  <si>
    <t>ft47cos_SGD_finloop.pt</t>
  </si>
  <si>
    <t>ft48cos_Adam_finloop.pt</t>
  </si>
  <si>
    <t>ft48cos_AdamW</t>
  </si>
  <si>
    <t>ft48cos_AdamW_finloop.pt</t>
  </si>
  <si>
    <t>ft48cos_auto</t>
  </si>
  <si>
    <t>ft48cos_auto_finloop.pt</t>
  </si>
  <si>
    <t>ft48cos_SGD</t>
  </si>
  <si>
    <t>ft48cos_SGD_finloop.pt</t>
  </si>
  <si>
    <t>ft49cos_Adam_finloop.pt</t>
  </si>
  <si>
    <t>ft49cos_AdamW</t>
  </si>
  <si>
    <t>ft49cos_AdamW_finloop.pt</t>
  </si>
  <si>
    <t>ft49cos_auto</t>
  </si>
  <si>
    <t>ft49cos_auto_finloop.pt</t>
  </si>
  <si>
    <t>ft49cos_SGD</t>
  </si>
  <si>
    <t>ft49cos_SGD_finloop.pt</t>
  </si>
  <si>
    <t>ft50cos_Adam_finloop.pt</t>
  </si>
  <si>
    <t>ft50cos_AdamW</t>
  </si>
  <si>
    <t>ft50cos_AdamW_finloop.pt</t>
  </si>
  <si>
    <t>ft50cos_auto</t>
  </si>
  <si>
    <t>ft50cos_auto_finloop.pt</t>
  </si>
  <si>
    <t>ft50cos_SGD</t>
  </si>
  <si>
    <t>ft50cos_SGD_finloop.pt</t>
  </si>
  <si>
    <t>ft51cos_Adam_finloop.pt</t>
  </si>
  <si>
    <t>ft51cos_AdamW</t>
  </si>
  <si>
    <t>ft51cos_AdamW_finloop.pt</t>
  </si>
  <si>
    <t>ft51cos_auto</t>
  </si>
  <si>
    <t>ft51cos_auto_finloop.pt</t>
  </si>
  <si>
    <t>ft51cos_SGD</t>
  </si>
  <si>
    <t>ft51cos_SGD_finloop.pt</t>
  </si>
  <si>
    <t>ft52cos_Adam_finloop.pt</t>
  </si>
  <si>
    <t>ft52cos_AdamW</t>
  </si>
  <si>
    <t>ft52cos_AdamW_finloop.pt</t>
  </si>
  <si>
    <t>ft52cos_auto</t>
  </si>
  <si>
    <t>ft52cos_auto_finloop.pt</t>
  </si>
  <si>
    <t>ft52cos_SGD</t>
  </si>
  <si>
    <t>ft52cos_SGD_finloop.pt</t>
  </si>
  <si>
    <t>pr-r-M-mAP50-95</t>
  </si>
</sst>
</file>

<file path=xl/styles.xml><?xml version="1.0" encoding="utf-8"?>
<styleSheet xmlns="http://schemas.openxmlformats.org/spreadsheetml/2006/main">
  <numFmts count="2">
    <numFmt numFmtId="43" formatCode="_-* #,##0.00\ _z_ł_-;\-* #,##0.00\ _z_ł_-;_-* &quot;-&quot;??\ _z_ł_-;_-@_-"/>
    <numFmt numFmtId="164" formatCode="_-* #,##0.000\ _z_ł_-;\-* #,##0.000\ _z_ł_-;_-* &quot;-&quot;??\ _z_ł_-;_-@_-"/>
  </numFmts>
  <fonts count="2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2" applyFont="1"/>
    <xf numFmtId="43" fontId="0" fillId="0" borderId="0" xfId="1" applyFont="1"/>
    <xf numFmtId="164" fontId="0" fillId="0" borderId="0" xfId="1" applyNumberFormat="1" applyFont="1"/>
    <xf numFmtId="43" fontId="0" fillId="0" borderId="1" xfId="1" applyFont="1" applyBorder="1"/>
    <xf numFmtId="9" fontId="0" fillId="0" borderId="2" xfId="2" applyFont="1" applyBorder="1"/>
    <xf numFmtId="9" fontId="0" fillId="0" borderId="0" xfId="2" applyFont="1" applyFill="1" applyBorder="1"/>
    <xf numFmtId="43" fontId="0" fillId="0" borderId="0" xfId="1" applyNumberFormat="1" applyFont="1"/>
    <xf numFmtId="43" fontId="0" fillId="0" borderId="1" xfId="1" applyNumberFormat="1" applyFont="1" applyBorder="1"/>
    <xf numFmtId="43" fontId="0" fillId="2" borderId="0" xfId="1" applyFont="1" applyFill="1"/>
    <xf numFmtId="0" fontId="0" fillId="2" borderId="0" xfId="0" applyFill="1"/>
  </cellXfs>
  <cellStyles count="3">
    <cellStyle name="Dziesiętny" xfId="1" builtinId="3"/>
    <cellStyle name="Normalny" xfId="0" builtinId="0"/>
    <cellStyle name="Procentowy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93"/>
  <sheetViews>
    <sheetView workbookViewId="0"/>
  </sheetViews>
  <sheetFormatPr defaultRowHeight="13.8"/>
  <cols>
    <col min="1" max="1" width="31.296875" bestFit="1" customWidth="1"/>
    <col min="2" max="2" width="7.3984375" style="2" customWidth="1"/>
    <col min="3" max="3" width="9.59765625" style="2" bestFit="1" customWidth="1"/>
    <col min="4" max="4" width="12.19921875" style="2" bestFit="1" customWidth="1"/>
    <col min="5" max="5" width="9.8984375" style="2" bestFit="1" customWidth="1"/>
    <col min="6" max="6" width="12.5" style="2" bestFit="1" customWidth="1"/>
    <col min="7" max="7" width="9.09765625" style="2" bestFit="1" customWidth="1"/>
    <col min="8" max="13" width="9.09765625" style="2" customWidth="1"/>
    <col min="14" max="14" width="7.59765625" bestFit="1" customWidth="1"/>
    <col min="15" max="15" width="9.3984375" bestFit="1" customWidth="1"/>
    <col min="16" max="16" width="12" bestFit="1" customWidth="1"/>
    <col min="17" max="18" width="12" customWidth="1"/>
    <col min="19" max="19" width="7.8984375" bestFit="1" customWidth="1"/>
    <col min="20" max="20" width="9.8984375" customWidth="1"/>
  </cols>
  <sheetData>
    <row r="1" spans="1:27">
      <c r="A1" t="s">
        <v>0</v>
      </c>
      <c r="B1" s="2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4" t="s">
        <v>2</v>
      </c>
      <c r="H1" s="2" t="str">
        <f>CONCATENATE("r",B1)</f>
        <v>rBox-F1</v>
      </c>
      <c r="I1" s="2" t="str">
        <f t="shared" ref="I1:M1" si="0">CONCATENATE("r",C1)</f>
        <v>rB-mAP50</v>
      </c>
      <c r="J1" s="2" t="str">
        <f t="shared" si="0"/>
        <v>rB-mAP50-95</v>
      </c>
      <c r="K1" s="2" t="str">
        <f t="shared" si="0"/>
        <v>rM-mAP50</v>
      </c>
      <c r="L1" s="2" t="str">
        <f t="shared" si="0"/>
        <v>rM-mAP50-95</v>
      </c>
      <c r="M1" s="4" t="str">
        <f t="shared" si="0"/>
        <v>rMask-F1</v>
      </c>
      <c r="N1" t="str">
        <f>CONCATENATE("d",B1)</f>
        <v>dBox-F1</v>
      </c>
      <c r="O1" t="str">
        <f t="shared" ref="O1:R1" si="1">CONCATENATE("d",C1)</f>
        <v>dB-mAP50</v>
      </c>
      <c r="P1" t="str">
        <f t="shared" si="1"/>
        <v>dB-mAP50-95</v>
      </c>
      <c r="Q1" t="str">
        <f t="shared" si="1"/>
        <v>dM-mAP50</v>
      </c>
      <c r="R1" t="str">
        <f t="shared" si="1"/>
        <v>dM-mAP50-95</v>
      </c>
      <c r="S1" t="str">
        <f>CONCATENATE("d",G1)</f>
        <v>dMask-F1</v>
      </c>
      <c r="V1" t="s">
        <v>1</v>
      </c>
      <c r="W1" t="s">
        <v>147</v>
      </c>
      <c r="X1" t="s">
        <v>148</v>
      </c>
      <c r="Y1" t="s">
        <v>149</v>
      </c>
      <c r="Z1" t="s">
        <v>150</v>
      </c>
      <c r="AA1" t="s">
        <v>2</v>
      </c>
    </row>
    <row r="2" spans="1:27">
      <c r="A2" t="s">
        <v>141</v>
      </c>
      <c r="B2" s="2">
        <v>0.28699999999999998</v>
      </c>
      <c r="C2" s="2">
        <v>0.247</v>
      </c>
      <c r="D2" s="2">
        <v>0.1</v>
      </c>
      <c r="E2" s="2">
        <v>0.22800000000000001</v>
      </c>
      <c r="F2" s="2">
        <v>8.1500000000000003E-2</v>
      </c>
      <c r="G2" s="4">
        <v>0.28699999999999998</v>
      </c>
      <c r="H2" s="2">
        <f t="shared" ref="H2:H33" si="2">B2-V$2</f>
        <v>-0.184</v>
      </c>
      <c r="I2" s="2">
        <f t="shared" ref="I2:I33" si="3">C2-W$2</f>
        <v>-0.13200000000000001</v>
      </c>
      <c r="J2" s="2">
        <f t="shared" ref="J2:J33" si="4">D2-X$2</f>
        <v>-0.10200000000000001</v>
      </c>
      <c r="K2" s="2">
        <f t="shared" ref="K2:K33" si="5">E2-Y$2</f>
        <v>0.1568141162164205</v>
      </c>
      <c r="L2" s="2">
        <f t="shared" ref="L2:L33" si="6">F2-Z$2</f>
        <v>6.6369351520426903E-2</v>
      </c>
      <c r="M2" s="4">
        <f t="shared" ref="M2:M33" si="7">G2-AA$2</f>
        <v>0.10899999999999999</v>
      </c>
      <c r="N2" s="1">
        <f t="shared" ref="N2:N33" si="8">(B2-V$2)/V$2</f>
        <v>-0.39065817409766457</v>
      </c>
      <c r="O2" s="1">
        <f t="shared" ref="O2:O33" si="9">(C2-W$2)/W$2</f>
        <v>-0.34828496042216361</v>
      </c>
      <c r="P2" s="1">
        <f t="shared" ref="P2:P33" si="10">(D2-X$2)/X$2</f>
        <v>-0.50495049504950495</v>
      </c>
      <c r="Q2" s="1">
        <f t="shared" ref="Q2:Q33" si="11">(E2-Y$2)/Y$2</f>
        <v>2.2028821991333194</v>
      </c>
      <c r="R2" s="1">
        <f t="shared" ref="R2:R33" si="12">(F2-Z$2)/Z$2</f>
        <v>4.3864181769887676</v>
      </c>
      <c r="S2" s="1">
        <f t="shared" ref="S2:S33" si="13">(G2-AA$2)/AA$2</f>
        <v>0.61235955056179769</v>
      </c>
      <c r="T2" s="1"/>
      <c r="U2" t="s">
        <v>146</v>
      </c>
      <c r="V2">
        <v>0.47099999999999997</v>
      </c>
      <c r="W2">
        <v>0.379</v>
      </c>
      <c r="X2">
        <v>0.20200000000000001</v>
      </c>
      <c r="Y2" s="2">
        <v>7.1185883783579498E-2</v>
      </c>
      <c r="Z2" s="2">
        <v>1.51306484795731E-2</v>
      </c>
      <c r="AA2">
        <v>0.17799999999999999</v>
      </c>
    </row>
    <row r="3" spans="1:27">
      <c r="A3" t="s">
        <v>112</v>
      </c>
      <c r="B3" s="2">
        <v>0.29699999999999999</v>
      </c>
      <c r="C3" s="2">
        <v>0.222</v>
      </c>
      <c r="D3" s="2">
        <v>7.5999999999999998E-2</v>
      </c>
      <c r="E3" s="2">
        <v>0.215</v>
      </c>
      <c r="F3" s="2">
        <v>0.08</v>
      </c>
      <c r="G3" s="4">
        <v>0.27100000000000002</v>
      </c>
      <c r="H3" s="2">
        <f t="shared" si="2"/>
        <v>-0.17399999999999999</v>
      </c>
      <c r="I3" s="2">
        <f t="shared" si="3"/>
        <v>-0.157</v>
      </c>
      <c r="J3" s="2">
        <f t="shared" si="4"/>
        <v>-0.126</v>
      </c>
      <c r="K3" s="2">
        <f t="shared" si="5"/>
        <v>0.14381411621642048</v>
      </c>
      <c r="L3" s="2">
        <f t="shared" si="6"/>
        <v>6.4869351520426902E-2</v>
      </c>
      <c r="M3" s="4">
        <f t="shared" si="7"/>
        <v>9.3000000000000027E-2</v>
      </c>
      <c r="N3" s="1">
        <f t="shared" si="8"/>
        <v>-0.36942675159235666</v>
      </c>
      <c r="O3" s="1">
        <f t="shared" si="9"/>
        <v>-0.41424802110817943</v>
      </c>
      <c r="P3" s="1">
        <f t="shared" si="10"/>
        <v>-0.62376237623762376</v>
      </c>
      <c r="Q3" s="1">
        <f t="shared" si="11"/>
        <v>2.0202617228669455</v>
      </c>
      <c r="R3" s="1">
        <f t="shared" si="12"/>
        <v>4.2872816461239438</v>
      </c>
      <c r="S3" s="1">
        <f t="shared" si="13"/>
        <v>0.52247191011235972</v>
      </c>
      <c r="T3" s="1"/>
    </row>
    <row r="4" spans="1:27">
      <c r="A4" t="s">
        <v>96</v>
      </c>
      <c r="B4" s="2">
        <v>0.246</v>
      </c>
      <c r="C4" s="2">
        <v>0.184</v>
      </c>
      <c r="D4" s="2">
        <v>7.4999999999999997E-2</v>
      </c>
      <c r="E4" s="2">
        <v>0.22800000000000001</v>
      </c>
      <c r="F4" s="2">
        <v>7.8899999999999998E-2</v>
      </c>
      <c r="G4" s="4">
        <v>0.31</v>
      </c>
      <c r="H4" s="2">
        <f t="shared" si="2"/>
        <v>-0.22499999999999998</v>
      </c>
      <c r="I4" s="2">
        <f t="shared" si="3"/>
        <v>-0.19500000000000001</v>
      </c>
      <c r="J4" s="2">
        <f t="shared" si="4"/>
        <v>-0.127</v>
      </c>
      <c r="K4" s="2">
        <f t="shared" si="5"/>
        <v>0.1568141162164205</v>
      </c>
      <c r="L4" s="2">
        <f t="shared" si="6"/>
        <v>6.3769351520426898E-2</v>
      </c>
      <c r="M4" s="4">
        <f t="shared" si="7"/>
        <v>0.13200000000000001</v>
      </c>
      <c r="N4" s="1">
        <f t="shared" si="8"/>
        <v>-0.47770700636942676</v>
      </c>
      <c r="O4" s="1">
        <f t="shared" si="9"/>
        <v>-0.51451187335092352</v>
      </c>
      <c r="P4" s="1">
        <f t="shared" si="10"/>
        <v>-0.62871287128712872</v>
      </c>
      <c r="Q4" s="1">
        <f t="shared" si="11"/>
        <v>2.2028821991333194</v>
      </c>
      <c r="R4" s="1">
        <f t="shared" si="12"/>
        <v>4.2145815234897386</v>
      </c>
      <c r="S4" s="1">
        <f t="shared" si="13"/>
        <v>0.7415730337078652</v>
      </c>
      <c r="T4" s="1"/>
    </row>
    <row r="5" spans="1:27">
      <c r="A5" t="s">
        <v>100</v>
      </c>
      <c r="B5" s="2">
        <v>0.246</v>
      </c>
      <c r="C5" s="2">
        <v>0.184</v>
      </c>
      <c r="D5" s="2">
        <v>7.4999999999999997E-2</v>
      </c>
      <c r="E5" s="2">
        <v>0.22800000000000001</v>
      </c>
      <c r="F5" s="2">
        <v>7.8899999999999998E-2</v>
      </c>
      <c r="G5" s="4">
        <v>0.31</v>
      </c>
      <c r="H5" s="2">
        <f t="shared" si="2"/>
        <v>-0.22499999999999998</v>
      </c>
      <c r="I5" s="2">
        <f t="shared" si="3"/>
        <v>-0.19500000000000001</v>
      </c>
      <c r="J5" s="2">
        <f t="shared" si="4"/>
        <v>-0.127</v>
      </c>
      <c r="K5" s="2">
        <f t="shared" si="5"/>
        <v>0.1568141162164205</v>
      </c>
      <c r="L5" s="2">
        <f t="shared" si="6"/>
        <v>6.3769351520426898E-2</v>
      </c>
      <c r="M5" s="4">
        <f t="shared" si="7"/>
        <v>0.13200000000000001</v>
      </c>
      <c r="N5" s="1">
        <f t="shared" si="8"/>
        <v>-0.47770700636942676</v>
      </c>
      <c r="O5" s="1">
        <f t="shared" si="9"/>
        <v>-0.51451187335092352</v>
      </c>
      <c r="P5" s="1">
        <f t="shared" si="10"/>
        <v>-0.62871287128712872</v>
      </c>
      <c r="Q5" s="1">
        <f t="shared" si="11"/>
        <v>2.2028821991333194</v>
      </c>
      <c r="R5" s="1">
        <f t="shared" si="12"/>
        <v>4.2145815234897386</v>
      </c>
      <c r="S5" s="1">
        <f t="shared" si="13"/>
        <v>0.7415730337078652</v>
      </c>
      <c r="T5" s="1"/>
    </row>
    <row r="6" spans="1:27">
      <c r="A6" t="s">
        <v>111</v>
      </c>
      <c r="B6" s="2">
        <v>0.31900000000000001</v>
      </c>
      <c r="C6" s="2">
        <v>0.21299999999999999</v>
      </c>
      <c r="D6" s="2">
        <v>7.8E-2</v>
      </c>
      <c r="E6" s="2">
        <v>0.23771521885128499</v>
      </c>
      <c r="F6" s="2">
        <v>7.7215939560785193E-2</v>
      </c>
      <c r="G6" s="4">
        <v>0.318</v>
      </c>
      <c r="H6" s="2">
        <f t="shared" si="2"/>
        <v>-0.15199999999999997</v>
      </c>
      <c r="I6" s="2">
        <f t="shared" si="3"/>
        <v>-0.16600000000000001</v>
      </c>
      <c r="J6" s="2">
        <f t="shared" si="4"/>
        <v>-0.12400000000000001</v>
      </c>
      <c r="K6" s="2">
        <f t="shared" si="5"/>
        <v>0.16652933506770551</v>
      </c>
      <c r="L6" s="2">
        <f t="shared" si="6"/>
        <v>6.2085291081212093E-2</v>
      </c>
      <c r="M6" s="4">
        <f t="shared" si="7"/>
        <v>0.14000000000000001</v>
      </c>
      <c r="N6" s="1">
        <f t="shared" si="8"/>
        <v>-0.32271762208067933</v>
      </c>
      <c r="O6" s="1">
        <f t="shared" si="9"/>
        <v>-0.43799472295514513</v>
      </c>
      <c r="P6" s="1">
        <f t="shared" si="10"/>
        <v>-0.61386138613861385</v>
      </c>
      <c r="Q6" s="1">
        <f t="shared" si="11"/>
        <v>2.3393589601836053</v>
      </c>
      <c r="R6" s="1">
        <f t="shared" si="12"/>
        <v>4.1032802503494405</v>
      </c>
      <c r="S6" s="1">
        <f t="shared" si="13"/>
        <v>0.78651685393258441</v>
      </c>
      <c r="T6" s="1"/>
    </row>
    <row r="7" spans="1:27">
      <c r="A7" t="s">
        <v>67</v>
      </c>
      <c r="B7" s="2">
        <v>0.34</v>
      </c>
      <c r="C7" s="2">
        <v>0.248</v>
      </c>
      <c r="D7" s="2">
        <v>8.5999999999999993E-2</v>
      </c>
      <c r="E7" s="2">
        <v>0.22427479636404499</v>
      </c>
      <c r="F7" s="2">
        <v>7.7179988246611694E-2</v>
      </c>
      <c r="G7" s="4">
        <v>0.30299999999999999</v>
      </c>
      <c r="H7" s="2">
        <f t="shared" si="2"/>
        <v>-0.13099999999999995</v>
      </c>
      <c r="I7" s="2">
        <f t="shared" si="3"/>
        <v>-0.13100000000000001</v>
      </c>
      <c r="J7" s="2">
        <f t="shared" si="4"/>
        <v>-0.11600000000000002</v>
      </c>
      <c r="K7" s="2">
        <f t="shared" si="5"/>
        <v>0.15308891258046547</v>
      </c>
      <c r="L7" s="2">
        <f t="shared" si="6"/>
        <v>6.2049339767038594E-2</v>
      </c>
      <c r="M7" s="4">
        <f t="shared" si="7"/>
        <v>0.125</v>
      </c>
      <c r="N7" s="1">
        <f t="shared" si="8"/>
        <v>-0.27813163481953279</v>
      </c>
      <c r="O7" s="1">
        <f t="shared" si="9"/>
        <v>-0.34564643799472294</v>
      </c>
      <c r="P7" s="1">
        <f t="shared" si="10"/>
        <v>-0.57425742574257432</v>
      </c>
      <c r="Q7" s="1">
        <f t="shared" si="11"/>
        <v>2.1505515481958324</v>
      </c>
      <c r="R7" s="1">
        <f t="shared" si="12"/>
        <v>4.1009041913046458</v>
      </c>
      <c r="S7" s="1">
        <f t="shared" si="13"/>
        <v>0.702247191011236</v>
      </c>
      <c r="T7" s="1"/>
    </row>
    <row r="8" spans="1:27">
      <c r="A8" t="s">
        <v>168</v>
      </c>
      <c r="B8" s="2">
        <v>0.27559177215189873</v>
      </c>
      <c r="C8" s="2">
        <v>0.20499999999999999</v>
      </c>
      <c r="D8" s="2">
        <v>8.3900000000000002E-2</v>
      </c>
      <c r="E8" s="2">
        <v>0.19900000000000001</v>
      </c>
      <c r="F8" s="2">
        <v>7.3099999999999998E-2</v>
      </c>
      <c r="G8" s="4">
        <v>0.27822015503875974</v>
      </c>
      <c r="H8" s="2">
        <f t="shared" si="2"/>
        <v>-0.19540822784810125</v>
      </c>
      <c r="I8" s="2">
        <f t="shared" si="3"/>
        <v>-0.17400000000000002</v>
      </c>
      <c r="J8" s="2">
        <f t="shared" si="4"/>
        <v>-0.11810000000000001</v>
      </c>
      <c r="K8" s="2">
        <f t="shared" si="5"/>
        <v>0.12781411621642053</v>
      </c>
      <c r="L8" s="2">
        <f t="shared" si="6"/>
        <v>5.7969351520426898E-2</v>
      </c>
      <c r="M8" s="4">
        <f t="shared" si="7"/>
        <v>0.10022015503875975</v>
      </c>
      <c r="N8" s="1">
        <f t="shared" si="8"/>
        <v>-0.41487946464565023</v>
      </c>
      <c r="O8" s="1">
        <f t="shared" si="9"/>
        <v>-0.45910290237467022</v>
      </c>
      <c r="P8" s="1">
        <f t="shared" si="10"/>
        <v>-0.58465346534653462</v>
      </c>
      <c r="Q8" s="1">
        <f t="shared" si="11"/>
        <v>1.7954980597698711</v>
      </c>
      <c r="R8" s="1">
        <f t="shared" si="12"/>
        <v>3.8312536041457532</v>
      </c>
      <c r="S8" s="1">
        <f t="shared" si="13"/>
        <v>0.56303457886943686</v>
      </c>
      <c r="T8" s="1"/>
    </row>
    <row r="9" spans="1:27">
      <c r="A9" t="s">
        <v>135</v>
      </c>
      <c r="B9" s="2">
        <v>0.28299999999999997</v>
      </c>
      <c r="C9" s="2">
        <v>0.214</v>
      </c>
      <c r="D9" s="2">
        <v>8.8999999999999996E-2</v>
      </c>
      <c r="E9" s="2">
        <v>0.21</v>
      </c>
      <c r="F9" s="2">
        <v>7.22E-2</v>
      </c>
      <c r="G9" s="4">
        <v>0.28799999999999998</v>
      </c>
      <c r="H9" s="2">
        <f t="shared" si="2"/>
        <v>-0.188</v>
      </c>
      <c r="I9" s="2">
        <f t="shared" si="3"/>
        <v>-0.16500000000000001</v>
      </c>
      <c r="J9" s="2">
        <f t="shared" si="4"/>
        <v>-0.11300000000000002</v>
      </c>
      <c r="K9" s="2">
        <f t="shared" si="5"/>
        <v>0.13881411621642048</v>
      </c>
      <c r="L9" s="2">
        <f t="shared" si="6"/>
        <v>5.70693515204269E-2</v>
      </c>
      <c r="M9" s="4">
        <f t="shared" si="7"/>
        <v>0.10999999999999999</v>
      </c>
      <c r="N9" s="1">
        <f t="shared" si="8"/>
        <v>-0.39915074309978771</v>
      </c>
      <c r="O9" s="1">
        <f t="shared" si="9"/>
        <v>-0.43535620052770452</v>
      </c>
      <c r="P9" s="1">
        <f t="shared" si="10"/>
        <v>-0.55940594059405946</v>
      </c>
      <c r="Q9" s="1">
        <f t="shared" si="11"/>
        <v>1.9500230781491097</v>
      </c>
      <c r="R9" s="1">
        <f t="shared" si="12"/>
        <v>3.771771685626859</v>
      </c>
      <c r="S9" s="1">
        <f t="shared" si="13"/>
        <v>0.6179775280898876</v>
      </c>
      <c r="T9" s="1"/>
    </row>
    <row r="10" spans="1:27">
      <c r="A10" t="s">
        <v>117</v>
      </c>
      <c r="B10" s="2">
        <v>0.308</v>
      </c>
      <c r="C10" s="2">
        <v>0.22</v>
      </c>
      <c r="D10" s="2">
        <v>7.4999999999999997E-2</v>
      </c>
      <c r="E10" s="2">
        <v>0.218</v>
      </c>
      <c r="F10" s="2">
        <v>6.9800000000000001E-2</v>
      </c>
      <c r="G10" s="4">
        <v>0.28499999999999998</v>
      </c>
      <c r="H10" s="2">
        <f t="shared" si="2"/>
        <v>-0.16299999999999998</v>
      </c>
      <c r="I10" s="2">
        <f t="shared" si="3"/>
        <v>-0.159</v>
      </c>
      <c r="J10" s="2">
        <f t="shared" si="4"/>
        <v>-0.127</v>
      </c>
      <c r="K10" s="2">
        <f t="shared" si="5"/>
        <v>0.14681411621642049</v>
      </c>
      <c r="L10" s="2">
        <f t="shared" si="6"/>
        <v>5.4669351520426901E-2</v>
      </c>
      <c r="M10" s="4">
        <f t="shared" si="7"/>
        <v>0.10699999999999998</v>
      </c>
      <c r="N10" s="1">
        <f t="shared" si="8"/>
        <v>-0.34607218683651803</v>
      </c>
      <c r="O10" s="1">
        <f t="shared" si="9"/>
        <v>-0.41952506596306066</v>
      </c>
      <c r="P10" s="1">
        <f t="shared" si="10"/>
        <v>-0.62871287128712872</v>
      </c>
      <c r="Q10" s="1">
        <f t="shared" si="11"/>
        <v>2.0624049096976473</v>
      </c>
      <c r="R10" s="1">
        <f t="shared" si="12"/>
        <v>3.6131532362431407</v>
      </c>
      <c r="S10" s="1">
        <f t="shared" si="13"/>
        <v>0.60112359550561789</v>
      </c>
      <c r="T10" s="1"/>
    </row>
    <row r="11" spans="1:27">
      <c r="A11" t="s">
        <v>118</v>
      </c>
      <c r="B11" s="2">
        <v>0.28100000000000003</v>
      </c>
      <c r="C11" s="2">
        <v>0.21099999999999999</v>
      </c>
      <c r="D11" s="2">
        <v>7.4999999999999997E-2</v>
      </c>
      <c r="E11" s="2">
        <v>0.20100000000000001</v>
      </c>
      <c r="F11" s="2">
        <v>6.9800000000000001E-2</v>
      </c>
      <c r="G11" s="4">
        <v>0.27700000000000002</v>
      </c>
      <c r="H11" s="2">
        <f t="shared" si="2"/>
        <v>-0.18999999999999995</v>
      </c>
      <c r="I11" s="2">
        <f t="shared" si="3"/>
        <v>-0.16800000000000001</v>
      </c>
      <c r="J11" s="2">
        <f t="shared" si="4"/>
        <v>-0.127</v>
      </c>
      <c r="K11" s="2">
        <f t="shared" si="5"/>
        <v>0.12981411621642053</v>
      </c>
      <c r="L11" s="2">
        <f t="shared" si="6"/>
        <v>5.4669351520426901E-2</v>
      </c>
      <c r="M11" s="4">
        <f t="shared" si="7"/>
        <v>9.9000000000000032E-2</v>
      </c>
      <c r="N11" s="1">
        <f t="shared" si="8"/>
        <v>-0.40339702760084917</v>
      </c>
      <c r="O11" s="1">
        <f t="shared" si="9"/>
        <v>-0.44327176781002642</v>
      </c>
      <c r="P11" s="1">
        <f t="shared" si="10"/>
        <v>-0.62871287128712872</v>
      </c>
      <c r="Q11" s="1">
        <f t="shared" si="11"/>
        <v>1.8235935176570055</v>
      </c>
      <c r="R11" s="1">
        <f t="shared" si="12"/>
        <v>3.6131532362431407</v>
      </c>
      <c r="S11" s="1">
        <f t="shared" si="13"/>
        <v>0.55617977528089912</v>
      </c>
      <c r="T11" s="1"/>
    </row>
    <row r="12" spans="1:27">
      <c r="A12" t="s">
        <v>71</v>
      </c>
      <c r="B12" s="2">
        <v>0.30199999999999999</v>
      </c>
      <c r="C12" s="2">
        <v>0.23200000000000001</v>
      </c>
      <c r="D12" s="2">
        <v>9.7000000000000003E-2</v>
      </c>
      <c r="E12" s="2">
        <v>0.21364289078222301</v>
      </c>
      <c r="F12" s="2">
        <v>6.9346965158318799E-2</v>
      </c>
      <c r="G12" s="4">
        <v>0.29799999999999999</v>
      </c>
      <c r="H12" s="2">
        <f t="shared" si="2"/>
        <v>-0.16899999999999998</v>
      </c>
      <c r="I12" s="2">
        <f t="shared" si="3"/>
        <v>-0.14699999999999999</v>
      </c>
      <c r="J12" s="2">
        <f t="shared" si="4"/>
        <v>-0.10500000000000001</v>
      </c>
      <c r="K12" s="2">
        <f t="shared" si="5"/>
        <v>0.1424570069986435</v>
      </c>
      <c r="L12" s="2">
        <f t="shared" si="6"/>
        <v>5.4216316678745699E-2</v>
      </c>
      <c r="M12" s="4">
        <f t="shared" si="7"/>
        <v>0.12</v>
      </c>
      <c r="N12" s="1">
        <f t="shared" si="8"/>
        <v>-0.35881104033970274</v>
      </c>
      <c r="O12" s="1">
        <f t="shared" si="9"/>
        <v>-0.38786279683377306</v>
      </c>
      <c r="P12" s="1">
        <f t="shared" si="10"/>
        <v>-0.51980198019801982</v>
      </c>
      <c r="Q12" s="1">
        <f t="shared" si="11"/>
        <v>2.0011974204287979</v>
      </c>
      <c r="R12" s="1">
        <f t="shared" si="12"/>
        <v>3.5832117011996947</v>
      </c>
      <c r="S12" s="1">
        <f t="shared" si="13"/>
        <v>0.6741573033707865</v>
      </c>
      <c r="T12" s="1"/>
    </row>
    <row r="13" spans="1:27">
      <c r="A13" t="s">
        <v>142</v>
      </c>
      <c r="B13" s="2">
        <v>0.248</v>
      </c>
      <c r="C13" s="2">
        <v>0.17699999999999999</v>
      </c>
      <c r="D13" s="2">
        <v>7.4999999999999997E-2</v>
      </c>
      <c r="E13" s="2">
        <v>0.19400000000000001</v>
      </c>
      <c r="F13" s="2">
        <v>6.93E-2</v>
      </c>
      <c r="G13" s="4">
        <v>0.254</v>
      </c>
      <c r="H13" s="2">
        <f t="shared" si="2"/>
        <v>-0.22299999999999998</v>
      </c>
      <c r="I13" s="2">
        <f t="shared" si="3"/>
        <v>-0.20200000000000001</v>
      </c>
      <c r="J13" s="2">
        <f t="shared" si="4"/>
        <v>-0.127</v>
      </c>
      <c r="K13" s="2">
        <f t="shared" si="5"/>
        <v>0.12281411621642051</v>
      </c>
      <c r="L13" s="2">
        <f t="shared" si="6"/>
        <v>5.41693515204269E-2</v>
      </c>
      <c r="M13" s="4">
        <f t="shared" si="7"/>
        <v>7.6000000000000012E-2</v>
      </c>
      <c r="N13" s="1">
        <f t="shared" si="8"/>
        <v>-0.47346072186836513</v>
      </c>
      <c r="O13" s="1">
        <f t="shared" si="9"/>
        <v>-0.53298153034300799</v>
      </c>
      <c r="P13" s="1">
        <f t="shared" si="10"/>
        <v>-0.62871287128712872</v>
      </c>
      <c r="Q13" s="1">
        <f t="shared" si="11"/>
        <v>1.7252594150520351</v>
      </c>
      <c r="R13" s="1">
        <f t="shared" si="12"/>
        <v>3.5801077259548659</v>
      </c>
      <c r="S13" s="1">
        <f t="shared" si="13"/>
        <v>0.42696629213483156</v>
      </c>
      <c r="T13" s="1"/>
    </row>
    <row r="14" spans="1:27">
      <c r="A14" t="s">
        <v>84</v>
      </c>
      <c r="B14" s="2">
        <v>0.254</v>
      </c>
      <c r="C14" s="2">
        <v>0.16600000000000001</v>
      </c>
      <c r="D14" s="2">
        <v>7.3999999999999996E-2</v>
      </c>
      <c r="E14" s="2">
        <v>0.191</v>
      </c>
      <c r="F14" s="2">
        <v>6.9099999999999995E-2</v>
      </c>
      <c r="G14" s="4">
        <v>0.27700000000000002</v>
      </c>
      <c r="H14" s="2">
        <f t="shared" si="2"/>
        <v>-0.21699999999999997</v>
      </c>
      <c r="I14" s="2">
        <f t="shared" si="3"/>
        <v>-0.21299999999999999</v>
      </c>
      <c r="J14" s="2">
        <f t="shared" si="4"/>
        <v>-0.128</v>
      </c>
      <c r="K14" s="2">
        <f t="shared" si="5"/>
        <v>0.1198141162164205</v>
      </c>
      <c r="L14" s="2">
        <f t="shared" si="6"/>
        <v>5.3969351520426895E-2</v>
      </c>
      <c r="M14" s="4">
        <f t="shared" si="7"/>
        <v>9.9000000000000032E-2</v>
      </c>
      <c r="N14" s="1">
        <f t="shared" si="8"/>
        <v>-0.46072186836518042</v>
      </c>
      <c r="O14" s="1">
        <f t="shared" si="9"/>
        <v>-0.56200527704485481</v>
      </c>
      <c r="P14" s="1">
        <f t="shared" si="10"/>
        <v>-0.63366336633663367</v>
      </c>
      <c r="Q14" s="1">
        <f t="shared" si="11"/>
        <v>1.6831162282213334</v>
      </c>
      <c r="R14" s="1">
        <f t="shared" si="12"/>
        <v>3.5668895218395558</v>
      </c>
      <c r="S14" s="1">
        <f t="shared" si="13"/>
        <v>0.55617977528089912</v>
      </c>
      <c r="T14" s="1"/>
    </row>
    <row r="15" spans="1:27">
      <c r="A15" t="s">
        <v>57</v>
      </c>
      <c r="B15" s="2">
        <v>0.28000000000000003</v>
      </c>
      <c r="C15" s="2">
        <v>0.191</v>
      </c>
      <c r="D15" s="2">
        <v>8.1000000000000003E-2</v>
      </c>
      <c r="E15" s="2">
        <v>0.22020893234421399</v>
      </c>
      <c r="F15" s="2">
        <v>6.9002837889704002E-2</v>
      </c>
      <c r="G15" s="4">
        <v>0.29899999999999999</v>
      </c>
      <c r="H15" s="2">
        <f t="shared" si="2"/>
        <v>-0.19099999999999995</v>
      </c>
      <c r="I15" s="2">
        <f t="shared" si="3"/>
        <v>-0.188</v>
      </c>
      <c r="J15" s="2">
        <f t="shared" si="4"/>
        <v>-0.12100000000000001</v>
      </c>
      <c r="K15" s="2">
        <f t="shared" si="5"/>
        <v>0.14902304856063447</v>
      </c>
      <c r="L15" s="2">
        <f t="shared" si="6"/>
        <v>5.3872189410130902E-2</v>
      </c>
      <c r="M15" s="4">
        <f t="shared" si="7"/>
        <v>0.121</v>
      </c>
      <c r="N15" s="1">
        <f t="shared" si="8"/>
        <v>-0.40552016985137995</v>
      </c>
      <c r="O15" s="1">
        <f t="shared" si="9"/>
        <v>-0.49604221635883905</v>
      </c>
      <c r="P15" s="1">
        <f t="shared" si="10"/>
        <v>-0.59900990099009899</v>
      </c>
      <c r="Q15" s="1">
        <f t="shared" si="11"/>
        <v>2.0934353925238436</v>
      </c>
      <c r="R15" s="1">
        <f t="shared" si="12"/>
        <v>3.5604679788087221</v>
      </c>
      <c r="S15" s="1">
        <f t="shared" si="13"/>
        <v>0.6797752808988764</v>
      </c>
      <c r="T15" s="1"/>
    </row>
    <row r="16" spans="1:27">
      <c r="A16" t="s">
        <v>136</v>
      </c>
      <c r="B16" s="2">
        <v>0.26800000000000002</v>
      </c>
      <c r="C16" s="2">
        <v>0.191</v>
      </c>
      <c r="D16" s="2">
        <v>8.3000000000000004E-2</v>
      </c>
      <c r="E16" s="2">
        <v>0.20300000000000001</v>
      </c>
      <c r="F16" s="2">
        <v>6.8400000000000002E-2</v>
      </c>
      <c r="G16" s="4">
        <v>0.27400000000000002</v>
      </c>
      <c r="H16" s="2">
        <f t="shared" si="2"/>
        <v>-0.20299999999999996</v>
      </c>
      <c r="I16" s="2">
        <f t="shared" si="3"/>
        <v>-0.188</v>
      </c>
      <c r="J16" s="2">
        <f t="shared" si="4"/>
        <v>-0.11900000000000001</v>
      </c>
      <c r="K16" s="2">
        <f t="shared" si="5"/>
        <v>0.13181411621642053</v>
      </c>
      <c r="L16" s="2">
        <f t="shared" si="6"/>
        <v>5.3269351520426902E-2</v>
      </c>
      <c r="M16" s="4">
        <f t="shared" si="7"/>
        <v>9.600000000000003E-2</v>
      </c>
      <c r="N16" s="1">
        <f t="shared" si="8"/>
        <v>-0.43099787685774943</v>
      </c>
      <c r="O16" s="1">
        <f t="shared" si="9"/>
        <v>-0.49604221635883905</v>
      </c>
      <c r="P16" s="1">
        <f t="shared" si="10"/>
        <v>-0.58910891089108908</v>
      </c>
      <c r="Q16" s="1">
        <f t="shared" si="11"/>
        <v>1.8516889755441399</v>
      </c>
      <c r="R16" s="1">
        <f t="shared" si="12"/>
        <v>3.5206258074359718</v>
      </c>
      <c r="S16" s="1">
        <f t="shared" si="13"/>
        <v>0.53932584269662942</v>
      </c>
      <c r="T16" s="1"/>
    </row>
    <row r="17" spans="1:20">
      <c r="A17" t="s">
        <v>129</v>
      </c>
      <c r="B17" s="2">
        <v>0.25900000000000001</v>
      </c>
      <c r="C17" s="2">
        <v>0.159</v>
      </c>
      <c r="D17" s="2">
        <v>6.5000000000000002E-2</v>
      </c>
      <c r="E17" s="2">
        <v>0.158</v>
      </c>
      <c r="F17" s="2">
        <v>6.6799999999999998E-2</v>
      </c>
      <c r="G17" s="4">
        <v>0.24099999999999999</v>
      </c>
      <c r="H17" s="2">
        <f t="shared" si="2"/>
        <v>-0.21199999999999997</v>
      </c>
      <c r="I17" s="2">
        <f t="shared" si="3"/>
        <v>-0.22</v>
      </c>
      <c r="J17" s="2">
        <f t="shared" si="4"/>
        <v>-0.13700000000000001</v>
      </c>
      <c r="K17" s="2">
        <f t="shared" si="5"/>
        <v>8.6814116216420503E-2</v>
      </c>
      <c r="L17" s="2">
        <f t="shared" si="6"/>
        <v>5.1669351520426898E-2</v>
      </c>
      <c r="M17" s="4">
        <f t="shared" si="7"/>
        <v>6.3E-2</v>
      </c>
      <c r="N17" s="1">
        <f t="shared" si="8"/>
        <v>-0.45010615711252649</v>
      </c>
      <c r="O17" s="1">
        <f t="shared" si="9"/>
        <v>-0.58047493403693928</v>
      </c>
      <c r="P17" s="1">
        <f t="shared" si="10"/>
        <v>-0.67821782178217827</v>
      </c>
      <c r="Q17" s="1">
        <f t="shared" si="11"/>
        <v>1.2195411730836161</v>
      </c>
      <c r="R17" s="1">
        <f t="shared" si="12"/>
        <v>3.4148801745134927</v>
      </c>
      <c r="S17" s="1">
        <f t="shared" si="13"/>
        <v>0.35393258426966295</v>
      </c>
      <c r="T17" s="1"/>
    </row>
    <row r="18" spans="1:20">
      <c r="A18" t="s">
        <v>69</v>
      </c>
      <c r="B18" s="2">
        <v>0.32100000000000001</v>
      </c>
      <c r="C18" s="2">
        <v>0.21199999999999999</v>
      </c>
      <c r="D18" s="2">
        <v>8.3000000000000004E-2</v>
      </c>
      <c r="E18" s="2">
        <v>0.215453952692816</v>
      </c>
      <c r="F18" s="2">
        <v>6.51422408572888E-2</v>
      </c>
      <c r="G18" s="4">
        <v>0.33300000000000002</v>
      </c>
      <c r="H18" s="2">
        <f t="shared" si="2"/>
        <v>-0.14999999999999997</v>
      </c>
      <c r="I18" s="2">
        <f t="shared" si="3"/>
        <v>-0.16700000000000001</v>
      </c>
      <c r="J18" s="2">
        <f t="shared" si="4"/>
        <v>-0.11900000000000001</v>
      </c>
      <c r="K18" s="2">
        <f t="shared" si="5"/>
        <v>0.14426806890923649</v>
      </c>
      <c r="L18" s="2">
        <f t="shared" si="6"/>
        <v>5.00115923777157E-2</v>
      </c>
      <c r="M18" s="4">
        <f t="shared" si="7"/>
        <v>0.15500000000000003</v>
      </c>
      <c r="N18" s="1">
        <f t="shared" si="8"/>
        <v>-0.31847133757961776</v>
      </c>
      <c r="O18" s="1">
        <f t="shared" si="9"/>
        <v>-0.44063324538258575</v>
      </c>
      <c r="P18" s="1">
        <f t="shared" si="10"/>
        <v>-0.58910891089108908</v>
      </c>
      <c r="Q18" s="1">
        <f t="shared" si="11"/>
        <v>2.0266387272488275</v>
      </c>
      <c r="R18" s="1">
        <f t="shared" si="12"/>
        <v>3.305317180901604</v>
      </c>
      <c r="S18" s="1">
        <f t="shared" si="13"/>
        <v>0.87078651685393282</v>
      </c>
      <c r="T18" s="1"/>
    </row>
    <row r="19" spans="1:20">
      <c r="A19" t="s">
        <v>65</v>
      </c>
      <c r="B19" s="2">
        <v>0.32100000000000001</v>
      </c>
      <c r="C19" s="2">
        <v>0.22</v>
      </c>
      <c r="D19" s="2">
        <v>8.8999999999999996E-2</v>
      </c>
      <c r="E19" s="2">
        <v>0.22668513710514701</v>
      </c>
      <c r="F19" s="2">
        <v>6.4751058628537E-2</v>
      </c>
      <c r="G19" s="4">
        <v>0.30599999999999999</v>
      </c>
      <c r="H19" s="2">
        <f t="shared" si="2"/>
        <v>-0.14999999999999997</v>
      </c>
      <c r="I19" s="2">
        <f t="shared" si="3"/>
        <v>-0.159</v>
      </c>
      <c r="J19" s="2">
        <f t="shared" si="4"/>
        <v>-0.11300000000000002</v>
      </c>
      <c r="K19" s="2">
        <f t="shared" si="5"/>
        <v>0.1554992533215675</v>
      </c>
      <c r="L19" s="2">
        <f t="shared" si="6"/>
        <v>4.96204101489639E-2</v>
      </c>
      <c r="M19" s="4">
        <f t="shared" si="7"/>
        <v>0.128</v>
      </c>
      <c r="N19" s="1">
        <f t="shared" si="8"/>
        <v>-0.31847133757961776</v>
      </c>
      <c r="O19" s="1">
        <f t="shared" si="9"/>
        <v>-0.41952506596306066</v>
      </c>
      <c r="P19" s="1">
        <f t="shared" si="10"/>
        <v>-0.55940594059405946</v>
      </c>
      <c r="Q19" s="1">
        <f t="shared" si="11"/>
        <v>2.1844113615884702</v>
      </c>
      <c r="R19" s="1">
        <f t="shared" si="12"/>
        <v>3.2794635481719885</v>
      </c>
      <c r="S19" s="1">
        <f t="shared" si="13"/>
        <v>0.71910112359550571</v>
      </c>
      <c r="T19" s="1"/>
    </row>
    <row r="20" spans="1:20">
      <c r="A20" t="s">
        <v>61</v>
      </c>
      <c r="B20" s="2">
        <v>0.32400000000000001</v>
      </c>
      <c r="C20" s="2">
        <v>0.218</v>
      </c>
      <c r="D20" s="2">
        <v>8.7999999999999995E-2</v>
      </c>
      <c r="E20" s="2">
        <v>0.224021971644004</v>
      </c>
      <c r="F20" s="2">
        <v>6.4195345079886806E-2</v>
      </c>
      <c r="G20" s="4">
        <v>0.32</v>
      </c>
      <c r="H20" s="2">
        <f t="shared" si="2"/>
        <v>-0.14699999999999996</v>
      </c>
      <c r="I20" s="2">
        <f t="shared" si="3"/>
        <v>-0.161</v>
      </c>
      <c r="J20" s="2">
        <f t="shared" si="4"/>
        <v>-0.11400000000000002</v>
      </c>
      <c r="K20" s="2">
        <f t="shared" si="5"/>
        <v>0.15283608786042452</v>
      </c>
      <c r="L20" s="2">
        <f t="shared" si="6"/>
        <v>4.9064696600313706E-2</v>
      </c>
      <c r="M20" s="4">
        <f t="shared" si="7"/>
        <v>0.14200000000000002</v>
      </c>
      <c r="N20" s="1">
        <f t="shared" si="8"/>
        <v>-0.31210191082802541</v>
      </c>
      <c r="O20" s="1">
        <f t="shared" si="9"/>
        <v>-0.42480211081794195</v>
      </c>
      <c r="P20" s="1">
        <f t="shared" si="10"/>
        <v>-0.56435643564356441</v>
      </c>
      <c r="Q20" s="1">
        <f t="shared" si="11"/>
        <v>2.1469999350584636</v>
      </c>
      <c r="R20" s="1">
        <f t="shared" si="12"/>
        <v>3.2427358725934812</v>
      </c>
      <c r="S20" s="1">
        <f t="shared" si="13"/>
        <v>0.79775280898876422</v>
      </c>
      <c r="T20" s="1"/>
    </row>
    <row r="21" spans="1:20">
      <c r="A21" t="s">
        <v>63</v>
      </c>
      <c r="B21" s="2">
        <v>0.29799999999999999</v>
      </c>
      <c r="C21" s="2">
        <v>0.22700000000000001</v>
      </c>
      <c r="D21" s="2">
        <v>8.2000000000000003E-2</v>
      </c>
      <c r="E21" s="2">
        <v>0.212088786842798</v>
      </c>
      <c r="F21" s="2">
        <v>6.3773009130840205E-2</v>
      </c>
      <c r="G21" s="4">
        <v>0.29099999999999998</v>
      </c>
      <c r="H21" s="2">
        <f t="shared" si="2"/>
        <v>-0.17299999999999999</v>
      </c>
      <c r="I21" s="2">
        <f t="shared" si="3"/>
        <v>-0.152</v>
      </c>
      <c r="J21" s="2">
        <f t="shared" si="4"/>
        <v>-0.12000000000000001</v>
      </c>
      <c r="K21" s="2">
        <f t="shared" si="5"/>
        <v>0.14090290305921849</v>
      </c>
      <c r="L21" s="2">
        <f t="shared" si="6"/>
        <v>4.8642360651267105E-2</v>
      </c>
      <c r="M21" s="4">
        <f t="shared" si="7"/>
        <v>0.11299999999999999</v>
      </c>
      <c r="N21" s="1">
        <f t="shared" si="8"/>
        <v>-0.36730360934182588</v>
      </c>
      <c r="O21" s="1">
        <f t="shared" si="9"/>
        <v>-0.40105540897097625</v>
      </c>
      <c r="P21" s="1">
        <f t="shared" si="10"/>
        <v>-0.59405940594059403</v>
      </c>
      <c r="Q21" s="1">
        <f t="shared" si="11"/>
        <v>1.9793657895376255</v>
      </c>
      <c r="R21" s="1">
        <f t="shared" si="12"/>
        <v>3.214823258694826</v>
      </c>
      <c r="S21" s="1">
        <f t="shared" si="13"/>
        <v>0.6348314606741573</v>
      </c>
      <c r="T21" s="1"/>
    </row>
    <row r="22" spans="1:20">
      <c r="A22" t="s">
        <v>59</v>
      </c>
      <c r="B22" s="2">
        <v>0.32</v>
      </c>
      <c r="C22" s="2">
        <v>0.23699999999999999</v>
      </c>
      <c r="D22" s="2">
        <v>8.5000000000000006E-2</v>
      </c>
      <c r="E22" s="2">
        <v>0.215195159127017</v>
      </c>
      <c r="F22" s="2">
        <v>6.2700047172770806E-2</v>
      </c>
      <c r="G22" s="4">
        <v>0.30399999999999999</v>
      </c>
      <c r="H22" s="2">
        <f t="shared" si="2"/>
        <v>-0.15099999999999997</v>
      </c>
      <c r="I22" s="2">
        <f t="shared" si="3"/>
        <v>-0.14200000000000002</v>
      </c>
      <c r="J22" s="2">
        <f t="shared" si="4"/>
        <v>-0.11700000000000001</v>
      </c>
      <c r="K22" s="2">
        <f t="shared" si="5"/>
        <v>0.14400927534343749</v>
      </c>
      <c r="L22" s="2">
        <f t="shared" si="6"/>
        <v>4.7569398693197706E-2</v>
      </c>
      <c r="M22" s="4">
        <f t="shared" si="7"/>
        <v>0.126</v>
      </c>
      <c r="N22" s="1">
        <f t="shared" si="8"/>
        <v>-0.32059447983014855</v>
      </c>
      <c r="O22" s="1">
        <f t="shared" si="9"/>
        <v>-0.37467018469656993</v>
      </c>
      <c r="P22" s="1">
        <f t="shared" si="10"/>
        <v>-0.57920792079207917</v>
      </c>
      <c r="Q22" s="1">
        <f t="shared" si="11"/>
        <v>2.0230032653841437</v>
      </c>
      <c r="R22" s="1">
        <f t="shared" si="12"/>
        <v>3.1439101078462066</v>
      </c>
      <c r="S22" s="1">
        <f t="shared" si="13"/>
        <v>0.70786516853932591</v>
      </c>
      <c r="T22" s="1"/>
    </row>
    <row r="23" spans="1:20">
      <c r="A23" t="s">
        <v>177</v>
      </c>
      <c r="B23" s="2">
        <v>0.28401639344262292</v>
      </c>
      <c r="C23" s="2">
        <v>0.185</v>
      </c>
      <c r="D23" s="2">
        <v>6.3100000000000003E-2</v>
      </c>
      <c r="E23" s="2">
        <v>0.187</v>
      </c>
      <c r="F23" s="2">
        <v>6.2399999999999997E-2</v>
      </c>
      <c r="G23" s="4">
        <v>0.27998724082934612</v>
      </c>
      <c r="H23" s="2">
        <f t="shared" si="2"/>
        <v>-0.18698360655737706</v>
      </c>
      <c r="I23" s="2">
        <f t="shared" si="3"/>
        <v>-0.19400000000000001</v>
      </c>
      <c r="J23" s="2">
        <f t="shared" si="4"/>
        <v>-0.13890000000000002</v>
      </c>
      <c r="K23" s="2">
        <f t="shared" si="5"/>
        <v>0.1158141162164205</v>
      </c>
      <c r="L23" s="2">
        <f t="shared" si="6"/>
        <v>4.7269351520426897E-2</v>
      </c>
      <c r="M23" s="4">
        <f t="shared" si="7"/>
        <v>0.10198724082934613</v>
      </c>
      <c r="N23" s="1">
        <f t="shared" si="8"/>
        <v>-0.39699279523859249</v>
      </c>
      <c r="O23" s="1">
        <f t="shared" si="9"/>
        <v>-0.51187335092348285</v>
      </c>
      <c r="P23" s="1">
        <f t="shared" si="10"/>
        <v>-0.68762376237623768</v>
      </c>
      <c r="Q23" s="1">
        <f t="shared" si="11"/>
        <v>1.6269253124470646</v>
      </c>
      <c r="R23" s="1">
        <f t="shared" si="12"/>
        <v>3.1240796839766758</v>
      </c>
      <c r="S23" s="1">
        <f t="shared" si="13"/>
        <v>0.57296202713115807</v>
      </c>
      <c r="T23" s="1"/>
    </row>
    <row r="24" spans="1:20">
      <c r="A24" t="s">
        <v>92</v>
      </c>
      <c r="B24" s="2">
        <v>0.27</v>
      </c>
      <c r="C24" s="2">
        <v>0.182</v>
      </c>
      <c r="D24" s="2">
        <v>7.5999999999999998E-2</v>
      </c>
      <c r="E24" s="2">
        <v>0.18</v>
      </c>
      <c r="F24" s="2">
        <v>6.1899999999999997E-2</v>
      </c>
      <c r="G24" s="4">
        <v>0.28100000000000003</v>
      </c>
      <c r="H24" s="2">
        <f t="shared" si="2"/>
        <v>-0.20099999999999996</v>
      </c>
      <c r="I24" s="2">
        <f t="shared" si="3"/>
        <v>-0.19700000000000001</v>
      </c>
      <c r="J24" s="2">
        <f t="shared" si="4"/>
        <v>-0.126</v>
      </c>
      <c r="K24" s="2">
        <f t="shared" si="5"/>
        <v>0.1088141162164205</v>
      </c>
      <c r="L24" s="2">
        <f t="shared" si="6"/>
        <v>4.6769351520426897E-2</v>
      </c>
      <c r="M24" s="4">
        <f t="shared" si="7"/>
        <v>0.10300000000000004</v>
      </c>
      <c r="N24" s="1">
        <f t="shared" si="8"/>
        <v>-0.4267515923566878</v>
      </c>
      <c r="O24" s="1">
        <f t="shared" si="9"/>
        <v>-0.51978891820580475</v>
      </c>
      <c r="P24" s="1">
        <f t="shared" si="10"/>
        <v>-0.62376237623762376</v>
      </c>
      <c r="Q24" s="1">
        <f t="shared" si="11"/>
        <v>1.5285912098420942</v>
      </c>
      <c r="R24" s="1">
        <f t="shared" si="12"/>
        <v>3.0910341736884011</v>
      </c>
      <c r="S24" s="1">
        <f t="shared" si="13"/>
        <v>0.57865168539325862</v>
      </c>
      <c r="T24" s="1"/>
    </row>
    <row r="25" spans="1:20">
      <c r="A25" t="s">
        <v>88</v>
      </c>
      <c r="B25" s="2">
        <v>0.255</v>
      </c>
      <c r="C25" s="2">
        <v>0.13900000000000001</v>
      </c>
      <c r="D25" s="2">
        <v>6.2E-2</v>
      </c>
      <c r="E25" s="2">
        <v>0.16900000000000001</v>
      </c>
      <c r="F25" s="2">
        <v>6.08E-2</v>
      </c>
      <c r="G25" s="4">
        <v>0.28199999999999997</v>
      </c>
      <c r="H25" s="2">
        <f t="shared" si="2"/>
        <v>-0.21599999999999997</v>
      </c>
      <c r="I25" s="2">
        <f t="shared" si="3"/>
        <v>-0.24</v>
      </c>
      <c r="J25" s="2">
        <f t="shared" si="4"/>
        <v>-0.14000000000000001</v>
      </c>
      <c r="K25" s="2">
        <f t="shared" si="5"/>
        <v>9.7814116216420513E-2</v>
      </c>
      <c r="L25" s="2">
        <f t="shared" si="6"/>
        <v>4.56693515204269E-2</v>
      </c>
      <c r="M25" s="4">
        <f t="shared" si="7"/>
        <v>0.10399999999999998</v>
      </c>
      <c r="N25" s="1">
        <f t="shared" si="8"/>
        <v>-0.45859872611464964</v>
      </c>
      <c r="O25" s="1">
        <f t="shared" si="9"/>
        <v>-0.63324538258575191</v>
      </c>
      <c r="P25" s="1">
        <f t="shared" si="10"/>
        <v>-0.69306930693069313</v>
      </c>
      <c r="Q25" s="1">
        <f t="shared" si="11"/>
        <v>1.3740661914628554</v>
      </c>
      <c r="R25" s="1">
        <f t="shared" si="12"/>
        <v>3.0183340510541967</v>
      </c>
      <c r="S25" s="1">
        <f t="shared" si="13"/>
        <v>0.58426966292134819</v>
      </c>
      <c r="T25" s="1"/>
    </row>
    <row r="26" spans="1:20">
      <c r="A26" t="s">
        <v>47</v>
      </c>
      <c r="B26" s="2">
        <v>0.246</v>
      </c>
      <c r="C26" s="2">
        <v>0.152</v>
      </c>
      <c r="D26" s="2">
        <v>6.0999999999999999E-2</v>
      </c>
      <c r="E26" s="2">
        <v>0.16200000000000001</v>
      </c>
      <c r="F26" s="2">
        <v>6.0600000000000001E-2</v>
      </c>
      <c r="G26" s="4">
        <v>0.25800000000000001</v>
      </c>
      <c r="H26" s="2">
        <f t="shared" si="2"/>
        <v>-0.22499999999999998</v>
      </c>
      <c r="I26" s="2">
        <f t="shared" si="3"/>
        <v>-0.22700000000000001</v>
      </c>
      <c r="J26" s="2">
        <f t="shared" si="4"/>
        <v>-0.14100000000000001</v>
      </c>
      <c r="K26" s="2">
        <f t="shared" si="5"/>
        <v>9.0814116216420507E-2</v>
      </c>
      <c r="L26" s="2">
        <f t="shared" si="6"/>
        <v>4.5469351520426901E-2</v>
      </c>
      <c r="M26" s="4">
        <f t="shared" si="7"/>
        <v>8.0000000000000016E-2</v>
      </c>
      <c r="N26" s="1">
        <f t="shared" si="8"/>
        <v>-0.47770700636942676</v>
      </c>
      <c r="O26" s="1">
        <f t="shared" si="9"/>
        <v>-0.59894459102902375</v>
      </c>
      <c r="P26" s="1">
        <f t="shared" si="10"/>
        <v>-0.69801980198019808</v>
      </c>
      <c r="Q26" s="1">
        <f t="shared" si="11"/>
        <v>1.2757320888578849</v>
      </c>
      <c r="R26" s="1">
        <f t="shared" si="12"/>
        <v>3.005115846938887</v>
      </c>
      <c r="S26" s="1">
        <f t="shared" si="13"/>
        <v>0.44943820224719111</v>
      </c>
      <c r="T26" s="1"/>
    </row>
    <row r="27" spans="1:20">
      <c r="A27" t="s">
        <v>80</v>
      </c>
      <c r="B27" s="2">
        <v>0.23</v>
      </c>
      <c r="C27" s="2">
        <v>0.14299999999999999</v>
      </c>
      <c r="D27" s="2">
        <v>5.8000000000000003E-2</v>
      </c>
      <c r="E27" s="2">
        <v>0.158</v>
      </c>
      <c r="F27" s="2">
        <v>5.9700000000000003E-2</v>
      </c>
      <c r="G27" s="4">
        <v>0.22900000000000001</v>
      </c>
      <c r="H27" s="2">
        <f t="shared" si="2"/>
        <v>-0.24099999999999996</v>
      </c>
      <c r="I27" s="2">
        <f t="shared" si="3"/>
        <v>-0.23600000000000002</v>
      </c>
      <c r="J27" s="2">
        <f t="shared" si="4"/>
        <v>-0.14400000000000002</v>
      </c>
      <c r="K27" s="2">
        <f t="shared" si="5"/>
        <v>8.6814116216420503E-2</v>
      </c>
      <c r="L27" s="2">
        <f t="shared" si="6"/>
        <v>4.4569351520426903E-2</v>
      </c>
      <c r="M27" s="4">
        <f t="shared" si="7"/>
        <v>5.1000000000000018E-2</v>
      </c>
      <c r="N27" s="1">
        <f t="shared" si="8"/>
        <v>-0.51167728237791932</v>
      </c>
      <c r="O27" s="1">
        <f t="shared" si="9"/>
        <v>-0.62269129287598945</v>
      </c>
      <c r="P27" s="1">
        <f t="shared" si="10"/>
        <v>-0.71287128712871295</v>
      </c>
      <c r="Q27" s="1">
        <f t="shared" si="11"/>
        <v>1.2195411730836161</v>
      </c>
      <c r="R27" s="1">
        <f t="shared" si="12"/>
        <v>2.9456339284199928</v>
      </c>
      <c r="S27" s="1">
        <f t="shared" si="13"/>
        <v>0.28651685393258436</v>
      </c>
      <c r="T27" s="1"/>
    </row>
    <row r="28" spans="1:20">
      <c r="A28" t="s">
        <v>113</v>
      </c>
      <c r="B28" s="2">
        <v>0.25700000000000001</v>
      </c>
      <c r="C28" s="2">
        <v>0.152</v>
      </c>
      <c r="D28" s="2">
        <v>6.3E-2</v>
      </c>
      <c r="E28" s="2">
        <v>0.17</v>
      </c>
      <c r="F28" s="2">
        <v>5.8099999999999999E-2</v>
      </c>
      <c r="G28" s="4">
        <v>0.24199999999999999</v>
      </c>
      <c r="H28" s="2">
        <f t="shared" si="2"/>
        <v>-0.21399999999999997</v>
      </c>
      <c r="I28" s="2">
        <f t="shared" si="3"/>
        <v>-0.22700000000000001</v>
      </c>
      <c r="J28" s="2">
        <f t="shared" si="4"/>
        <v>-0.13900000000000001</v>
      </c>
      <c r="K28" s="2">
        <f t="shared" si="5"/>
        <v>9.8814116216420514E-2</v>
      </c>
      <c r="L28" s="2">
        <f t="shared" si="6"/>
        <v>4.2969351520426899E-2</v>
      </c>
      <c r="M28" s="4">
        <f t="shared" si="7"/>
        <v>6.4000000000000001E-2</v>
      </c>
      <c r="N28" s="1">
        <f t="shared" si="8"/>
        <v>-0.45435244161358807</v>
      </c>
      <c r="O28" s="1">
        <f t="shared" si="9"/>
        <v>-0.59894459102902375</v>
      </c>
      <c r="P28" s="1">
        <f t="shared" si="10"/>
        <v>-0.68811881188118817</v>
      </c>
      <c r="Q28" s="1">
        <f t="shared" si="11"/>
        <v>1.3881139204064226</v>
      </c>
      <c r="R28" s="1">
        <f t="shared" si="12"/>
        <v>2.8398882954975138</v>
      </c>
      <c r="S28" s="1">
        <f t="shared" si="13"/>
        <v>0.35955056179775285</v>
      </c>
      <c r="T28" s="1"/>
    </row>
    <row r="29" spans="1:20">
      <c r="A29" t="s">
        <v>125</v>
      </c>
      <c r="B29" s="2">
        <v>0.25700000000000001</v>
      </c>
      <c r="C29" s="2">
        <v>0.152</v>
      </c>
      <c r="D29" s="2">
        <v>6.3E-2</v>
      </c>
      <c r="E29" s="2">
        <v>0.17</v>
      </c>
      <c r="F29" s="2">
        <v>5.8099999999999999E-2</v>
      </c>
      <c r="G29" s="4">
        <v>0.24199999999999999</v>
      </c>
      <c r="H29" s="2">
        <f t="shared" si="2"/>
        <v>-0.21399999999999997</v>
      </c>
      <c r="I29" s="2">
        <f t="shared" si="3"/>
        <v>-0.22700000000000001</v>
      </c>
      <c r="J29" s="2">
        <f t="shared" si="4"/>
        <v>-0.13900000000000001</v>
      </c>
      <c r="K29" s="2">
        <f t="shared" si="5"/>
        <v>9.8814116216420514E-2</v>
      </c>
      <c r="L29" s="2">
        <f t="shared" si="6"/>
        <v>4.2969351520426899E-2</v>
      </c>
      <c r="M29" s="4">
        <f t="shared" si="7"/>
        <v>6.4000000000000001E-2</v>
      </c>
      <c r="N29" s="1">
        <f t="shared" si="8"/>
        <v>-0.45435244161358807</v>
      </c>
      <c r="O29" s="1">
        <f t="shared" si="9"/>
        <v>-0.59894459102902375</v>
      </c>
      <c r="P29" s="1">
        <f t="shared" si="10"/>
        <v>-0.68811881188118817</v>
      </c>
      <c r="Q29" s="1">
        <f t="shared" si="11"/>
        <v>1.3881139204064226</v>
      </c>
      <c r="R29" s="1">
        <f t="shared" si="12"/>
        <v>2.8398882954975138</v>
      </c>
      <c r="S29" s="1">
        <f t="shared" si="13"/>
        <v>0.35955056179775285</v>
      </c>
      <c r="T29" s="1"/>
    </row>
    <row r="30" spans="1:20">
      <c r="A30" t="s">
        <v>137</v>
      </c>
      <c r="B30" s="2">
        <v>0.25700000000000001</v>
      </c>
      <c r="C30" s="2">
        <v>0.152</v>
      </c>
      <c r="D30" s="2">
        <v>6.3E-2</v>
      </c>
      <c r="E30" s="2">
        <v>0.17</v>
      </c>
      <c r="F30" s="2">
        <v>5.8099999999999999E-2</v>
      </c>
      <c r="G30" s="4">
        <v>0.24199999999999999</v>
      </c>
      <c r="H30" s="2">
        <f t="shared" si="2"/>
        <v>-0.21399999999999997</v>
      </c>
      <c r="I30" s="2">
        <f t="shared" si="3"/>
        <v>-0.22700000000000001</v>
      </c>
      <c r="J30" s="2">
        <f t="shared" si="4"/>
        <v>-0.13900000000000001</v>
      </c>
      <c r="K30" s="2">
        <f t="shared" si="5"/>
        <v>9.8814116216420514E-2</v>
      </c>
      <c r="L30" s="2">
        <f t="shared" si="6"/>
        <v>4.2969351520426899E-2</v>
      </c>
      <c r="M30" s="4">
        <f t="shared" si="7"/>
        <v>6.4000000000000001E-2</v>
      </c>
      <c r="N30" s="1">
        <f t="shared" si="8"/>
        <v>-0.45435244161358807</v>
      </c>
      <c r="O30" s="1">
        <f t="shared" si="9"/>
        <v>-0.59894459102902375</v>
      </c>
      <c r="P30" s="1">
        <f t="shared" si="10"/>
        <v>-0.68811881188118817</v>
      </c>
      <c r="Q30" s="1">
        <f t="shared" si="11"/>
        <v>1.3881139204064226</v>
      </c>
      <c r="R30" s="1">
        <f t="shared" si="12"/>
        <v>2.8398882954975138</v>
      </c>
      <c r="S30" s="1">
        <f t="shared" si="13"/>
        <v>0.35955056179775285</v>
      </c>
      <c r="T30" s="1"/>
    </row>
    <row r="31" spans="1:20">
      <c r="A31" t="s">
        <v>119</v>
      </c>
      <c r="B31" s="2">
        <v>0.24399999999999999</v>
      </c>
      <c r="C31" s="2">
        <v>0.152</v>
      </c>
      <c r="D31" s="2">
        <v>6.4000000000000001E-2</v>
      </c>
      <c r="E31" s="2">
        <v>0.152</v>
      </c>
      <c r="F31" s="2">
        <v>5.7799999999999997E-2</v>
      </c>
      <c r="G31" s="4">
        <v>0.222</v>
      </c>
      <c r="H31" s="2">
        <f t="shared" si="2"/>
        <v>-0.22699999999999998</v>
      </c>
      <c r="I31" s="2">
        <f t="shared" si="3"/>
        <v>-0.22700000000000001</v>
      </c>
      <c r="J31" s="2">
        <f t="shared" si="4"/>
        <v>-0.13800000000000001</v>
      </c>
      <c r="K31" s="2">
        <f t="shared" si="5"/>
        <v>8.0814116216420498E-2</v>
      </c>
      <c r="L31" s="2">
        <f t="shared" si="6"/>
        <v>4.2669351520426897E-2</v>
      </c>
      <c r="M31" s="4">
        <f t="shared" si="7"/>
        <v>4.4000000000000011E-2</v>
      </c>
      <c r="N31" s="1">
        <f t="shared" si="8"/>
        <v>-0.48195329087048833</v>
      </c>
      <c r="O31" s="1">
        <f t="shared" si="9"/>
        <v>-0.59894459102902375</v>
      </c>
      <c r="P31" s="1">
        <f t="shared" si="10"/>
        <v>-0.68316831683168322</v>
      </c>
      <c r="Q31" s="1">
        <f t="shared" si="11"/>
        <v>1.1352547994222129</v>
      </c>
      <c r="R31" s="1">
        <f t="shared" si="12"/>
        <v>2.8200609893245487</v>
      </c>
      <c r="S31" s="1">
        <f t="shared" si="13"/>
        <v>0.24719101123595513</v>
      </c>
      <c r="T31" s="1"/>
    </row>
    <row r="32" spans="1:20">
      <c r="A32" t="s">
        <v>131</v>
      </c>
      <c r="B32" s="2">
        <v>0.24399999999999999</v>
      </c>
      <c r="C32" s="2">
        <v>0.152</v>
      </c>
      <c r="D32" s="2">
        <v>6.4000000000000001E-2</v>
      </c>
      <c r="E32" s="2">
        <v>0.152</v>
      </c>
      <c r="F32" s="2">
        <v>5.7799999999999997E-2</v>
      </c>
      <c r="G32" s="4">
        <v>0.222</v>
      </c>
      <c r="H32" s="2">
        <f t="shared" si="2"/>
        <v>-0.22699999999999998</v>
      </c>
      <c r="I32" s="2">
        <f t="shared" si="3"/>
        <v>-0.22700000000000001</v>
      </c>
      <c r="J32" s="2">
        <f t="shared" si="4"/>
        <v>-0.13800000000000001</v>
      </c>
      <c r="K32" s="2">
        <f t="shared" si="5"/>
        <v>8.0814116216420498E-2</v>
      </c>
      <c r="L32" s="2">
        <f t="shared" si="6"/>
        <v>4.2669351520426897E-2</v>
      </c>
      <c r="M32" s="4">
        <f t="shared" si="7"/>
        <v>4.4000000000000011E-2</v>
      </c>
      <c r="N32" s="1">
        <f t="shared" si="8"/>
        <v>-0.48195329087048833</v>
      </c>
      <c r="O32" s="1">
        <f t="shared" si="9"/>
        <v>-0.59894459102902375</v>
      </c>
      <c r="P32" s="1">
        <f t="shared" si="10"/>
        <v>-0.68316831683168322</v>
      </c>
      <c r="Q32" s="1">
        <f t="shared" si="11"/>
        <v>1.1352547994222129</v>
      </c>
      <c r="R32" s="1">
        <f t="shared" si="12"/>
        <v>2.8200609893245487</v>
      </c>
      <c r="S32" s="1">
        <f t="shared" si="13"/>
        <v>0.24719101123595513</v>
      </c>
      <c r="T32" s="1"/>
    </row>
    <row r="33" spans="1:20">
      <c r="A33" t="s">
        <v>143</v>
      </c>
      <c r="B33" s="2">
        <v>0.24399999999999999</v>
      </c>
      <c r="C33" s="2">
        <v>0.152</v>
      </c>
      <c r="D33" s="2">
        <v>6.4000000000000001E-2</v>
      </c>
      <c r="E33" s="2">
        <v>0.152</v>
      </c>
      <c r="F33" s="2">
        <v>5.7799999999999997E-2</v>
      </c>
      <c r="G33" s="4">
        <v>0.222</v>
      </c>
      <c r="H33" s="2">
        <f t="shared" si="2"/>
        <v>-0.22699999999999998</v>
      </c>
      <c r="I33" s="2">
        <f t="shared" si="3"/>
        <v>-0.22700000000000001</v>
      </c>
      <c r="J33" s="2">
        <f t="shared" si="4"/>
        <v>-0.13800000000000001</v>
      </c>
      <c r="K33" s="2">
        <f t="shared" si="5"/>
        <v>8.0814116216420498E-2</v>
      </c>
      <c r="L33" s="2">
        <f t="shared" si="6"/>
        <v>4.2669351520426897E-2</v>
      </c>
      <c r="M33" s="4">
        <f t="shared" si="7"/>
        <v>4.4000000000000011E-2</v>
      </c>
      <c r="N33" s="1">
        <f t="shared" si="8"/>
        <v>-0.48195329087048833</v>
      </c>
      <c r="O33" s="1">
        <f t="shared" si="9"/>
        <v>-0.59894459102902375</v>
      </c>
      <c r="P33" s="1">
        <f t="shared" si="10"/>
        <v>-0.68316831683168322</v>
      </c>
      <c r="Q33" s="1">
        <f t="shared" si="11"/>
        <v>1.1352547994222129</v>
      </c>
      <c r="R33" s="1">
        <f t="shared" si="12"/>
        <v>2.8200609893245487</v>
      </c>
      <c r="S33" s="1">
        <f t="shared" si="13"/>
        <v>0.24719101123595513</v>
      </c>
      <c r="T33" s="1"/>
    </row>
    <row r="34" spans="1:20">
      <c r="A34" t="s">
        <v>76</v>
      </c>
      <c r="B34" s="2">
        <v>0.23599999999999999</v>
      </c>
      <c r="C34" s="2">
        <v>0.14499999999999999</v>
      </c>
      <c r="D34" s="2">
        <v>5.2999999999999999E-2</v>
      </c>
      <c r="E34" s="2">
        <v>0.182</v>
      </c>
      <c r="F34" s="2">
        <v>5.7599999999999998E-2</v>
      </c>
      <c r="G34" s="4">
        <v>0.25700000000000001</v>
      </c>
      <c r="H34" s="2">
        <f t="shared" ref="H34:H65" si="14">B34-V$2</f>
        <v>-0.23499999999999999</v>
      </c>
      <c r="I34" s="2">
        <f t="shared" ref="I34:I65" si="15">C34-W$2</f>
        <v>-0.23400000000000001</v>
      </c>
      <c r="J34" s="2">
        <f t="shared" ref="J34:J65" si="16">D34-X$2</f>
        <v>-0.14900000000000002</v>
      </c>
      <c r="K34" s="2">
        <f t="shared" ref="K34:K65" si="17">E34-Y$2</f>
        <v>0.1108141162164205</v>
      </c>
      <c r="L34" s="2">
        <f t="shared" ref="L34:L65" si="18">F34-Z$2</f>
        <v>4.2469351520426898E-2</v>
      </c>
      <c r="M34" s="4">
        <f t="shared" ref="M34:M65" si="19">G34-AA$2</f>
        <v>7.9000000000000015E-2</v>
      </c>
      <c r="N34" s="1">
        <f t="shared" ref="N34:N65" si="20">(B34-V$2)/V$2</f>
        <v>-0.49893842887473461</v>
      </c>
      <c r="O34" s="1">
        <f t="shared" ref="O34:O65" si="21">(C34-W$2)/W$2</f>
        <v>-0.61741424802110823</v>
      </c>
      <c r="P34" s="1">
        <f t="shared" ref="P34:P65" si="22">(D34-X$2)/X$2</f>
        <v>-0.73762376237623772</v>
      </c>
      <c r="Q34" s="1">
        <f t="shared" ref="Q34:Q65" si="23">(E34-Y$2)/Y$2</f>
        <v>1.5566866677292286</v>
      </c>
      <c r="R34" s="1">
        <f t="shared" ref="R34:R65" si="24">(F34-Z$2)/Z$2</f>
        <v>2.806842785209239</v>
      </c>
      <c r="S34" s="1">
        <f t="shared" ref="S34:S65" si="25">(G34-AA$2)/AA$2</f>
        <v>0.44382022471910121</v>
      </c>
      <c r="T34" s="1"/>
    </row>
    <row r="35" spans="1:20">
      <c r="A35" t="s">
        <v>115</v>
      </c>
      <c r="B35" s="2">
        <v>0.32400000000000001</v>
      </c>
      <c r="C35" s="2">
        <v>0.23200000000000001</v>
      </c>
      <c r="D35" s="2">
        <v>9.0999999999999998E-2</v>
      </c>
      <c r="E35" s="2">
        <v>0.19600000000000001</v>
      </c>
      <c r="F35" s="2">
        <v>5.74E-2</v>
      </c>
      <c r="G35" s="4">
        <v>0.312</v>
      </c>
      <c r="H35" s="2">
        <f t="shared" si="14"/>
        <v>-0.14699999999999996</v>
      </c>
      <c r="I35" s="2">
        <f t="shared" si="15"/>
        <v>-0.14699999999999999</v>
      </c>
      <c r="J35" s="2">
        <f t="shared" si="16"/>
        <v>-0.11100000000000002</v>
      </c>
      <c r="K35" s="2">
        <f t="shared" si="17"/>
        <v>0.12481411621642051</v>
      </c>
      <c r="L35" s="2">
        <f t="shared" si="18"/>
        <v>4.22693515204269E-2</v>
      </c>
      <c r="M35" s="4">
        <f t="shared" si="19"/>
        <v>0.13400000000000001</v>
      </c>
      <c r="N35" s="1">
        <f t="shared" si="20"/>
        <v>-0.31210191082802541</v>
      </c>
      <c r="O35" s="1">
        <f t="shared" si="21"/>
        <v>-0.38786279683377306</v>
      </c>
      <c r="P35" s="1">
        <f t="shared" si="22"/>
        <v>-0.54950495049504955</v>
      </c>
      <c r="Q35" s="1">
        <f t="shared" si="23"/>
        <v>1.7533548729391695</v>
      </c>
      <c r="R35" s="1">
        <f t="shared" si="24"/>
        <v>2.7936245810939293</v>
      </c>
      <c r="S35" s="1">
        <f t="shared" si="25"/>
        <v>0.75280898876404501</v>
      </c>
      <c r="T35" s="1"/>
    </row>
    <row r="36" spans="1:20">
      <c r="A36" t="s">
        <v>184</v>
      </c>
      <c r="B36" s="2">
        <v>0.26604051565377529</v>
      </c>
      <c r="C36" s="2">
        <v>0.14899999999999999</v>
      </c>
      <c r="D36" s="2">
        <v>5.1799999999999999E-2</v>
      </c>
      <c r="E36" s="2">
        <v>0.14099999999999999</v>
      </c>
      <c r="F36" s="2">
        <v>5.5399999999999998E-2</v>
      </c>
      <c r="G36" s="4">
        <v>0.232989604989605</v>
      </c>
      <c r="H36" s="2">
        <f t="shared" si="14"/>
        <v>-0.20495948434622469</v>
      </c>
      <c r="I36" s="2">
        <f t="shared" si="15"/>
        <v>-0.23</v>
      </c>
      <c r="J36" s="2">
        <f t="shared" si="16"/>
        <v>-0.1502</v>
      </c>
      <c r="K36" s="2">
        <f t="shared" si="17"/>
        <v>6.9814116216420488E-2</v>
      </c>
      <c r="L36" s="2">
        <f t="shared" si="18"/>
        <v>4.0269351520426898E-2</v>
      </c>
      <c r="M36" s="4">
        <f t="shared" si="19"/>
        <v>5.4989604989605007E-2</v>
      </c>
      <c r="N36" s="1">
        <f t="shared" si="20"/>
        <v>-0.43515814086247284</v>
      </c>
      <c r="O36" s="1">
        <f t="shared" si="21"/>
        <v>-0.60686015831134565</v>
      </c>
      <c r="P36" s="1">
        <f t="shared" si="22"/>
        <v>-0.74356435643564356</v>
      </c>
      <c r="Q36" s="1">
        <f t="shared" si="23"/>
        <v>0.98072978104297359</v>
      </c>
      <c r="R36" s="1">
        <f t="shared" si="24"/>
        <v>2.6614425399408308</v>
      </c>
      <c r="S36" s="1">
        <f t="shared" si="25"/>
        <v>0.30893036511014049</v>
      </c>
      <c r="T36" s="1"/>
    </row>
    <row r="37" spans="1:20">
      <c r="A37" t="s">
        <v>203</v>
      </c>
      <c r="B37" s="2">
        <v>0.28387323943661974</v>
      </c>
      <c r="C37" s="2">
        <v>0.192</v>
      </c>
      <c r="D37" s="2">
        <v>7.17E-2</v>
      </c>
      <c r="E37" s="2">
        <v>0.14299999999999999</v>
      </c>
      <c r="F37" s="2">
        <v>5.5E-2</v>
      </c>
      <c r="G37" s="4">
        <v>0.22488888888888892</v>
      </c>
      <c r="H37" s="2">
        <f t="shared" si="14"/>
        <v>-0.18712676056338023</v>
      </c>
      <c r="I37" s="2">
        <f t="shared" si="15"/>
        <v>-0.187</v>
      </c>
      <c r="J37" s="2">
        <f t="shared" si="16"/>
        <v>-0.13030000000000003</v>
      </c>
      <c r="K37" s="2">
        <f t="shared" si="17"/>
        <v>7.181411621642049E-2</v>
      </c>
      <c r="L37" s="2">
        <f t="shared" si="18"/>
        <v>3.98693515204269E-2</v>
      </c>
      <c r="M37" s="4">
        <f t="shared" si="19"/>
        <v>4.6888888888888924E-2</v>
      </c>
      <c r="N37" s="1">
        <f t="shared" si="20"/>
        <v>-0.39729673155707057</v>
      </c>
      <c r="O37" s="1">
        <f t="shared" si="21"/>
        <v>-0.49340369393139843</v>
      </c>
      <c r="P37" s="1">
        <f t="shared" si="22"/>
        <v>-0.64504950495049518</v>
      </c>
      <c r="Q37" s="1">
        <f t="shared" si="23"/>
        <v>1.008825238930108</v>
      </c>
      <c r="R37" s="1">
        <f t="shared" si="24"/>
        <v>2.6350061317102109</v>
      </c>
      <c r="S37" s="1">
        <f t="shared" si="25"/>
        <v>0.2634207240948816</v>
      </c>
      <c r="T37" s="1"/>
    </row>
    <row r="38" spans="1:20">
      <c r="A38" t="s">
        <v>121</v>
      </c>
      <c r="B38" s="2">
        <v>0.32300000000000001</v>
      </c>
      <c r="C38" s="2">
        <v>0.23100000000000001</v>
      </c>
      <c r="D38" s="2">
        <v>9.1999999999999998E-2</v>
      </c>
      <c r="E38" s="2">
        <v>0.19</v>
      </c>
      <c r="F38" s="2">
        <v>5.4300000000000001E-2</v>
      </c>
      <c r="G38" s="4">
        <v>0.30499999999999999</v>
      </c>
      <c r="H38" s="2">
        <f t="shared" si="14"/>
        <v>-0.14799999999999996</v>
      </c>
      <c r="I38" s="2">
        <f t="shared" si="15"/>
        <v>-0.14799999999999999</v>
      </c>
      <c r="J38" s="2">
        <f t="shared" si="16"/>
        <v>-0.11000000000000001</v>
      </c>
      <c r="K38" s="2">
        <f t="shared" si="17"/>
        <v>0.1188141162164205</v>
      </c>
      <c r="L38" s="2">
        <f t="shared" si="18"/>
        <v>3.9169351520426901E-2</v>
      </c>
      <c r="M38" s="4">
        <f t="shared" si="19"/>
        <v>0.127</v>
      </c>
      <c r="N38" s="1">
        <f t="shared" si="20"/>
        <v>-0.31422505307855619</v>
      </c>
      <c r="O38" s="1">
        <f t="shared" si="21"/>
        <v>-0.39050131926121368</v>
      </c>
      <c r="P38" s="1">
        <f t="shared" si="22"/>
        <v>-0.54455445544554459</v>
      </c>
      <c r="Q38" s="1">
        <f t="shared" si="23"/>
        <v>1.6690684992777662</v>
      </c>
      <c r="R38" s="1">
        <f t="shared" si="24"/>
        <v>2.5887424173066265</v>
      </c>
      <c r="S38" s="1">
        <f t="shared" si="25"/>
        <v>0.71348314606741581</v>
      </c>
      <c r="T38" s="1"/>
    </row>
    <row r="39" spans="1:20">
      <c r="A39" t="s">
        <v>53</v>
      </c>
      <c r="B39" s="2">
        <v>0.24399999999999999</v>
      </c>
      <c r="C39" s="2">
        <v>0.156</v>
      </c>
      <c r="D39" s="2">
        <v>0.06</v>
      </c>
      <c r="E39" s="2">
        <v>0.14399999999999999</v>
      </c>
      <c r="F39" s="2">
        <v>5.4100000000000002E-2</v>
      </c>
      <c r="G39" s="4">
        <v>0.218</v>
      </c>
      <c r="H39" s="2">
        <f t="shared" si="14"/>
        <v>-0.22699999999999998</v>
      </c>
      <c r="I39" s="2">
        <f t="shared" si="15"/>
        <v>-0.223</v>
      </c>
      <c r="J39" s="2">
        <f t="shared" si="16"/>
        <v>-0.14200000000000002</v>
      </c>
      <c r="K39" s="2">
        <f t="shared" si="17"/>
        <v>7.2814116216420491E-2</v>
      </c>
      <c r="L39" s="2">
        <f t="shared" si="18"/>
        <v>3.8969351520426902E-2</v>
      </c>
      <c r="M39" s="4">
        <f t="shared" si="19"/>
        <v>4.0000000000000008E-2</v>
      </c>
      <c r="N39" s="1">
        <f t="shared" si="20"/>
        <v>-0.48195329087048833</v>
      </c>
      <c r="O39" s="1">
        <f t="shared" si="21"/>
        <v>-0.58839050131926118</v>
      </c>
      <c r="P39" s="1">
        <f t="shared" si="22"/>
        <v>-0.70297029702970304</v>
      </c>
      <c r="Q39" s="1">
        <f t="shared" si="23"/>
        <v>1.0228729678736752</v>
      </c>
      <c r="R39" s="1">
        <f t="shared" si="24"/>
        <v>2.5755242131913167</v>
      </c>
      <c r="S39" s="1">
        <f t="shared" si="25"/>
        <v>0.22471910112359555</v>
      </c>
      <c r="T39" s="1"/>
    </row>
    <row r="40" spans="1:20">
      <c r="A40" t="s">
        <v>43</v>
      </c>
      <c r="B40" s="2">
        <v>0.22800000000000001</v>
      </c>
      <c r="C40" s="2">
        <v>0.158</v>
      </c>
      <c r="D40" s="2">
        <v>5.7000000000000002E-2</v>
      </c>
      <c r="E40" s="2">
        <v>0.16700000000000001</v>
      </c>
      <c r="F40" s="2">
        <v>5.3900000000000003E-2</v>
      </c>
      <c r="G40" s="4">
        <v>0.224</v>
      </c>
      <c r="H40" s="2">
        <f t="shared" si="14"/>
        <v>-0.24299999999999997</v>
      </c>
      <c r="I40" s="2">
        <f t="shared" si="15"/>
        <v>-0.221</v>
      </c>
      <c r="J40" s="2">
        <f t="shared" si="16"/>
        <v>-0.14500000000000002</v>
      </c>
      <c r="K40" s="2">
        <f t="shared" si="17"/>
        <v>9.5814116216420511E-2</v>
      </c>
      <c r="L40" s="2">
        <f t="shared" si="18"/>
        <v>3.8769351520426903E-2</v>
      </c>
      <c r="M40" s="4">
        <f t="shared" si="19"/>
        <v>4.6000000000000013E-2</v>
      </c>
      <c r="N40" s="1">
        <f t="shared" si="20"/>
        <v>-0.51592356687898089</v>
      </c>
      <c r="O40" s="1">
        <f t="shared" si="21"/>
        <v>-0.58311345646437995</v>
      </c>
      <c r="P40" s="1">
        <f t="shared" si="22"/>
        <v>-0.7178217821782179</v>
      </c>
      <c r="Q40" s="1">
        <f t="shared" si="23"/>
        <v>1.3459707335757209</v>
      </c>
      <c r="R40" s="1">
        <f t="shared" si="24"/>
        <v>2.562306009076007</v>
      </c>
      <c r="S40" s="1">
        <f t="shared" si="25"/>
        <v>0.25842696629213491</v>
      </c>
      <c r="T40" s="1"/>
    </row>
    <row r="41" spans="1:20">
      <c r="A41" t="s">
        <v>166</v>
      </c>
      <c r="B41" s="2">
        <v>0.23472332015810279</v>
      </c>
      <c r="C41" s="2">
        <v>0.17</v>
      </c>
      <c r="D41" s="2">
        <v>6.9699999999999998E-2</v>
      </c>
      <c r="E41" s="2">
        <v>0.14799999999999999</v>
      </c>
      <c r="F41" s="2">
        <v>5.3699999999999998E-2</v>
      </c>
      <c r="G41" s="4">
        <v>0.21346153846153845</v>
      </c>
      <c r="H41" s="2">
        <f t="shared" si="14"/>
        <v>-0.23627667984189718</v>
      </c>
      <c r="I41" s="2">
        <f t="shared" si="15"/>
        <v>-0.20899999999999999</v>
      </c>
      <c r="J41" s="2">
        <f t="shared" si="16"/>
        <v>-0.13230000000000003</v>
      </c>
      <c r="K41" s="2">
        <f t="shared" si="17"/>
        <v>7.6814116216420494E-2</v>
      </c>
      <c r="L41" s="2">
        <f t="shared" si="18"/>
        <v>3.8569351520426898E-2</v>
      </c>
      <c r="M41" s="4">
        <f t="shared" si="19"/>
        <v>3.5461538461538461E-2</v>
      </c>
      <c r="N41" s="1">
        <f t="shared" si="20"/>
        <v>-0.50164900178746752</v>
      </c>
      <c r="O41" s="1">
        <f t="shared" si="21"/>
        <v>-0.55145118733509235</v>
      </c>
      <c r="P41" s="1">
        <f t="shared" si="22"/>
        <v>-0.65495049504950509</v>
      </c>
      <c r="Q41" s="1">
        <f t="shared" si="23"/>
        <v>1.079063883647944</v>
      </c>
      <c r="R41" s="1">
        <f t="shared" si="24"/>
        <v>2.5490878049606969</v>
      </c>
      <c r="S41" s="1">
        <f t="shared" si="25"/>
        <v>0.19922212618841834</v>
      </c>
      <c r="T41" s="1"/>
    </row>
    <row r="42" spans="1:20">
      <c r="A42" s="10" t="s">
        <v>45</v>
      </c>
      <c r="B42" s="2">
        <v>0.23</v>
      </c>
      <c r="C42" s="2">
        <v>0.14899999999999999</v>
      </c>
      <c r="D42" s="2">
        <v>5.7000000000000002E-2</v>
      </c>
      <c r="E42" s="2">
        <v>0.152</v>
      </c>
      <c r="F42" s="2">
        <v>5.3199999999999997E-2</v>
      </c>
      <c r="G42" s="4">
        <v>0.224</v>
      </c>
      <c r="H42" s="2">
        <f t="shared" si="14"/>
        <v>-0.24099999999999996</v>
      </c>
      <c r="I42" s="2">
        <f t="shared" si="15"/>
        <v>-0.23</v>
      </c>
      <c r="J42" s="2">
        <f t="shared" si="16"/>
        <v>-0.14500000000000002</v>
      </c>
      <c r="K42" s="2">
        <f t="shared" si="17"/>
        <v>8.0814116216420498E-2</v>
      </c>
      <c r="L42" s="2">
        <f t="shared" si="18"/>
        <v>3.8069351520426897E-2</v>
      </c>
      <c r="M42" s="4">
        <f t="shared" si="19"/>
        <v>4.6000000000000013E-2</v>
      </c>
      <c r="N42" s="1">
        <f t="shared" si="20"/>
        <v>-0.51167728237791932</v>
      </c>
      <c r="O42" s="1">
        <f t="shared" si="21"/>
        <v>-0.60686015831134565</v>
      </c>
      <c r="P42" s="1">
        <f t="shared" si="22"/>
        <v>-0.7178217821782179</v>
      </c>
      <c r="Q42" s="1">
        <f t="shared" si="23"/>
        <v>1.1352547994222129</v>
      </c>
      <c r="R42" s="1">
        <f t="shared" si="24"/>
        <v>2.5160422946724221</v>
      </c>
      <c r="S42" s="1">
        <f t="shared" si="25"/>
        <v>0.25842696629213491</v>
      </c>
      <c r="T42" s="1"/>
    </row>
    <row r="43" spans="1:20">
      <c r="A43" t="s">
        <v>73</v>
      </c>
      <c r="B43" s="2">
        <v>0.34799999999999998</v>
      </c>
      <c r="C43" s="2">
        <v>0.25</v>
      </c>
      <c r="D43" s="2">
        <v>0.108</v>
      </c>
      <c r="E43" s="2">
        <v>0.20422825443791301</v>
      </c>
      <c r="F43" s="2">
        <v>5.3148698413901102E-2</v>
      </c>
      <c r="G43" s="4">
        <v>0.30099999999999999</v>
      </c>
      <c r="H43" s="2">
        <f t="shared" si="14"/>
        <v>-0.123</v>
      </c>
      <c r="I43" s="2">
        <f t="shared" si="15"/>
        <v>-0.129</v>
      </c>
      <c r="J43" s="2">
        <f t="shared" si="16"/>
        <v>-9.4000000000000014E-2</v>
      </c>
      <c r="K43" s="2">
        <f t="shared" si="17"/>
        <v>0.1330423706543335</v>
      </c>
      <c r="L43" s="2">
        <f t="shared" si="18"/>
        <v>3.8018049934328002E-2</v>
      </c>
      <c r="M43" s="4">
        <f t="shared" si="19"/>
        <v>0.123</v>
      </c>
      <c r="N43" s="1">
        <f t="shared" si="20"/>
        <v>-0.26114649681528662</v>
      </c>
      <c r="O43" s="1">
        <f t="shared" si="21"/>
        <v>-0.34036939313984171</v>
      </c>
      <c r="P43" s="1">
        <f t="shared" si="22"/>
        <v>-0.46534653465346537</v>
      </c>
      <c r="Q43" s="1">
        <f t="shared" si="23"/>
        <v>1.8689431609616749</v>
      </c>
      <c r="R43" s="1">
        <f t="shared" si="24"/>
        <v>2.5126517204899503</v>
      </c>
      <c r="S43" s="1">
        <f t="shared" si="25"/>
        <v>0.6910112359550562</v>
      </c>
      <c r="T43" s="1"/>
    </row>
    <row r="44" spans="1:20">
      <c r="A44" t="s">
        <v>196</v>
      </c>
      <c r="B44" s="2">
        <v>0.22497881355932203</v>
      </c>
      <c r="C44" s="2">
        <v>0.14000000000000001</v>
      </c>
      <c r="D44" s="2">
        <v>5.8299999999999998E-2</v>
      </c>
      <c r="E44" s="2">
        <v>0.14899999999999999</v>
      </c>
      <c r="F44" s="2">
        <v>5.28E-2</v>
      </c>
      <c r="G44" s="4">
        <v>0.22695983086680763</v>
      </c>
      <c r="H44" s="2">
        <f t="shared" si="14"/>
        <v>-0.24602118644067794</v>
      </c>
      <c r="I44" s="2">
        <f t="shared" si="15"/>
        <v>-0.23899999999999999</v>
      </c>
      <c r="J44" s="2">
        <f t="shared" si="16"/>
        <v>-0.14370000000000002</v>
      </c>
      <c r="K44" s="2">
        <f t="shared" si="17"/>
        <v>7.7814116216420495E-2</v>
      </c>
      <c r="L44" s="2">
        <f t="shared" si="18"/>
        <v>3.76693515204269E-2</v>
      </c>
      <c r="M44" s="4">
        <f t="shared" si="19"/>
        <v>4.8959830866807635E-2</v>
      </c>
      <c r="N44" s="1">
        <f t="shared" si="20"/>
        <v>-0.52233797545791494</v>
      </c>
      <c r="O44" s="1">
        <f t="shared" si="21"/>
        <v>-0.63060686015831136</v>
      </c>
      <c r="P44" s="1">
        <f t="shared" si="22"/>
        <v>-0.71138613861386146</v>
      </c>
      <c r="Q44" s="1">
        <f t="shared" si="23"/>
        <v>1.0931116125915112</v>
      </c>
      <c r="R44" s="1">
        <f t="shared" si="24"/>
        <v>2.4896058864418027</v>
      </c>
      <c r="S44" s="1">
        <f t="shared" si="25"/>
        <v>0.27505522958880696</v>
      </c>
      <c r="T44" s="1"/>
    </row>
    <row r="45" spans="1:20">
      <c r="A45" t="s">
        <v>145</v>
      </c>
      <c r="B45" s="2">
        <v>0.26400000000000001</v>
      </c>
      <c r="C45" s="2">
        <v>0.16500000000000001</v>
      </c>
      <c r="D45" s="2">
        <v>6.4000000000000001E-2</v>
      </c>
      <c r="E45" s="2">
        <v>0.14599999999999999</v>
      </c>
      <c r="F45" s="2">
        <v>5.2699999999999997E-2</v>
      </c>
      <c r="G45" s="4">
        <v>0.245</v>
      </c>
      <c r="H45" s="2">
        <f t="shared" si="14"/>
        <v>-0.20699999999999996</v>
      </c>
      <c r="I45" s="2">
        <f t="shared" si="15"/>
        <v>-0.214</v>
      </c>
      <c r="J45" s="2">
        <f t="shared" si="16"/>
        <v>-0.13800000000000001</v>
      </c>
      <c r="K45" s="2">
        <f t="shared" si="17"/>
        <v>7.4814116216420493E-2</v>
      </c>
      <c r="L45" s="2">
        <f t="shared" si="18"/>
        <v>3.7569351520426897E-2</v>
      </c>
      <c r="M45" s="4">
        <f t="shared" si="19"/>
        <v>6.7000000000000004E-2</v>
      </c>
      <c r="N45" s="1">
        <f t="shared" si="20"/>
        <v>-0.43949044585987257</v>
      </c>
      <c r="O45" s="1">
        <f t="shared" si="21"/>
        <v>-0.56464379947229548</v>
      </c>
      <c r="P45" s="1">
        <f t="shared" si="22"/>
        <v>-0.68316831683168322</v>
      </c>
      <c r="Q45" s="1">
        <f t="shared" si="23"/>
        <v>1.0509684257608096</v>
      </c>
      <c r="R45" s="1">
        <f t="shared" si="24"/>
        <v>2.4829967843841474</v>
      </c>
      <c r="S45" s="1">
        <f t="shared" si="25"/>
        <v>0.3764044943820225</v>
      </c>
      <c r="T45" s="1"/>
    </row>
    <row r="46" spans="1:20">
      <c r="A46" t="s">
        <v>180</v>
      </c>
      <c r="B46" s="2">
        <v>0.23654728370221328</v>
      </c>
      <c r="C46" s="2">
        <v>0.14000000000000001</v>
      </c>
      <c r="D46" s="2">
        <v>5.3600000000000002E-2</v>
      </c>
      <c r="E46" s="2">
        <v>0.158</v>
      </c>
      <c r="F46" s="2">
        <v>5.2699999999999997E-2</v>
      </c>
      <c r="G46" s="4">
        <v>0.23654728370221328</v>
      </c>
      <c r="H46" s="2">
        <f t="shared" si="14"/>
        <v>-0.23445271629778669</v>
      </c>
      <c r="I46" s="2">
        <f t="shared" si="15"/>
        <v>-0.23899999999999999</v>
      </c>
      <c r="J46" s="2">
        <f t="shared" si="16"/>
        <v>-0.1484</v>
      </c>
      <c r="K46" s="2">
        <f t="shared" si="17"/>
        <v>8.6814116216420503E-2</v>
      </c>
      <c r="L46" s="2">
        <f t="shared" si="18"/>
        <v>3.7569351520426897E-2</v>
      </c>
      <c r="M46" s="4">
        <f t="shared" si="19"/>
        <v>5.8547283702213293E-2</v>
      </c>
      <c r="N46" s="1">
        <f t="shared" si="20"/>
        <v>-0.49777646772353867</v>
      </c>
      <c r="O46" s="1">
        <f t="shared" si="21"/>
        <v>-0.63060686015831136</v>
      </c>
      <c r="P46" s="1">
        <f t="shared" si="22"/>
        <v>-0.73465346534653464</v>
      </c>
      <c r="Q46" s="1">
        <f t="shared" si="23"/>
        <v>1.2195411730836161</v>
      </c>
      <c r="R46" s="1">
        <f t="shared" si="24"/>
        <v>2.4829967843841474</v>
      </c>
      <c r="S46" s="1">
        <f t="shared" si="25"/>
        <v>0.32891732416973762</v>
      </c>
      <c r="T46" s="1"/>
    </row>
    <row r="47" spans="1:20">
      <c r="A47" t="s">
        <v>187</v>
      </c>
      <c r="B47" s="2">
        <v>0.27201848998459172</v>
      </c>
      <c r="C47" s="2">
        <v>0.17899999999999999</v>
      </c>
      <c r="D47" s="2">
        <v>6.6299999999999998E-2</v>
      </c>
      <c r="E47" s="2">
        <v>0.161</v>
      </c>
      <c r="F47" s="2">
        <v>5.2499999999999998E-2</v>
      </c>
      <c r="G47" s="4">
        <v>0.26074074074074072</v>
      </c>
      <c r="H47" s="2">
        <f t="shared" si="14"/>
        <v>-0.19898151001540826</v>
      </c>
      <c r="I47" s="2">
        <f t="shared" si="15"/>
        <v>-0.2</v>
      </c>
      <c r="J47" s="2">
        <f t="shared" si="16"/>
        <v>-0.13570000000000002</v>
      </c>
      <c r="K47" s="2">
        <f t="shared" si="17"/>
        <v>8.9814116216420506E-2</v>
      </c>
      <c r="L47" s="2">
        <f t="shared" si="18"/>
        <v>3.7369351520426898E-2</v>
      </c>
      <c r="M47" s="4">
        <f t="shared" si="19"/>
        <v>8.2740740740740726E-2</v>
      </c>
      <c r="N47" s="1">
        <f t="shared" si="20"/>
        <v>-0.42246605098812795</v>
      </c>
      <c r="O47" s="1">
        <f t="shared" si="21"/>
        <v>-0.52770448548812665</v>
      </c>
      <c r="P47" s="1">
        <f t="shared" si="22"/>
        <v>-0.67178217821782182</v>
      </c>
      <c r="Q47" s="1">
        <f t="shared" si="23"/>
        <v>1.2616843599143177</v>
      </c>
      <c r="R47" s="1">
        <f t="shared" si="24"/>
        <v>2.4697785802688377</v>
      </c>
      <c r="S47" s="1">
        <f t="shared" si="25"/>
        <v>0.46483562213899288</v>
      </c>
      <c r="T47" s="1"/>
    </row>
    <row r="48" spans="1:20">
      <c r="A48" t="s">
        <v>172</v>
      </c>
      <c r="B48" s="2">
        <v>0.2571279069767442</v>
      </c>
      <c r="C48" s="2">
        <v>0.16200000000000001</v>
      </c>
      <c r="D48" s="2">
        <v>6.1100000000000002E-2</v>
      </c>
      <c r="E48" s="2">
        <v>0.14399999999999999</v>
      </c>
      <c r="F48" s="2">
        <v>5.1999999999999998E-2</v>
      </c>
      <c r="G48" s="4">
        <v>0.24408163265306126</v>
      </c>
      <c r="H48" s="2">
        <f t="shared" si="14"/>
        <v>-0.21387209302325577</v>
      </c>
      <c r="I48" s="2">
        <f t="shared" si="15"/>
        <v>-0.217</v>
      </c>
      <c r="J48" s="2">
        <f t="shared" si="16"/>
        <v>-0.14090000000000003</v>
      </c>
      <c r="K48" s="2">
        <f t="shared" si="17"/>
        <v>7.2814116216420491E-2</v>
      </c>
      <c r="L48" s="2">
        <f t="shared" si="18"/>
        <v>3.6869351520426898E-2</v>
      </c>
      <c r="M48" s="4">
        <f t="shared" si="19"/>
        <v>6.6081632653061273E-2</v>
      </c>
      <c r="N48" s="1">
        <f t="shared" si="20"/>
        <v>-0.45408087690712479</v>
      </c>
      <c r="O48" s="1">
        <f t="shared" si="21"/>
        <v>-0.57255936675461738</v>
      </c>
      <c r="P48" s="1">
        <f t="shared" si="22"/>
        <v>-0.69752475247524759</v>
      </c>
      <c r="Q48" s="1">
        <f t="shared" si="23"/>
        <v>1.0228729678736752</v>
      </c>
      <c r="R48" s="1">
        <f t="shared" si="24"/>
        <v>2.4367330699805629</v>
      </c>
      <c r="S48" s="1">
        <f t="shared" si="25"/>
        <v>0.37124512726438919</v>
      </c>
      <c r="T48" s="1"/>
    </row>
    <row r="49" spans="1:20">
      <c r="A49" t="s">
        <v>139</v>
      </c>
      <c r="B49" s="2">
        <v>0.25700000000000001</v>
      </c>
      <c r="C49" s="2">
        <v>0.16200000000000001</v>
      </c>
      <c r="D49" s="2">
        <v>6.0999999999999999E-2</v>
      </c>
      <c r="E49" s="2">
        <v>0.14399999999999999</v>
      </c>
      <c r="F49" s="2">
        <v>5.1999999999999998E-2</v>
      </c>
      <c r="G49" s="4">
        <v>0.24399999999999999</v>
      </c>
      <c r="H49" s="2">
        <f t="shared" si="14"/>
        <v>-0.21399999999999997</v>
      </c>
      <c r="I49" s="2">
        <f t="shared" si="15"/>
        <v>-0.217</v>
      </c>
      <c r="J49" s="2">
        <f t="shared" si="16"/>
        <v>-0.14100000000000001</v>
      </c>
      <c r="K49" s="2">
        <f t="shared" si="17"/>
        <v>7.2814116216420491E-2</v>
      </c>
      <c r="L49" s="2">
        <f t="shared" si="18"/>
        <v>3.6869351520426898E-2</v>
      </c>
      <c r="M49" s="4">
        <f t="shared" si="19"/>
        <v>6.6000000000000003E-2</v>
      </c>
      <c r="N49" s="1">
        <f t="shared" si="20"/>
        <v>-0.45435244161358807</v>
      </c>
      <c r="O49" s="1">
        <f t="shared" si="21"/>
        <v>-0.57255936675461738</v>
      </c>
      <c r="P49" s="1">
        <f t="shared" si="22"/>
        <v>-0.69801980198019808</v>
      </c>
      <c r="Q49" s="1">
        <f t="shared" si="23"/>
        <v>1.0228729678736752</v>
      </c>
      <c r="R49" s="1">
        <f t="shared" si="24"/>
        <v>2.4367330699805629</v>
      </c>
      <c r="S49" s="1">
        <f t="shared" si="25"/>
        <v>0.3707865168539326</v>
      </c>
      <c r="T49" s="1"/>
    </row>
    <row r="50" spans="1:20">
      <c r="A50" t="s">
        <v>193</v>
      </c>
      <c r="B50" s="2">
        <v>0.34276988636363631</v>
      </c>
      <c r="C50" s="2">
        <v>0.25800000000000001</v>
      </c>
      <c r="D50" s="2">
        <v>0.109</v>
      </c>
      <c r="E50" s="2">
        <v>0.18</v>
      </c>
      <c r="F50" s="2">
        <v>5.1700000000000003E-2</v>
      </c>
      <c r="G50" s="4">
        <v>0.28216319444444443</v>
      </c>
      <c r="H50" s="2">
        <f t="shared" si="14"/>
        <v>-0.12823011363636366</v>
      </c>
      <c r="I50" s="2">
        <f t="shared" si="15"/>
        <v>-0.121</v>
      </c>
      <c r="J50" s="2">
        <f t="shared" si="16"/>
        <v>-9.3000000000000013E-2</v>
      </c>
      <c r="K50" s="2">
        <f t="shared" si="17"/>
        <v>0.1088141162164205</v>
      </c>
      <c r="L50" s="2">
        <f t="shared" si="18"/>
        <v>3.6569351520426903E-2</v>
      </c>
      <c r="M50" s="4">
        <f t="shared" si="19"/>
        <v>0.10416319444444444</v>
      </c>
      <c r="N50" s="1">
        <f t="shared" si="20"/>
        <v>-0.27225077205172754</v>
      </c>
      <c r="O50" s="1">
        <f t="shared" si="21"/>
        <v>-0.31926121372031663</v>
      </c>
      <c r="P50" s="1">
        <f t="shared" si="22"/>
        <v>-0.46039603960396042</v>
      </c>
      <c r="Q50" s="1">
        <f t="shared" si="23"/>
        <v>1.5285912098420942</v>
      </c>
      <c r="R50" s="1">
        <f t="shared" si="24"/>
        <v>2.4169057638075984</v>
      </c>
      <c r="S50" s="1">
        <f t="shared" si="25"/>
        <v>0.58518648564294629</v>
      </c>
      <c r="T50" s="1"/>
    </row>
    <row r="51" spans="1:20">
      <c r="A51" t="s">
        <v>130</v>
      </c>
      <c r="B51" s="2">
        <v>0.215</v>
      </c>
      <c r="C51" s="2">
        <v>0.126</v>
      </c>
      <c r="D51" s="2">
        <v>4.3999999999999997E-2</v>
      </c>
      <c r="E51" s="2">
        <v>0.152</v>
      </c>
      <c r="F51" s="2">
        <v>5.1400000000000001E-2</v>
      </c>
      <c r="G51" s="4">
        <v>0.254</v>
      </c>
      <c r="H51" s="2">
        <f t="shared" si="14"/>
        <v>-0.25600000000000001</v>
      </c>
      <c r="I51" s="2">
        <f t="shared" si="15"/>
        <v>-0.253</v>
      </c>
      <c r="J51" s="2">
        <f t="shared" si="16"/>
        <v>-0.15800000000000003</v>
      </c>
      <c r="K51" s="2">
        <f t="shared" si="17"/>
        <v>8.0814116216420498E-2</v>
      </c>
      <c r="L51" s="2">
        <f t="shared" si="18"/>
        <v>3.6269351520426901E-2</v>
      </c>
      <c r="M51" s="4">
        <f t="shared" si="19"/>
        <v>7.6000000000000012E-2</v>
      </c>
      <c r="N51" s="1">
        <f t="shared" si="20"/>
        <v>-0.54352441613588109</v>
      </c>
      <c r="O51" s="1">
        <f t="shared" si="21"/>
        <v>-0.66754617414248019</v>
      </c>
      <c r="P51" s="1">
        <f t="shared" si="22"/>
        <v>-0.78217821782178232</v>
      </c>
      <c r="Q51" s="1">
        <f t="shared" si="23"/>
        <v>1.1352547994222129</v>
      </c>
      <c r="R51" s="1">
        <f t="shared" si="24"/>
        <v>2.3970784576346338</v>
      </c>
      <c r="S51" s="1">
        <f t="shared" si="25"/>
        <v>0.42696629213483156</v>
      </c>
      <c r="T51" s="1"/>
    </row>
    <row r="52" spans="1:20">
      <c r="A52" t="s">
        <v>9</v>
      </c>
      <c r="B52" s="2">
        <v>0.249</v>
      </c>
      <c r="C52" s="2">
        <v>0.156</v>
      </c>
      <c r="D52" s="2">
        <v>6.2E-2</v>
      </c>
      <c r="E52" s="2">
        <v>0.14599999999999999</v>
      </c>
      <c r="F52" s="2">
        <v>5.1200000000000002E-2</v>
      </c>
      <c r="G52" s="4">
        <v>0.23</v>
      </c>
      <c r="H52" s="2">
        <f t="shared" si="14"/>
        <v>-0.22199999999999998</v>
      </c>
      <c r="I52" s="2">
        <f t="shared" si="15"/>
        <v>-0.223</v>
      </c>
      <c r="J52" s="2">
        <f t="shared" si="16"/>
        <v>-0.14000000000000001</v>
      </c>
      <c r="K52" s="2">
        <f t="shared" si="17"/>
        <v>7.4814116216420493E-2</v>
      </c>
      <c r="L52" s="2">
        <f t="shared" si="18"/>
        <v>3.6069351520426902E-2</v>
      </c>
      <c r="M52" s="4">
        <f t="shared" si="19"/>
        <v>5.2000000000000018E-2</v>
      </c>
      <c r="N52" s="1">
        <f t="shared" si="20"/>
        <v>-0.47133757961783435</v>
      </c>
      <c r="O52" s="1">
        <f t="shared" si="21"/>
        <v>-0.58839050131926118</v>
      </c>
      <c r="P52" s="1">
        <f t="shared" si="22"/>
        <v>-0.69306930693069313</v>
      </c>
      <c r="Q52" s="1">
        <f t="shared" si="23"/>
        <v>1.0509684257608096</v>
      </c>
      <c r="R52" s="1">
        <f t="shared" si="24"/>
        <v>2.3838602535193241</v>
      </c>
      <c r="S52" s="1">
        <f t="shared" si="25"/>
        <v>0.29213483146067426</v>
      </c>
      <c r="T52" s="1"/>
    </row>
    <row r="53" spans="1:20">
      <c r="A53" t="s">
        <v>179</v>
      </c>
      <c r="B53" s="2">
        <v>0.241301652892562</v>
      </c>
      <c r="C53" s="2">
        <v>0.15</v>
      </c>
      <c r="D53" s="2">
        <v>5.5100000000000003E-2</v>
      </c>
      <c r="E53" s="2">
        <v>0.14699999999999999</v>
      </c>
      <c r="F53" s="2">
        <v>5.0500000000000003E-2</v>
      </c>
      <c r="G53" s="4">
        <v>0.23998333333333333</v>
      </c>
      <c r="H53" s="2">
        <f t="shared" si="14"/>
        <v>-0.22969834710743797</v>
      </c>
      <c r="I53" s="2">
        <f t="shared" si="15"/>
        <v>-0.22900000000000001</v>
      </c>
      <c r="J53" s="2">
        <f t="shared" si="16"/>
        <v>-0.1469</v>
      </c>
      <c r="K53" s="2">
        <f t="shared" si="17"/>
        <v>7.5814116216420493E-2</v>
      </c>
      <c r="L53" s="2">
        <f t="shared" si="18"/>
        <v>3.5369351520426903E-2</v>
      </c>
      <c r="M53" s="4">
        <f t="shared" si="19"/>
        <v>6.1983333333333335E-2</v>
      </c>
      <c r="N53" s="1">
        <f t="shared" si="20"/>
        <v>-0.48768226562088746</v>
      </c>
      <c r="O53" s="1">
        <f t="shared" si="21"/>
        <v>-0.60422163588390498</v>
      </c>
      <c r="P53" s="1">
        <f t="shared" si="22"/>
        <v>-0.72722772277227721</v>
      </c>
      <c r="Q53" s="1">
        <f t="shared" si="23"/>
        <v>1.0650161547043768</v>
      </c>
      <c r="R53" s="1">
        <f t="shared" si="24"/>
        <v>2.3375965391157396</v>
      </c>
      <c r="S53" s="1">
        <f t="shared" si="25"/>
        <v>0.34822097378277156</v>
      </c>
      <c r="T53" s="1"/>
    </row>
    <row r="54" spans="1:20">
      <c r="A54" t="s">
        <v>55</v>
      </c>
      <c r="B54" s="2">
        <v>0.27300000000000002</v>
      </c>
      <c r="C54" s="2">
        <v>0.17799999999999999</v>
      </c>
      <c r="D54" s="2">
        <v>5.8000000000000003E-2</v>
      </c>
      <c r="E54" s="2">
        <v>0.158953046925668</v>
      </c>
      <c r="F54" s="2">
        <v>5.0157885796825202E-2</v>
      </c>
      <c r="G54" s="4">
        <v>0.26200000000000001</v>
      </c>
      <c r="H54" s="2">
        <f t="shared" si="14"/>
        <v>-0.19799999999999995</v>
      </c>
      <c r="I54" s="2">
        <f t="shared" si="15"/>
        <v>-0.20100000000000001</v>
      </c>
      <c r="J54" s="2">
        <f t="shared" si="16"/>
        <v>-0.14400000000000002</v>
      </c>
      <c r="K54" s="2">
        <f t="shared" si="17"/>
        <v>8.7767163142088503E-2</v>
      </c>
      <c r="L54" s="2">
        <f t="shared" si="18"/>
        <v>3.5027237317252102E-2</v>
      </c>
      <c r="M54" s="4">
        <f t="shared" si="19"/>
        <v>8.4000000000000019E-2</v>
      </c>
      <c r="N54" s="1">
        <f t="shared" si="20"/>
        <v>-0.42038216560509545</v>
      </c>
      <c r="O54" s="1">
        <f t="shared" si="21"/>
        <v>-0.53034300791556732</v>
      </c>
      <c r="P54" s="1">
        <f t="shared" si="22"/>
        <v>-0.71287128712871295</v>
      </c>
      <c r="Q54" s="1">
        <f t="shared" si="23"/>
        <v>1.2329293179659002</v>
      </c>
      <c r="R54" s="1">
        <f t="shared" si="24"/>
        <v>2.3149858622741837</v>
      </c>
      <c r="S54" s="1">
        <f t="shared" si="25"/>
        <v>0.47191011235955072</v>
      </c>
      <c r="T54" s="1"/>
    </row>
    <row r="55" spans="1:20">
      <c r="A55" t="s">
        <v>210</v>
      </c>
      <c r="B55" s="2">
        <v>0.28951770657672854</v>
      </c>
      <c r="C55" s="2">
        <v>0.20499999999999999</v>
      </c>
      <c r="D55" s="2">
        <v>9.2999999999999999E-2</v>
      </c>
      <c r="E55" s="2">
        <v>0.153</v>
      </c>
      <c r="F55" s="2">
        <v>0.05</v>
      </c>
      <c r="G55" s="4">
        <v>0.24706483300589388</v>
      </c>
      <c r="H55" s="2">
        <f t="shared" si="14"/>
        <v>-0.18148229342327143</v>
      </c>
      <c r="I55" s="2">
        <f t="shared" si="15"/>
        <v>-0.17400000000000002</v>
      </c>
      <c r="J55" s="2">
        <f t="shared" si="16"/>
        <v>-0.10900000000000001</v>
      </c>
      <c r="K55" s="2">
        <f t="shared" si="17"/>
        <v>8.1814116216420499E-2</v>
      </c>
      <c r="L55" s="2">
        <f t="shared" si="18"/>
        <v>3.4869351520426903E-2</v>
      </c>
      <c r="M55" s="4">
        <f t="shared" si="19"/>
        <v>6.9064833005893889E-2</v>
      </c>
      <c r="N55" s="1">
        <f t="shared" si="20"/>
        <v>-0.38531272489017293</v>
      </c>
      <c r="O55" s="1">
        <f t="shared" si="21"/>
        <v>-0.45910290237467022</v>
      </c>
      <c r="P55" s="1">
        <f t="shared" si="22"/>
        <v>-0.53960396039603964</v>
      </c>
      <c r="Q55" s="1">
        <f t="shared" si="23"/>
        <v>1.1493025283657801</v>
      </c>
      <c r="R55" s="1">
        <f t="shared" si="24"/>
        <v>2.3045510288274649</v>
      </c>
      <c r="S55" s="1">
        <f t="shared" si="25"/>
        <v>0.38800467980839265</v>
      </c>
      <c r="T55" s="1"/>
    </row>
    <row r="56" spans="1:20">
      <c r="A56" t="s">
        <v>212</v>
      </c>
      <c r="B56" s="2">
        <v>0.31607843137254904</v>
      </c>
      <c r="C56" s="2">
        <v>0.24099999999999999</v>
      </c>
      <c r="D56" s="2">
        <v>9.9599999999999994E-2</v>
      </c>
      <c r="E56" s="2">
        <v>0.17799999999999999</v>
      </c>
      <c r="F56" s="2">
        <v>4.9599999999999998E-2</v>
      </c>
      <c r="G56" s="4">
        <v>0.26565548780487808</v>
      </c>
      <c r="H56" s="2">
        <f t="shared" si="14"/>
        <v>-0.15492156862745093</v>
      </c>
      <c r="I56" s="2">
        <f t="shared" si="15"/>
        <v>-0.13800000000000001</v>
      </c>
      <c r="J56" s="2">
        <f t="shared" si="16"/>
        <v>-0.10240000000000002</v>
      </c>
      <c r="K56" s="2">
        <f t="shared" si="17"/>
        <v>0.10681411621642049</v>
      </c>
      <c r="L56" s="2">
        <f t="shared" si="18"/>
        <v>3.4469351520426898E-2</v>
      </c>
      <c r="M56" s="4">
        <f t="shared" si="19"/>
        <v>8.7655487804878085E-2</v>
      </c>
      <c r="N56" s="1">
        <f t="shared" si="20"/>
        <v>-0.32892052787144571</v>
      </c>
      <c r="O56" s="1">
        <f t="shared" si="21"/>
        <v>-0.36411609498680741</v>
      </c>
      <c r="P56" s="1">
        <f t="shared" si="22"/>
        <v>-0.50693069306930694</v>
      </c>
      <c r="Q56" s="1">
        <f t="shared" si="23"/>
        <v>1.5004957519549598</v>
      </c>
      <c r="R56" s="1">
        <f t="shared" si="24"/>
        <v>2.2781146205968446</v>
      </c>
      <c r="S56" s="1">
        <f t="shared" si="25"/>
        <v>0.49244656070156229</v>
      </c>
      <c r="T56" s="1"/>
    </row>
    <row r="57" spans="1:20">
      <c r="A57" t="s">
        <v>31</v>
      </c>
      <c r="B57" s="2">
        <v>0.185</v>
      </c>
      <c r="C57" s="2">
        <v>0.14799999999999999</v>
      </c>
      <c r="D57" s="2">
        <v>6.2E-2</v>
      </c>
      <c r="E57" s="2">
        <v>0.14399999999999999</v>
      </c>
      <c r="F57" s="2">
        <v>4.9599999999999998E-2</v>
      </c>
      <c r="G57" s="4">
        <v>0.19800000000000001</v>
      </c>
      <c r="H57" s="2">
        <f t="shared" si="14"/>
        <v>-0.28599999999999998</v>
      </c>
      <c r="I57" s="2">
        <f t="shared" si="15"/>
        <v>-0.23100000000000001</v>
      </c>
      <c r="J57" s="2">
        <f t="shared" si="16"/>
        <v>-0.14000000000000001</v>
      </c>
      <c r="K57" s="2">
        <f t="shared" si="17"/>
        <v>7.2814116216420491E-2</v>
      </c>
      <c r="L57" s="2">
        <f t="shared" si="18"/>
        <v>3.4469351520426898E-2</v>
      </c>
      <c r="M57" s="4">
        <f t="shared" si="19"/>
        <v>2.0000000000000018E-2</v>
      </c>
      <c r="N57" s="1">
        <f t="shared" si="20"/>
        <v>-0.60721868365180465</v>
      </c>
      <c r="O57" s="1">
        <f t="shared" si="21"/>
        <v>-0.60949868073878632</v>
      </c>
      <c r="P57" s="1">
        <f t="shared" si="22"/>
        <v>-0.69306930693069313</v>
      </c>
      <c r="Q57" s="1">
        <f t="shared" si="23"/>
        <v>1.0228729678736752</v>
      </c>
      <c r="R57" s="1">
        <f t="shared" si="24"/>
        <v>2.2781146205968446</v>
      </c>
      <c r="S57" s="1">
        <f t="shared" si="25"/>
        <v>0.11235955056179786</v>
      </c>
      <c r="T57" s="1"/>
    </row>
    <row r="58" spans="1:20">
      <c r="A58" t="s">
        <v>200</v>
      </c>
      <c r="B58" s="2">
        <v>0.21616513761467887</v>
      </c>
      <c r="C58" s="2">
        <v>0.13800000000000001</v>
      </c>
      <c r="D58" s="2">
        <v>5.2699999999999997E-2</v>
      </c>
      <c r="E58" s="2">
        <v>0.14699999999999999</v>
      </c>
      <c r="F58" s="2">
        <v>4.9500000000000002E-2</v>
      </c>
      <c r="G58" s="4">
        <v>0.20751923076923079</v>
      </c>
      <c r="H58" s="2">
        <f t="shared" si="14"/>
        <v>-0.2548348623853211</v>
      </c>
      <c r="I58" s="2">
        <f t="shared" si="15"/>
        <v>-0.24099999999999999</v>
      </c>
      <c r="J58" s="2">
        <f t="shared" si="16"/>
        <v>-0.14930000000000002</v>
      </c>
      <c r="K58" s="2">
        <f t="shared" si="17"/>
        <v>7.5814116216420493E-2</v>
      </c>
      <c r="L58" s="2">
        <f t="shared" si="18"/>
        <v>3.4369351520426902E-2</v>
      </c>
      <c r="M58" s="4">
        <f t="shared" si="19"/>
        <v>2.9519230769230798E-2</v>
      </c>
      <c r="N58" s="1">
        <f t="shared" si="20"/>
        <v>-0.54105066323847373</v>
      </c>
      <c r="O58" s="1">
        <f t="shared" si="21"/>
        <v>-0.63588390501319259</v>
      </c>
      <c r="P58" s="1">
        <f t="shared" si="22"/>
        <v>-0.7391089108910891</v>
      </c>
      <c r="Q58" s="1">
        <f t="shared" si="23"/>
        <v>1.0650161547043768</v>
      </c>
      <c r="R58" s="1">
        <f t="shared" si="24"/>
        <v>2.2715055185391901</v>
      </c>
      <c r="S58" s="1">
        <f t="shared" si="25"/>
        <v>0.1658383751080382</v>
      </c>
      <c r="T58" s="1"/>
    </row>
    <row r="59" spans="1:20">
      <c r="A59" t="s">
        <v>198</v>
      </c>
      <c r="B59" s="2">
        <v>0.2007954545454545</v>
      </c>
      <c r="C59" s="2">
        <v>0.152</v>
      </c>
      <c r="D59" s="2">
        <v>6.1199999999999997E-2</v>
      </c>
      <c r="E59" s="2">
        <v>0.13300000000000001</v>
      </c>
      <c r="F59" s="2">
        <v>4.9500000000000002E-2</v>
      </c>
      <c r="G59" s="4">
        <v>0.18101010101010101</v>
      </c>
      <c r="H59" s="2">
        <f t="shared" si="14"/>
        <v>-0.27020454545454548</v>
      </c>
      <c r="I59" s="2">
        <f t="shared" si="15"/>
        <v>-0.22700000000000001</v>
      </c>
      <c r="J59" s="2">
        <f t="shared" si="16"/>
        <v>-0.14080000000000001</v>
      </c>
      <c r="K59" s="2">
        <f t="shared" si="17"/>
        <v>6.1814116216420509E-2</v>
      </c>
      <c r="L59" s="2">
        <f t="shared" si="18"/>
        <v>3.4369351520426902E-2</v>
      </c>
      <c r="M59" s="4">
        <f t="shared" si="19"/>
        <v>3.0101010101010184E-3</v>
      </c>
      <c r="N59" s="1">
        <f t="shared" si="20"/>
        <v>-0.57368268674001166</v>
      </c>
      <c r="O59" s="1">
        <f t="shared" si="21"/>
        <v>-0.59894459102902375</v>
      </c>
      <c r="P59" s="1">
        <f t="shared" si="22"/>
        <v>-0.69702970297029698</v>
      </c>
      <c r="Q59" s="1">
        <f t="shared" si="23"/>
        <v>0.86834794949443639</v>
      </c>
      <c r="R59" s="1">
        <f t="shared" si="24"/>
        <v>2.2715055185391901</v>
      </c>
      <c r="S59" s="1">
        <f t="shared" si="25"/>
        <v>1.6910679832028194E-2</v>
      </c>
      <c r="T59" s="1"/>
    </row>
    <row r="60" spans="1:20">
      <c r="A60" t="s">
        <v>124</v>
      </c>
      <c r="B60" s="2">
        <v>0.215</v>
      </c>
      <c r="C60" s="2">
        <v>0.11</v>
      </c>
      <c r="D60" s="2">
        <v>4.5999999999999999E-2</v>
      </c>
      <c r="E60" s="2">
        <v>0.13300000000000001</v>
      </c>
      <c r="F60" s="2">
        <v>4.9399999999999999E-2</v>
      </c>
      <c r="G60" s="4">
        <v>0.218</v>
      </c>
      <c r="H60" s="2">
        <f t="shared" si="14"/>
        <v>-0.25600000000000001</v>
      </c>
      <c r="I60" s="2">
        <f t="shared" si="15"/>
        <v>-0.26900000000000002</v>
      </c>
      <c r="J60" s="2">
        <f t="shared" si="16"/>
        <v>-0.15600000000000003</v>
      </c>
      <c r="K60" s="2">
        <f t="shared" si="17"/>
        <v>6.1814116216420509E-2</v>
      </c>
      <c r="L60" s="2">
        <f t="shared" si="18"/>
        <v>3.4269351520426899E-2</v>
      </c>
      <c r="M60" s="4">
        <f t="shared" si="19"/>
        <v>4.0000000000000008E-2</v>
      </c>
      <c r="N60" s="1">
        <f t="shared" si="20"/>
        <v>-0.54352441613588109</v>
      </c>
      <c r="O60" s="1">
        <f t="shared" si="21"/>
        <v>-0.70976253298153036</v>
      </c>
      <c r="P60" s="1">
        <f t="shared" si="22"/>
        <v>-0.77227722772277241</v>
      </c>
      <c r="Q60" s="1">
        <f t="shared" si="23"/>
        <v>0.86834794949443639</v>
      </c>
      <c r="R60" s="1">
        <f t="shared" si="24"/>
        <v>2.2648964164815348</v>
      </c>
      <c r="S60" s="1">
        <f t="shared" si="25"/>
        <v>0.22471910112359555</v>
      </c>
      <c r="T60" s="1"/>
    </row>
    <row r="61" spans="1:20">
      <c r="A61" t="s">
        <v>189</v>
      </c>
      <c r="B61" s="2">
        <v>0.27454316546762592</v>
      </c>
      <c r="C61" s="2">
        <v>0.16300000000000001</v>
      </c>
      <c r="D61" s="2">
        <v>6.5799999999999997E-2</v>
      </c>
      <c r="E61" s="2">
        <v>0.14599999999999999</v>
      </c>
      <c r="F61" s="2">
        <v>4.9299999999999997E-2</v>
      </c>
      <c r="G61" s="4">
        <v>0.25918476190476192</v>
      </c>
      <c r="H61" s="2">
        <f t="shared" si="14"/>
        <v>-0.19645683453237406</v>
      </c>
      <c r="I61" s="2">
        <f t="shared" si="15"/>
        <v>-0.216</v>
      </c>
      <c r="J61" s="2">
        <f t="shared" si="16"/>
        <v>-0.13620000000000002</v>
      </c>
      <c r="K61" s="2">
        <f t="shared" si="17"/>
        <v>7.4814116216420493E-2</v>
      </c>
      <c r="L61" s="2">
        <f t="shared" si="18"/>
        <v>3.4169351520426897E-2</v>
      </c>
      <c r="M61" s="4">
        <f t="shared" si="19"/>
        <v>8.1184761904761926E-2</v>
      </c>
      <c r="N61" s="1">
        <f t="shared" si="20"/>
        <v>-0.41710580580121881</v>
      </c>
      <c r="O61" s="1">
        <f t="shared" si="21"/>
        <v>-0.56992084432717682</v>
      </c>
      <c r="P61" s="1">
        <f t="shared" si="22"/>
        <v>-0.6742574257425743</v>
      </c>
      <c r="Q61" s="1">
        <f t="shared" si="23"/>
        <v>1.0509684257608096</v>
      </c>
      <c r="R61" s="1">
        <f t="shared" si="24"/>
        <v>2.25828731442388</v>
      </c>
      <c r="S61" s="1">
        <f t="shared" si="25"/>
        <v>0.45609416800428049</v>
      </c>
      <c r="T61" s="1"/>
    </row>
    <row r="62" spans="1:20">
      <c r="A62" t="s">
        <v>123</v>
      </c>
      <c r="B62" s="2">
        <v>0.21</v>
      </c>
      <c r="C62" s="2">
        <v>0.11600000000000001</v>
      </c>
      <c r="D62" s="2">
        <v>4.8000000000000001E-2</v>
      </c>
      <c r="E62" s="2">
        <v>0.14299999999999999</v>
      </c>
      <c r="F62" s="2">
        <v>4.87E-2</v>
      </c>
      <c r="G62" s="4">
        <v>0.23699999999999999</v>
      </c>
      <c r="H62" s="2">
        <f t="shared" si="14"/>
        <v>-0.26100000000000001</v>
      </c>
      <c r="I62" s="2">
        <f t="shared" si="15"/>
        <v>-0.26300000000000001</v>
      </c>
      <c r="J62" s="2">
        <f t="shared" si="16"/>
        <v>-0.15400000000000003</v>
      </c>
      <c r="K62" s="2">
        <f t="shared" si="17"/>
        <v>7.181411621642049E-2</v>
      </c>
      <c r="L62" s="2">
        <f t="shared" si="18"/>
        <v>3.35693515204269E-2</v>
      </c>
      <c r="M62" s="4">
        <f t="shared" si="19"/>
        <v>5.8999999999999997E-2</v>
      </c>
      <c r="N62" s="1">
        <f t="shared" si="20"/>
        <v>-0.55414012738853513</v>
      </c>
      <c r="O62" s="1">
        <f t="shared" si="21"/>
        <v>-0.69393139841688656</v>
      </c>
      <c r="P62" s="1">
        <f t="shared" si="22"/>
        <v>-0.7623762376237625</v>
      </c>
      <c r="Q62" s="1">
        <f t="shared" si="23"/>
        <v>1.008825238930108</v>
      </c>
      <c r="R62" s="1">
        <f t="shared" si="24"/>
        <v>2.2186327020779504</v>
      </c>
      <c r="S62" s="1">
        <f t="shared" si="25"/>
        <v>0.33146067415730335</v>
      </c>
      <c r="T62" s="1"/>
    </row>
    <row r="63" spans="1:20">
      <c r="A63" t="s">
        <v>49</v>
      </c>
      <c r="B63" s="2">
        <v>0.25</v>
      </c>
      <c r="C63" s="2">
        <v>0.16</v>
      </c>
      <c r="D63" s="2">
        <v>6.4000000000000001E-2</v>
      </c>
      <c r="E63" s="2">
        <v>0.14499999999999999</v>
      </c>
      <c r="F63" s="2">
        <v>4.8500000000000001E-2</v>
      </c>
      <c r="G63" s="4">
        <v>0.22900000000000001</v>
      </c>
      <c r="H63" s="2">
        <f t="shared" si="14"/>
        <v>-0.22099999999999997</v>
      </c>
      <c r="I63" s="2">
        <f t="shared" si="15"/>
        <v>-0.219</v>
      </c>
      <c r="J63" s="2">
        <f t="shared" si="16"/>
        <v>-0.13800000000000001</v>
      </c>
      <c r="K63" s="2">
        <f t="shared" si="17"/>
        <v>7.3814116216420492E-2</v>
      </c>
      <c r="L63" s="2">
        <f t="shared" si="18"/>
        <v>3.3369351520426901E-2</v>
      </c>
      <c r="M63" s="4">
        <f t="shared" si="19"/>
        <v>5.1000000000000018E-2</v>
      </c>
      <c r="N63" s="1">
        <f t="shared" si="20"/>
        <v>-0.46921443736730356</v>
      </c>
      <c r="O63" s="1">
        <f t="shared" si="21"/>
        <v>-0.57783641160949872</v>
      </c>
      <c r="P63" s="1">
        <f t="shared" si="22"/>
        <v>-0.68316831683168322</v>
      </c>
      <c r="Q63" s="1">
        <f t="shared" si="23"/>
        <v>1.0369206968172424</v>
      </c>
      <c r="R63" s="1">
        <f t="shared" si="24"/>
        <v>2.2054144979626407</v>
      </c>
      <c r="S63" s="1">
        <f t="shared" si="25"/>
        <v>0.28651685393258436</v>
      </c>
      <c r="T63" s="1"/>
    </row>
    <row r="64" spans="1:20">
      <c r="A64" t="s">
        <v>52</v>
      </c>
      <c r="B64" s="2">
        <v>0.14299999999999999</v>
      </c>
      <c r="C64" s="2">
        <v>8.2000000000000003E-2</v>
      </c>
      <c r="D64" s="2">
        <v>3.7999999999999999E-2</v>
      </c>
      <c r="E64" s="2">
        <v>0.13600000000000001</v>
      </c>
      <c r="F64" s="2">
        <v>4.8000000000000001E-2</v>
      </c>
      <c r="G64" s="4">
        <v>0.14099999999999999</v>
      </c>
      <c r="H64" s="2">
        <f t="shared" si="14"/>
        <v>-0.32799999999999996</v>
      </c>
      <c r="I64" s="2">
        <f t="shared" si="15"/>
        <v>-0.29699999999999999</v>
      </c>
      <c r="J64" s="2">
        <f t="shared" si="16"/>
        <v>-0.16400000000000001</v>
      </c>
      <c r="K64" s="2">
        <f t="shared" si="17"/>
        <v>6.4814116216420511E-2</v>
      </c>
      <c r="L64" s="2">
        <f t="shared" si="18"/>
        <v>3.2869351520426901E-2</v>
      </c>
      <c r="M64" s="4">
        <f t="shared" si="19"/>
        <v>-3.7000000000000005E-2</v>
      </c>
      <c r="N64" s="1">
        <f t="shared" si="20"/>
        <v>-0.69639065817409762</v>
      </c>
      <c r="O64" s="1">
        <f t="shared" si="21"/>
        <v>-0.78364116094986802</v>
      </c>
      <c r="P64" s="1">
        <f t="shared" si="22"/>
        <v>-0.81188118811881183</v>
      </c>
      <c r="Q64" s="1">
        <f t="shared" si="23"/>
        <v>0.91049113632513801</v>
      </c>
      <c r="R64" s="1">
        <f t="shared" si="24"/>
        <v>2.1723689876743659</v>
      </c>
      <c r="S64" s="1">
        <f t="shared" si="25"/>
        <v>-0.20786516853932588</v>
      </c>
      <c r="T64" s="1"/>
    </row>
    <row r="65" spans="1:20">
      <c r="A65" t="s">
        <v>101</v>
      </c>
      <c r="B65" s="2">
        <v>0.28299999999999997</v>
      </c>
      <c r="C65" s="2">
        <v>0.19600000000000001</v>
      </c>
      <c r="D65" s="2">
        <v>5.8999999999999997E-2</v>
      </c>
      <c r="E65" s="2">
        <v>0.14499999999999999</v>
      </c>
      <c r="F65" s="2">
        <v>4.7399999999999998E-2</v>
      </c>
      <c r="G65" s="4">
        <v>0.23599999999999999</v>
      </c>
      <c r="H65" s="2">
        <f t="shared" si="14"/>
        <v>-0.188</v>
      </c>
      <c r="I65" s="2">
        <f t="shared" si="15"/>
        <v>-0.183</v>
      </c>
      <c r="J65" s="2">
        <f t="shared" si="16"/>
        <v>-0.14300000000000002</v>
      </c>
      <c r="K65" s="2">
        <f t="shared" si="17"/>
        <v>7.3814116216420492E-2</v>
      </c>
      <c r="L65" s="2">
        <f t="shared" si="18"/>
        <v>3.2269351520426898E-2</v>
      </c>
      <c r="M65" s="4">
        <f t="shared" si="19"/>
        <v>5.7999999999999996E-2</v>
      </c>
      <c r="N65" s="1">
        <f t="shared" si="20"/>
        <v>-0.39915074309978771</v>
      </c>
      <c r="O65" s="1">
        <f t="shared" si="21"/>
        <v>-0.48284960422163586</v>
      </c>
      <c r="P65" s="1">
        <f t="shared" si="22"/>
        <v>-0.70792079207920799</v>
      </c>
      <c r="Q65" s="1">
        <f t="shared" si="23"/>
        <v>1.0369206968172424</v>
      </c>
      <c r="R65" s="1">
        <f t="shared" si="24"/>
        <v>2.1327143753284363</v>
      </c>
      <c r="S65" s="1">
        <f t="shared" si="25"/>
        <v>0.3258426966292135</v>
      </c>
      <c r="T65" s="1"/>
    </row>
    <row r="66" spans="1:20">
      <c r="A66" t="s">
        <v>108</v>
      </c>
      <c r="B66" s="2">
        <v>0.22</v>
      </c>
      <c r="C66" s="2">
        <v>0.129</v>
      </c>
      <c r="D66" s="2">
        <v>5.5E-2</v>
      </c>
      <c r="E66" s="2">
        <v>0.15</v>
      </c>
      <c r="F66" s="2">
        <v>4.7E-2</v>
      </c>
      <c r="G66" s="4">
        <v>0.23100000000000001</v>
      </c>
      <c r="H66" s="2">
        <f t="shared" ref="H66:H97" si="26">B66-V$2</f>
        <v>-0.251</v>
      </c>
      <c r="I66" s="2">
        <f t="shared" ref="I66:I97" si="27">C66-W$2</f>
        <v>-0.25</v>
      </c>
      <c r="J66" s="2">
        <f t="shared" ref="J66:J97" si="28">D66-X$2</f>
        <v>-0.14700000000000002</v>
      </c>
      <c r="K66" s="2">
        <f t="shared" ref="K66:K97" si="29">E66-Y$2</f>
        <v>7.8814116216420496E-2</v>
      </c>
      <c r="L66" s="2">
        <f t="shared" ref="L66:L97" si="30">F66-Z$2</f>
        <v>3.18693515204269E-2</v>
      </c>
      <c r="M66" s="4">
        <f t="shared" ref="M66:M97" si="31">G66-AA$2</f>
        <v>5.3000000000000019E-2</v>
      </c>
      <c r="N66" s="1">
        <f t="shared" ref="N66:N97" si="32">(B66-V$2)/V$2</f>
        <v>-0.53290870488322717</v>
      </c>
      <c r="O66" s="1">
        <f t="shared" ref="O66:O97" si="33">(C66-W$2)/W$2</f>
        <v>-0.65963060686015829</v>
      </c>
      <c r="P66" s="1">
        <f t="shared" ref="P66:P97" si="34">(D66-X$2)/X$2</f>
        <v>-0.72772277227722781</v>
      </c>
      <c r="Q66" s="1">
        <f t="shared" ref="Q66:Q97" si="35">(E66-Y$2)/Y$2</f>
        <v>1.1071593415350784</v>
      </c>
      <c r="R66" s="1">
        <f t="shared" ref="R66:R97" si="36">(F66-Z$2)/Z$2</f>
        <v>2.1062779670978169</v>
      </c>
      <c r="S66" s="1">
        <f t="shared" ref="S66:S97" si="37">(G66-AA$2)/AA$2</f>
        <v>0.29775280898876416</v>
      </c>
      <c r="T66" s="1"/>
    </row>
    <row r="67" spans="1:20">
      <c r="A67" t="s">
        <v>195</v>
      </c>
      <c r="B67" s="2">
        <v>0.15775609756097561</v>
      </c>
      <c r="C67" s="2">
        <v>0.121</v>
      </c>
      <c r="D67" s="2">
        <v>5.28E-2</v>
      </c>
      <c r="E67" s="2">
        <v>0.127</v>
      </c>
      <c r="F67" s="2">
        <v>4.5600000000000002E-2</v>
      </c>
      <c r="G67" s="4">
        <v>0.16165374677002586</v>
      </c>
      <c r="H67" s="2">
        <f t="shared" si="26"/>
        <v>-0.31324390243902434</v>
      </c>
      <c r="I67" s="2">
        <f t="shared" si="27"/>
        <v>-0.25800000000000001</v>
      </c>
      <c r="J67" s="2">
        <f t="shared" si="28"/>
        <v>-0.1492</v>
      </c>
      <c r="K67" s="2">
        <f t="shared" si="29"/>
        <v>5.5814116216420503E-2</v>
      </c>
      <c r="L67" s="2">
        <f t="shared" si="30"/>
        <v>3.0469351520426902E-2</v>
      </c>
      <c r="M67" s="4">
        <f t="shared" si="31"/>
        <v>-1.6346253229974128E-2</v>
      </c>
      <c r="N67" s="1">
        <f t="shared" si="32"/>
        <v>-0.66506136398943594</v>
      </c>
      <c r="O67" s="1">
        <f t="shared" si="33"/>
        <v>-0.68073878627968343</v>
      </c>
      <c r="P67" s="1">
        <f t="shared" si="34"/>
        <v>-0.7386138613861386</v>
      </c>
      <c r="Q67" s="1">
        <f t="shared" si="35"/>
        <v>0.78406157583303315</v>
      </c>
      <c r="R67" s="1">
        <f t="shared" si="36"/>
        <v>2.013750538290648</v>
      </c>
      <c r="S67" s="1">
        <f t="shared" si="37"/>
        <v>-9.1832883314461392E-2</v>
      </c>
      <c r="T67" s="1"/>
    </row>
    <row r="68" spans="1:20">
      <c r="A68" t="s">
        <v>208</v>
      </c>
      <c r="B68" s="2">
        <v>0.27773755656108601</v>
      </c>
      <c r="C68" s="2">
        <v>0.185</v>
      </c>
      <c r="D68" s="2">
        <v>7.2099999999999997E-2</v>
      </c>
      <c r="E68" s="2">
        <v>0.152</v>
      </c>
      <c r="F68" s="2">
        <v>4.5400000000000003E-2</v>
      </c>
      <c r="G68" s="4">
        <v>0.24644091710758378</v>
      </c>
      <c r="H68" s="2">
        <f t="shared" si="26"/>
        <v>-0.19326244343891397</v>
      </c>
      <c r="I68" s="2">
        <f t="shared" si="27"/>
        <v>-0.19400000000000001</v>
      </c>
      <c r="J68" s="2">
        <f t="shared" si="28"/>
        <v>-0.12990000000000002</v>
      </c>
      <c r="K68" s="2">
        <f t="shared" si="29"/>
        <v>8.0814116216420498E-2</v>
      </c>
      <c r="L68" s="2">
        <f t="shared" si="30"/>
        <v>3.0269351520426903E-2</v>
      </c>
      <c r="M68" s="4">
        <f t="shared" si="31"/>
        <v>6.8440917107583793E-2</v>
      </c>
      <c r="N68" s="1">
        <f t="shared" si="32"/>
        <v>-0.41032365910597446</v>
      </c>
      <c r="O68" s="1">
        <f t="shared" si="33"/>
        <v>-0.51187335092348285</v>
      </c>
      <c r="P68" s="1">
        <f t="shared" si="34"/>
        <v>-0.64306930693069309</v>
      </c>
      <c r="Q68" s="1">
        <f t="shared" si="35"/>
        <v>1.1352547994222129</v>
      </c>
      <c r="R68" s="1">
        <f t="shared" si="36"/>
        <v>2.0005323341753378</v>
      </c>
      <c r="S68" s="1">
        <f t="shared" si="37"/>
        <v>0.38449953431226852</v>
      </c>
      <c r="T68" s="1"/>
    </row>
    <row r="69" spans="1:20">
      <c r="A69" t="s">
        <v>186</v>
      </c>
      <c r="B69" s="2">
        <v>0.24241649484536085</v>
      </c>
      <c r="C69" s="2">
        <v>0.16200000000000001</v>
      </c>
      <c r="D69" s="2">
        <v>6.1899999999999997E-2</v>
      </c>
      <c r="E69" s="2">
        <v>0.13400000000000001</v>
      </c>
      <c r="F69" s="2">
        <v>4.4999999999999998E-2</v>
      </c>
      <c r="G69" s="4">
        <v>0.23732210526315789</v>
      </c>
      <c r="H69" s="2">
        <f t="shared" si="26"/>
        <v>-0.22858350515463913</v>
      </c>
      <c r="I69" s="2">
        <f t="shared" si="27"/>
        <v>-0.217</v>
      </c>
      <c r="J69" s="2">
        <f t="shared" si="28"/>
        <v>-0.1401</v>
      </c>
      <c r="K69" s="2">
        <f t="shared" si="29"/>
        <v>6.281411621642051E-2</v>
      </c>
      <c r="L69" s="2">
        <f t="shared" si="30"/>
        <v>2.9869351520426898E-2</v>
      </c>
      <c r="M69" s="4">
        <f t="shared" si="31"/>
        <v>5.9322105263157898E-2</v>
      </c>
      <c r="N69" s="1">
        <f t="shared" si="32"/>
        <v>-0.48531529756823599</v>
      </c>
      <c r="O69" s="1">
        <f t="shared" si="33"/>
        <v>-0.57255936675461738</v>
      </c>
      <c r="P69" s="1">
        <f t="shared" si="34"/>
        <v>-0.69356435643564351</v>
      </c>
      <c r="Q69" s="1">
        <f t="shared" si="35"/>
        <v>0.88239567843800359</v>
      </c>
      <c r="R69" s="1">
        <f t="shared" si="36"/>
        <v>1.9740959259447179</v>
      </c>
      <c r="S69" s="1">
        <f t="shared" si="37"/>
        <v>0.33327025428740392</v>
      </c>
      <c r="T69" s="1"/>
    </row>
    <row r="70" spans="1:20">
      <c r="A70" t="s">
        <v>89</v>
      </c>
      <c r="B70" s="2">
        <v>0.17799999999999999</v>
      </c>
      <c r="C70" s="2">
        <v>0.112</v>
      </c>
      <c r="D70" s="2">
        <v>0.04</v>
      </c>
      <c r="E70" s="2">
        <v>0.13500000000000001</v>
      </c>
      <c r="F70" s="2">
        <v>4.48E-2</v>
      </c>
      <c r="G70" s="4">
        <v>0.20599999999999999</v>
      </c>
      <c r="H70" s="2">
        <f t="shared" si="26"/>
        <v>-0.29299999999999998</v>
      </c>
      <c r="I70" s="2">
        <f t="shared" si="27"/>
        <v>-0.26700000000000002</v>
      </c>
      <c r="J70" s="2">
        <f t="shared" si="28"/>
        <v>-0.16200000000000001</v>
      </c>
      <c r="K70" s="2">
        <f t="shared" si="29"/>
        <v>6.3814116216420511E-2</v>
      </c>
      <c r="L70" s="2">
        <f t="shared" si="30"/>
        <v>2.96693515204269E-2</v>
      </c>
      <c r="M70" s="4">
        <f t="shared" si="31"/>
        <v>2.7999999999999997E-2</v>
      </c>
      <c r="N70" s="1">
        <f t="shared" si="32"/>
        <v>-0.62208067940552014</v>
      </c>
      <c r="O70" s="1">
        <f t="shared" si="33"/>
        <v>-0.70448548812664913</v>
      </c>
      <c r="P70" s="1">
        <f t="shared" si="34"/>
        <v>-0.80198019801980192</v>
      </c>
      <c r="Q70" s="1">
        <f t="shared" si="35"/>
        <v>0.8964434073815708</v>
      </c>
      <c r="R70" s="1">
        <f t="shared" si="36"/>
        <v>1.9608777218294082</v>
      </c>
      <c r="S70" s="1">
        <f t="shared" si="37"/>
        <v>0.15730337078651685</v>
      </c>
      <c r="T70" s="1"/>
    </row>
    <row r="71" spans="1:20">
      <c r="A71" t="s">
        <v>93</v>
      </c>
      <c r="B71" s="2">
        <v>0.24199999999999999</v>
      </c>
      <c r="C71" s="2">
        <v>0.128</v>
      </c>
      <c r="D71" s="2">
        <v>4.8000000000000001E-2</v>
      </c>
      <c r="E71" s="2">
        <v>0.14099999999999999</v>
      </c>
      <c r="F71" s="2">
        <v>4.4699999999999997E-2</v>
      </c>
      <c r="G71" s="4">
        <v>0.23400000000000001</v>
      </c>
      <c r="H71" s="2">
        <f t="shared" si="26"/>
        <v>-0.22899999999999998</v>
      </c>
      <c r="I71" s="2">
        <f t="shared" si="27"/>
        <v>-0.251</v>
      </c>
      <c r="J71" s="2">
        <f t="shared" si="28"/>
        <v>-0.15400000000000003</v>
      </c>
      <c r="K71" s="2">
        <f t="shared" si="29"/>
        <v>6.9814116216420488E-2</v>
      </c>
      <c r="L71" s="2">
        <f t="shared" si="30"/>
        <v>2.9569351520426897E-2</v>
      </c>
      <c r="M71" s="4">
        <f t="shared" si="31"/>
        <v>5.6000000000000022E-2</v>
      </c>
      <c r="N71" s="1">
        <f t="shared" si="32"/>
        <v>-0.4861995753715499</v>
      </c>
      <c r="O71" s="1">
        <f t="shared" si="33"/>
        <v>-0.66226912928759896</v>
      </c>
      <c r="P71" s="1">
        <f t="shared" si="34"/>
        <v>-0.7623762376237625</v>
      </c>
      <c r="Q71" s="1">
        <f t="shared" si="35"/>
        <v>0.98072978104297359</v>
      </c>
      <c r="R71" s="1">
        <f t="shared" si="36"/>
        <v>1.9542686197717531</v>
      </c>
      <c r="S71" s="1">
        <f t="shared" si="37"/>
        <v>0.31460674157303387</v>
      </c>
      <c r="T71" s="1"/>
    </row>
    <row r="72" spans="1:20">
      <c r="A72" t="s">
        <v>70</v>
      </c>
      <c r="B72" s="2">
        <v>0.14399999999999999</v>
      </c>
      <c r="C72" s="2">
        <v>0.123</v>
      </c>
      <c r="D72" s="2">
        <v>5.5E-2</v>
      </c>
      <c r="E72" s="2">
        <v>0.122337612116328</v>
      </c>
      <c r="F72" s="2">
        <v>4.4476837403841202E-2</v>
      </c>
      <c r="G72" s="4">
        <v>0.15</v>
      </c>
      <c r="H72" s="2">
        <f t="shared" si="26"/>
        <v>-0.32699999999999996</v>
      </c>
      <c r="I72" s="2">
        <f t="shared" si="27"/>
        <v>-0.25600000000000001</v>
      </c>
      <c r="J72" s="2">
        <f t="shared" si="28"/>
        <v>-0.14700000000000002</v>
      </c>
      <c r="K72" s="2">
        <f t="shared" si="29"/>
        <v>5.1151728332748503E-2</v>
      </c>
      <c r="L72" s="2">
        <f t="shared" si="30"/>
        <v>2.9346188924268102E-2</v>
      </c>
      <c r="M72" s="4">
        <f t="shared" si="31"/>
        <v>-2.7999999999999997E-2</v>
      </c>
      <c r="N72" s="1">
        <f t="shared" si="32"/>
        <v>-0.69426751592356684</v>
      </c>
      <c r="O72" s="1">
        <f t="shared" si="33"/>
        <v>-0.67546174142480209</v>
      </c>
      <c r="P72" s="1">
        <f t="shared" si="34"/>
        <v>-0.72772277227722781</v>
      </c>
      <c r="Q72" s="1">
        <f t="shared" si="35"/>
        <v>0.71856561461343704</v>
      </c>
      <c r="R72" s="1">
        <f t="shared" si="36"/>
        <v>1.939519576037106</v>
      </c>
      <c r="S72" s="1">
        <f t="shared" si="37"/>
        <v>-0.15730337078651685</v>
      </c>
      <c r="T72" s="1"/>
    </row>
    <row r="73" spans="1:20">
      <c r="A73" t="s">
        <v>205</v>
      </c>
      <c r="B73" s="2">
        <v>0.26959028831562976</v>
      </c>
      <c r="C73" s="2">
        <v>0.19800000000000001</v>
      </c>
      <c r="D73" s="2">
        <v>7.8700000000000006E-2</v>
      </c>
      <c r="E73" s="2">
        <v>0.128</v>
      </c>
      <c r="F73" s="2">
        <v>4.4400000000000002E-2</v>
      </c>
      <c r="G73" s="4">
        <v>0.21222175732217574</v>
      </c>
      <c r="H73" s="2">
        <f t="shared" si="26"/>
        <v>-0.20140971168437022</v>
      </c>
      <c r="I73" s="2">
        <f t="shared" si="27"/>
        <v>-0.18099999999999999</v>
      </c>
      <c r="J73" s="2">
        <f t="shared" si="28"/>
        <v>-0.12330000000000001</v>
      </c>
      <c r="K73" s="2">
        <f t="shared" si="29"/>
        <v>5.6814116216420504E-2</v>
      </c>
      <c r="L73" s="2">
        <f t="shared" si="30"/>
        <v>2.9269351520426902E-2</v>
      </c>
      <c r="M73" s="4">
        <f t="shared" si="31"/>
        <v>3.422175732217575E-2</v>
      </c>
      <c r="N73" s="1">
        <f t="shared" si="32"/>
        <v>-0.42762146854431049</v>
      </c>
      <c r="O73" s="1">
        <f t="shared" si="33"/>
        <v>-0.47757255936675458</v>
      </c>
      <c r="P73" s="1">
        <f t="shared" si="34"/>
        <v>-0.61039603960396038</v>
      </c>
      <c r="Q73" s="1">
        <f t="shared" si="35"/>
        <v>0.79810930477660036</v>
      </c>
      <c r="R73" s="1">
        <f t="shared" si="36"/>
        <v>1.9344413135987886</v>
      </c>
      <c r="S73" s="1">
        <f t="shared" si="37"/>
        <v>0.19225706360772893</v>
      </c>
      <c r="T73" s="1"/>
    </row>
    <row r="74" spans="1:20">
      <c r="A74" t="s">
        <v>25</v>
      </c>
      <c r="B74" s="2">
        <v>0.192</v>
      </c>
      <c r="C74" s="2">
        <v>0.13200000000000001</v>
      </c>
      <c r="D74" s="2">
        <v>5.5E-2</v>
      </c>
      <c r="E74" s="2">
        <v>0.14399999999999999</v>
      </c>
      <c r="F74" s="2">
        <v>4.4400000000000002E-2</v>
      </c>
      <c r="G74" s="4">
        <v>0.186</v>
      </c>
      <c r="H74" s="2">
        <f t="shared" si="26"/>
        <v>-0.27899999999999997</v>
      </c>
      <c r="I74" s="2">
        <f t="shared" si="27"/>
        <v>-0.247</v>
      </c>
      <c r="J74" s="2">
        <f t="shared" si="28"/>
        <v>-0.14700000000000002</v>
      </c>
      <c r="K74" s="2">
        <f t="shared" si="29"/>
        <v>7.2814116216420491E-2</v>
      </c>
      <c r="L74" s="2">
        <f t="shared" si="30"/>
        <v>2.9269351520426902E-2</v>
      </c>
      <c r="M74" s="4">
        <f t="shared" si="31"/>
        <v>8.0000000000000071E-3</v>
      </c>
      <c r="N74" s="1">
        <f t="shared" si="32"/>
        <v>-0.59235668789808915</v>
      </c>
      <c r="O74" s="1">
        <f t="shared" si="33"/>
        <v>-0.65171503957783639</v>
      </c>
      <c r="P74" s="1">
        <f t="shared" si="34"/>
        <v>-0.72772277227722781</v>
      </c>
      <c r="Q74" s="1">
        <f t="shared" si="35"/>
        <v>1.0228729678736752</v>
      </c>
      <c r="R74" s="1">
        <f t="shared" si="36"/>
        <v>1.9344413135987886</v>
      </c>
      <c r="S74" s="1">
        <f t="shared" si="37"/>
        <v>4.4943820224719142E-2</v>
      </c>
      <c r="T74" s="1"/>
    </row>
    <row r="75" spans="1:20">
      <c r="A75" t="s">
        <v>104</v>
      </c>
      <c r="B75" s="2">
        <v>0.22900000000000001</v>
      </c>
      <c r="C75" s="2">
        <v>0.123</v>
      </c>
      <c r="D75" s="2">
        <v>5.0999999999999997E-2</v>
      </c>
      <c r="E75" s="2">
        <v>0.13200000000000001</v>
      </c>
      <c r="F75" s="2">
        <v>4.41E-2</v>
      </c>
      <c r="G75" s="4">
        <v>0.23</v>
      </c>
      <c r="H75" s="2">
        <f t="shared" si="26"/>
        <v>-0.24199999999999997</v>
      </c>
      <c r="I75" s="2">
        <f t="shared" si="27"/>
        <v>-0.25600000000000001</v>
      </c>
      <c r="J75" s="2">
        <f t="shared" si="28"/>
        <v>-0.15100000000000002</v>
      </c>
      <c r="K75" s="2">
        <f t="shared" si="29"/>
        <v>6.0814116216420508E-2</v>
      </c>
      <c r="L75" s="2">
        <f t="shared" si="30"/>
        <v>2.89693515204269E-2</v>
      </c>
      <c r="M75" s="4">
        <f t="shared" si="31"/>
        <v>5.2000000000000018E-2</v>
      </c>
      <c r="N75" s="1">
        <f t="shared" si="32"/>
        <v>-0.5138004246284501</v>
      </c>
      <c r="O75" s="1">
        <f t="shared" si="33"/>
        <v>-0.67546174142480209</v>
      </c>
      <c r="P75" s="1">
        <f t="shared" si="34"/>
        <v>-0.74752475247524763</v>
      </c>
      <c r="Q75" s="1">
        <f t="shared" si="35"/>
        <v>0.85430022055086918</v>
      </c>
      <c r="R75" s="1">
        <f t="shared" si="36"/>
        <v>1.9146140074258238</v>
      </c>
      <c r="S75" s="1">
        <f t="shared" si="37"/>
        <v>0.29213483146067426</v>
      </c>
      <c r="T75" s="1"/>
    </row>
    <row r="76" spans="1:20">
      <c r="A76" t="s">
        <v>85</v>
      </c>
      <c r="B76" s="2">
        <v>0.20399999999999999</v>
      </c>
      <c r="C76" s="2">
        <v>0.112</v>
      </c>
      <c r="D76" s="2">
        <v>3.7999999999999999E-2</v>
      </c>
      <c r="E76" s="2">
        <v>0.13300000000000001</v>
      </c>
      <c r="F76" s="2">
        <v>4.3700000000000003E-2</v>
      </c>
      <c r="G76" s="4">
        <v>0.23599999999999999</v>
      </c>
      <c r="H76" s="2">
        <f t="shared" si="26"/>
        <v>-0.26700000000000002</v>
      </c>
      <c r="I76" s="2">
        <f t="shared" si="27"/>
        <v>-0.26700000000000002</v>
      </c>
      <c r="J76" s="2">
        <f t="shared" si="28"/>
        <v>-0.16400000000000001</v>
      </c>
      <c r="K76" s="2">
        <f t="shared" si="29"/>
        <v>6.1814116216420509E-2</v>
      </c>
      <c r="L76" s="2">
        <f t="shared" si="30"/>
        <v>2.8569351520426903E-2</v>
      </c>
      <c r="M76" s="4">
        <f t="shared" si="31"/>
        <v>5.7999999999999996E-2</v>
      </c>
      <c r="N76" s="1">
        <f t="shared" si="32"/>
        <v>-0.56687898089171984</v>
      </c>
      <c r="O76" s="1">
        <f t="shared" si="33"/>
        <v>-0.70448548812664913</v>
      </c>
      <c r="P76" s="1">
        <f t="shared" si="34"/>
        <v>-0.81188118811881183</v>
      </c>
      <c r="Q76" s="1">
        <f t="shared" si="35"/>
        <v>0.86834794949443639</v>
      </c>
      <c r="R76" s="1">
        <f t="shared" si="36"/>
        <v>1.8881775991952041</v>
      </c>
      <c r="S76" s="1">
        <f t="shared" si="37"/>
        <v>0.3258426966292135</v>
      </c>
      <c r="T76" s="1"/>
    </row>
    <row r="77" spans="1:20">
      <c r="A77" t="s">
        <v>182</v>
      </c>
      <c r="B77" s="2">
        <v>0.23008695652173911</v>
      </c>
      <c r="C77" s="2">
        <v>0.14499999999999999</v>
      </c>
      <c r="D77" s="2">
        <v>5.5100000000000003E-2</v>
      </c>
      <c r="E77" s="2">
        <v>0.14699999999999999</v>
      </c>
      <c r="F77" s="2">
        <v>4.3499999999999997E-2</v>
      </c>
      <c r="G77" s="4">
        <v>0.24594454713493527</v>
      </c>
      <c r="H77" s="2">
        <f t="shared" si="26"/>
        <v>-0.24091304347826087</v>
      </c>
      <c r="I77" s="2">
        <f t="shared" si="27"/>
        <v>-0.23400000000000001</v>
      </c>
      <c r="J77" s="2">
        <f t="shared" si="28"/>
        <v>-0.1469</v>
      </c>
      <c r="K77" s="2">
        <f t="shared" si="29"/>
        <v>7.5814116216420493E-2</v>
      </c>
      <c r="L77" s="2">
        <f t="shared" si="30"/>
        <v>2.8369351520426897E-2</v>
      </c>
      <c r="M77" s="4">
        <f t="shared" si="31"/>
        <v>6.7944547134935279E-2</v>
      </c>
      <c r="N77" s="1">
        <f t="shared" si="32"/>
        <v>-0.51149266131265581</v>
      </c>
      <c r="O77" s="1">
        <f t="shared" si="33"/>
        <v>-0.61741424802110823</v>
      </c>
      <c r="P77" s="1">
        <f t="shared" si="34"/>
        <v>-0.72722772277227721</v>
      </c>
      <c r="Q77" s="1">
        <f t="shared" si="35"/>
        <v>1.0650161547043768</v>
      </c>
      <c r="R77" s="1">
        <f t="shared" si="36"/>
        <v>1.874959395079894</v>
      </c>
      <c r="S77" s="1">
        <f t="shared" si="37"/>
        <v>0.38171093896031055</v>
      </c>
      <c r="T77" s="1"/>
    </row>
    <row r="78" spans="1:20">
      <c r="A78" t="s">
        <v>133</v>
      </c>
      <c r="B78" s="2">
        <v>0.23499999999999999</v>
      </c>
      <c r="C78" s="2">
        <v>0.14000000000000001</v>
      </c>
      <c r="D78" s="2">
        <v>5.7000000000000002E-2</v>
      </c>
      <c r="E78" s="2">
        <v>0.115</v>
      </c>
      <c r="F78" s="2">
        <v>4.24E-2</v>
      </c>
      <c r="G78" s="4">
        <v>0.21299999999999999</v>
      </c>
      <c r="H78" s="2">
        <f t="shared" si="26"/>
        <v>-0.23599999999999999</v>
      </c>
      <c r="I78" s="2">
        <f t="shared" si="27"/>
        <v>-0.23899999999999999</v>
      </c>
      <c r="J78" s="2">
        <f t="shared" si="28"/>
        <v>-0.14500000000000002</v>
      </c>
      <c r="K78" s="2">
        <f t="shared" si="29"/>
        <v>4.3814116216420507E-2</v>
      </c>
      <c r="L78" s="2">
        <f t="shared" si="30"/>
        <v>2.72693515204269E-2</v>
      </c>
      <c r="M78" s="4">
        <f t="shared" si="31"/>
        <v>3.5000000000000003E-2</v>
      </c>
      <c r="N78" s="1">
        <f t="shared" si="32"/>
        <v>-0.50106157112526539</v>
      </c>
      <c r="O78" s="1">
        <f t="shared" si="33"/>
        <v>-0.63060686015831136</v>
      </c>
      <c r="P78" s="1">
        <f t="shared" si="34"/>
        <v>-0.7178217821782179</v>
      </c>
      <c r="Q78" s="1">
        <f t="shared" si="35"/>
        <v>0.6154888285102269</v>
      </c>
      <c r="R78" s="1">
        <f t="shared" si="36"/>
        <v>1.8022592724456901</v>
      </c>
      <c r="S78" s="1">
        <f t="shared" si="37"/>
        <v>0.1966292134831461</v>
      </c>
      <c r="T78" s="1"/>
    </row>
    <row r="79" spans="1:20">
      <c r="A79" t="s">
        <v>170</v>
      </c>
      <c r="B79" s="2">
        <v>0.23175475687103597</v>
      </c>
      <c r="C79" s="2">
        <v>0.16</v>
      </c>
      <c r="D79" s="2">
        <v>6.0600000000000001E-2</v>
      </c>
      <c r="E79" s="2">
        <v>0.129</v>
      </c>
      <c r="F79" s="2">
        <v>4.2099999999999999E-2</v>
      </c>
      <c r="G79" s="4">
        <v>0.20385922330097089</v>
      </c>
      <c r="H79" s="2">
        <f t="shared" si="26"/>
        <v>-0.239245243128964</v>
      </c>
      <c r="I79" s="2">
        <f t="shared" si="27"/>
        <v>-0.219</v>
      </c>
      <c r="J79" s="2">
        <f t="shared" si="28"/>
        <v>-0.14140000000000003</v>
      </c>
      <c r="K79" s="2">
        <f t="shared" si="29"/>
        <v>5.7814116216420505E-2</v>
      </c>
      <c r="L79" s="2">
        <f t="shared" si="30"/>
        <v>2.6969351520426899E-2</v>
      </c>
      <c r="M79" s="4">
        <f t="shared" si="31"/>
        <v>2.5859223300970902E-2</v>
      </c>
      <c r="N79" s="1">
        <f t="shared" si="32"/>
        <v>-0.50795168392561363</v>
      </c>
      <c r="O79" s="1">
        <f t="shared" si="33"/>
        <v>-0.57783641160949872</v>
      </c>
      <c r="P79" s="1">
        <f t="shared" si="34"/>
        <v>-0.70000000000000007</v>
      </c>
      <c r="Q79" s="1">
        <f t="shared" si="35"/>
        <v>0.81215703372016756</v>
      </c>
      <c r="R79" s="1">
        <f t="shared" si="36"/>
        <v>1.782431966272725</v>
      </c>
      <c r="S79" s="1">
        <f t="shared" si="37"/>
        <v>0.14527653539871294</v>
      </c>
      <c r="T79" s="1"/>
    </row>
    <row r="80" spans="1:20">
      <c r="A80" t="s">
        <v>127</v>
      </c>
      <c r="B80" s="2">
        <v>0.224</v>
      </c>
      <c r="C80" s="2">
        <v>0.13500000000000001</v>
      </c>
      <c r="D80" s="2">
        <v>5.3999999999999999E-2</v>
      </c>
      <c r="E80" s="2">
        <v>0.115</v>
      </c>
      <c r="F80" s="2">
        <v>4.1700000000000001E-2</v>
      </c>
      <c r="G80" s="4">
        <v>0.20799999999999999</v>
      </c>
      <c r="H80" s="2">
        <f t="shared" si="26"/>
        <v>-0.24699999999999997</v>
      </c>
      <c r="I80" s="2">
        <f t="shared" si="27"/>
        <v>-0.24399999999999999</v>
      </c>
      <c r="J80" s="2">
        <f t="shared" si="28"/>
        <v>-0.14800000000000002</v>
      </c>
      <c r="K80" s="2">
        <f t="shared" si="29"/>
        <v>4.3814116216420507E-2</v>
      </c>
      <c r="L80" s="2">
        <f t="shared" si="30"/>
        <v>2.6569351520426901E-2</v>
      </c>
      <c r="M80" s="4">
        <f t="shared" si="31"/>
        <v>0.03</v>
      </c>
      <c r="N80" s="1">
        <f t="shared" si="32"/>
        <v>-0.52441613588110403</v>
      </c>
      <c r="O80" s="1">
        <f t="shared" si="33"/>
        <v>-0.64379947229551449</v>
      </c>
      <c r="P80" s="1">
        <f t="shared" si="34"/>
        <v>-0.73267326732673277</v>
      </c>
      <c r="Q80" s="1">
        <f t="shared" si="35"/>
        <v>0.6154888285102269</v>
      </c>
      <c r="R80" s="1">
        <f t="shared" si="36"/>
        <v>1.7559955580421056</v>
      </c>
      <c r="S80" s="1">
        <f t="shared" si="37"/>
        <v>0.16853932584269662</v>
      </c>
      <c r="T80" s="1"/>
    </row>
    <row r="81" spans="1:20">
      <c r="A81" t="s">
        <v>23</v>
      </c>
      <c r="B81" s="2">
        <v>0.17499999999999999</v>
      </c>
      <c r="C81" s="2">
        <v>0.155</v>
      </c>
      <c r="D81" s="2">
        <v>6.2E-2</v>
      </c>
      <c r="E81" s="2">
        <v>0.107</v>
      </c>
      <c r="F81" s="2">
        <v>4.1599999999999998E-2</v>
      </c>
      <c r="G81" s="4">
        <v>0.13200000000000001</v>
      </c>
      <c r="H81" s="2">
        <f t="shared" si="26"/>
        <v>-0.29599999999999999</v>
      </c>
      <c r="I81" s="2">
        <f t="shared" si="27"/>
        <v>-0.224</v>
      </c>
      <c r="J81" s="2">
        <f t="shared" si="28"/>
        <v>-0.14000000000000001</v>
      </c>
      <c r="K81" s="2">
        <f t="shared" si="29"/>
        <v>3.58141162164205E-2</v>
      </c>
      <c r="L81" s="2">
        <f t="shared" si="30"/>
        <v>2.6469351520426898E-2</v>
      </c>
      <c r="M81" s="4">
        <f t="shared" si="31"/>
        <v>-4.5999999999999985E-2</v>
      </c>
      <c r="N81" s="1">
        <f t="shared" si="32"/>
        <v>-0.6284501061571125</v>
      </c>
      <c r="O81" s="1">
        <f t="shared" si="33"/>
        <v>-0.59102902374670185</v>
      </c>
      <c r="P81" s="1">
        <f t="shared" si="34"/>
        <v>-0.69306930693069313</v>
      </c>
      <c r="Q81" s="1">
        <f t="shared" si="35"/>
        <v>0.50310699696168937</v>
      </c>
      <c r="R81" s="1">
        <f t="shared" si="36"/>
        <v>1.7493864559844503</v>
      </c>
      <c r="S81" s="1">
        <f t="shared" si="37"/>
        <v>-0.25842696629213474</v>
      </c>
      <c r="T81" s="1"/>
    </row>
    <row r="82" spans="1:20">
      <c r="A82" t="s">
        <v>116</v>
      </c>
      <c r="B82" s="2">
        <v>0.129</v>
      </c>
      <c r="C82" s="2">
        <v>0.11</v>
      </c>
      <c r="D82" s="2">
        <v>0.04</v>
      </c>
      <c r="E82" s="2">
        <v>0.104</v>
      </c>
      <c r="F82" s="2">
        <v>4.1099999999999998E-2</v>
      </c>
      <c r="G82" s="4">
        <v>0.129</v>
      </c>
      <c r="H82" s="2">
        <f t="shared" si="26"/>
        <v>-0.34199999999999997</v>
      </c>
      <c r="I82" s="2">
        <f t="shared" si="27"/>
        <v>-0.26900000000000002</v>
      </c>
      <c r="J82" s="2">
        <f t="shared" si="28"/>
        <v>-0.16200000000000001</v>
      </c>
      <c r="K82" s="2">
        <f t="shared" si="29"/>
        <v>3.2814116216420497E-2</v>
      </c>
      <c r="L82" s="2">
        <f t="shared" si="30"/>
        <v>2.5969351520426898E-2</v>
      </c>
      <c r="M82" s="4">
        <f t="shared" si="31"/>
        <v>-4.8999999999999988E-2</v>
      </c>
      <c r="N82" s="1">
        <f t="shared" si="32"/>
        <v>-0.72611464968152861</v>
      </c>
      <c r="O82" s="1">
        <f t="shared" si="33"/>
        <v>-0.70976253298153036</v>
      </c>
      <c r="P82" s="1">
        <f t="shared" si="34"/>
        <v>-0.80198019801980192</v>
      </c>
      <c r="Q82" s="1">
        <f t="shared" si="35"/>
        <v>0.46096381013098769</v>
      </c>
      <c r="R82" s="1">
        <f t="shared" si="36"/>
        <v>1.7163409456961758</v>
      </c>
      <c r="S82" s="1">
        <f t="shared" si="37"/>
        <v>-0.27528089887640445</v>
      </c>
      <c r="T82" s="1"/>
    </row>
    <row r="83" spans="1:20">
      <c r="A83" t="s">
        <v>8</v>
      </c>
      <c r="B83" s="2">
        <v>0.184</v>
      </c>
      <c r="C83" s="2">
        <v>0.14299999999999999</v>
      </c>
      <c r="D83" s="2">
        <v>5.6000000000000001E-2</v>
      </c>
      <c r="E83" s="2">
        <v>0.10199999999999999</v>
      </c>
      <c r="F83" s="2">
        <v>4.0599999999999997E-2</v>
      </c>
      <c r="G83" s="4">
        <v>0.14699999999999999</v>
      </c>
      <c r="H83" s="2">
        <f t="shared" si="26"/>
        <v>-0.28699999999999998</v>
      </c>
      <c r="I83" s="2">
        <f t="shared" si="27"/>
        <v>-0.23600000000000002</v>
      </c>
      <c r="J83" s="2">
        <f t="shared" si="28"/>
        <v>-0.14600000000000002</v>
      </c>
      <c r="K83" s="2">
        <f t="shared" si="29"/>
        <v>3.0814116216420495E-2</v>
      </c>
      <c r="L83" s="2">
        <f t="shared" si="30"/>
        <v>2.5469351520426897E-2</v>
      </c>
      <c r="M83" s="4">
        <f t="shared" si="31"/>
        <v>-3.1E-2</v>
      </c>
      <c r="N83" s="1">
        <f t="shared" si="32"/>
        <v>-0.60934182590233543</v>
      </c>
      <c r="O83" s="1">
        <f t="shared" si="33"/>
        <v>-0.62269129287598945</v>
      </c>
      <c r="P83" s="1">
        <f t="shared" si="34"/>
        <v>-0.72277227722772286</v>
      </c>
      <c r="Q83" s="1">
        <f t="shared" si="35"/>
        <v>0.43286835224385328</v>
      </c>
      <c r="R83" s="1">
        <f t="shared" si="36"/>
        <v>1.6832954354079011</v>
      </c>
      <c r="S83" s="1">
        <f t="shared" si="37"/>
        <v>-0.17415730337078653</v>
      </c>
      <c r="T83" s="1"/>
    </row>
    <row r="84" spans="1:20">
      <c r="A84" t="s">
        <v>175</v>
      </c>
      <c r="B84" s="2">
        <v>0.2138834498834499</v>
      </c>
      <c r="C84" s="2">
        <v>0.13300000000000001</v>
      </c>
      <c r="D84" s="2">
        <v>4.7100000000000003E-2</v>
      </c>
      <c r="E84" s="2">
        <v>0.13200000000000001</v>
      </c>
      <c r="F84" s="2">
        <v>4.0399999999999998E-2</v>
      </c>
      <c r="G84" s="4">
        <v>0.22493169877408056</v>
      </c>
      <c r="H84" s="2">
        <f t="shared" si="26"/>
        <v>-0.2571165501165501</v>
      </c>
      <c r="I84" s="2">
        <f t="shared" si="27"/>
        <v>-0.246</v>
      </c>
      <c r="J84" s="2">
        <f t="shared" si="28"/>
        <v>-0.15490000000000001</v>
      </c>
      <c r="K84" s="2">
        <f t="shared" si="29"/>
        <v>6.0814116216420508E-2</v>
      </c>
      <c r="L84" s="2">
        <f t="shared" si="30"/>
        <v>2.5269351520426898E-2</v>
      </c>
      <c r="M84" s="4">
        <f t="shared" si="31"/>
        <v>4.6931698774080571E-2</v>
      </c>
      <c r="N84" s="1">
        <f t="shared" si="32"/>
        <v>-0.54589501086316372</v>
      </c>
      <c r="O84" s="1">
        <f t="shared" si="33"/>
        <v>-0.64907651715039572</v>
      </c>
      <c r="P84" s="1">
        <f t="shared" si="34"/>
        <v>-0.76683168316831685</v>
      </c>
      <c r="Q84" s="1">
        <f t="shared" si="35"/>
        <v>0.85430022055086918</v>
      </c>
      <c r="R84" s="1">
        <f t="shared" si="36"/>
        <v>1.6700772312925913</v>
      </c>
      <c r="S84" s="1">
        <f t="shared" si="37"/>
        <v>0.26366122906786837</v>
      </c>
      <c r="T84" s="1"/>
    </row>
    <row r="85" spans="1:20">
      <c r="A85" t="s">
        <v>194</v>
      </c>
      <c r="B85" s="2">
        <v>0.2082598607888631</v>
      </c>
      <c r="C85" s="2">
        <v>0.11</v>
      </c>
      <c r="D85" s="2">
        <v>4.1300000000000003E-2</v>
      </c>
      <c r="E85" s="2">
        <v>0.106</v>
      </c>
      <c r="F85" s="2">
        <v>3.9199999999999999E-2</v>
      </c>
      <c r="G85" s="4">
        <v>0.18985531914893616</v>
      </c>
      <c r="H85" s="2">
        <f t="shared" si="26"/>
        <v>-0.26274013921113687</v>
      </c>
      <c r="I85" s="2">
        <f t="shared" si="27"/>
        <v>-0.26900000000000002</v>
      </c>
      <c r="J85" s="2">
        <f t="shared" si="28"/>
        <v>-0.16070000000000001</v>
      </c>
      <c r="K85" s="2">
        <f t="shared" si="29"/>
        <v>3.4814116216420499E-2</v>
      </c>
      <c r="L85" s="2">
        <f t="shared" si="30"/>
        <v>2.4069351520426899E-2</v>
      </c>
      <c r="M85" s="4">
        <f t="shared" si="31"/>
        <v>1.1855319148936172E-2</v>
      </c>
      <c r="N85" s="1">
        <f t="shared" si="32"/>
        <v>-0.55783469046950507</v>
      </c>
      <c r="O85" s="1">
        <f t="shared" si="33"/>
        <v>-0.70976253298153036</v>
      </c>
      <c r="P85" s="1">
        <f t="shared" si="34"/>
        <v>-0.79554455445544559</v>
      </c>
      <c r="Q85" s="1">
        <f t="shared" si="35"/>
        <v>0.48905926801812211</v>
      </c>
      <c r="R85" s="1">
        <f t="shared" si="36"/>
        <v>1.5907680066007321</v>
      </c>
      <c r="S85" s="1">
        <f t="shared" si="37"/>
        <v>6.6602916567057149E-2</v>
      </c>
      <c r="T85" s="1"/>
    </row>
    <row r="86" spans="1:20">
      <c r="A86" t="s">
        <v>42</v>
      </c>
      <c r="B86" s="2">
        <v>0.153</v>
      </c>
      <c r="C86" s="2">
        <v>8.6999999999999994E-2</v>
      </c>
      <c r="D86" s="2">
        <v>3.3000000000000002E-2</v>
      </c>
      <c r="E86" s="2">
        <v>0.13300000000000001</v>
      </c>
      <c r="F86" s="2">
        <v>3.8399999999999997E-2</v>
      </c>
      <c r="G86" s="4">
        <v>0.19600000000000001</v>
      </c>
      <c r="H86" s="2">
        <f t="shared" si="26"/>
        <v>-0.31799999999999995</v>
      </c>
      <c r="I86" s="2">
        <f t="shared" si="27"/>
        <v>-0.29200000000000004</v>
      </c>
      <c r="J86" s="2">
        <f t="shared" si="28"/>
        <v>-0.16900000000000001</v>
      </c>
      <c r="K86" s="2">
        <f t="shared" si="29"/>
        <v>6.1814116216420509E-2</v>
      </c>
      <c r="L86" s="2">
        <f t="shared" si="30"/>
        <v>2.3269351520426897E-2</v>
      </c>
      <c r="M86" s="4">
        <f t="shared" si="31"/>
        <v>1.8000000000000016E-2</v>
      </c>
      <c r="N86" s="1">
        <f t="shared" si="32"/>
        <v>-0.67515923566878977</v>
      </c>
      <c r="O86" s="1">
        <f t="shared" si="33"/>
        <v>-0.770448548812665</v>
      </c>
      <c r="P86" s="1">
        <f t="shared" si="34"/>
        <v>-0.8366336633663366</v>
      </c>
      <c r="Q86" s="1">
        <f t="shared" si="35"/>
        <v>0.86834794949443639</v>
      </c>
      <c r="R86" s="1">
        <f t="shared" si="36"/>
        <v>1.5378951901394926</v>
      </c>
      <c r="S86" s="1">
        <f t="shared" si="37"/>
        <v>0.10112359550561807</v>
      </c>
      <c r="T86" s="1"/>
    </row>
    <row r="87" spans="1:20">
      <c r="A87" t="s">
        <v>173</v>
      </c>
      <c r="B87" s="2">
        <v>0.18971571072319202</v>
      </c>
      <c r="C87" s="2">
        <v>0.125</v>
      </c>
      <c r="D87" s="2">
        <v>4.4400000000000002E-2</v>
      </c>
      <c r="E87" s="2">
        <v>0.104</v>
      </c>
      <c r="F87" s="2">
        <v>3.8199999999999998E-2</v>
      </c>
      <c r="G87" s="4">
        <v>0.17336193029490618</v>
      </c>
      <c r="H87" s="2">
        <f t="shared" si="26"/>
        <v>-0.28128428927680793</v>
      </c>
      <c r="I87" s="2">
        <f t="shared" si="27"/>
        <v>-0.254</v>
      </c>
      <c r="J87" s="2">
        <f t="shared" si="28"/>
        <v>-0.15760000000000002</v>
      </c>
      <c r="K87" s="2">
        <f t="shared" si="29"/>
        <v>3.2814116216420497E-2</v>
      </c>
      <c r="L87" s="2">
        <f t="shared" si="30"/>
        <v>2.3069351520426898E-2</v>
      </c>
      <c r="M87" s="4">
        <f t="shared" si="31"/>
        <v>-4.6380697050938113E-3</v>
      </c>
      <c r="N87" s="1">
        <f t="shared" si="32"/>
        <v>-0.59720655897411457</v>
      </c>
      <c r="O87" s="1">
        <f t="shared" si="33"/>
        <v>-0.67018469656992086</v>
      </c>
      <c r="P87" s="1">
        <f t="shared" si="34"/>
        <v>-0.78019801980198022</v>
      </c>
      <c r="Q87" s="1">
        <f t="shared" si="35"/>
        <v>0.46096381013098769</v>
      </c>
      <c r="R87" s="1">
        <f t="shared" si="36"/>
        <v>1.5246769860241829</v>
      </c>
      <c r="S87" s="1">
        <f t="shared" si="37"/>
        <v>-2.6056571376931525E-2</v>
      </c>
      <c r="T87" s="1"/>
    </row>
    <row r="88" spans="1:20">
      <c r="A88" t="s">
        <v>13</v>
      </c>
      <c r="B88" s="2">
        <v>0.16600000000000001</v>
      </c>
      <c r="C88" s="2">
        <v>0.1</v>
      </c>
      <c r="D88" s="2">
        <v>3.5999999999999997E-2</v>
      </c>
      <c r="E88" s="2">
        <v>0.111</v>
      </c>
      <c r="F88" s="2">
        <v>3.7600000000000001E-2</v>
      </c>
      <c r="G88" s="4">
        <v>0.17199999999999999</v>
      </c>
      <c r="H88" s="2">
        <f t="shared" si="26"/>
        <v>-0.30499999999999994</v>
      </c>
      <c r="I88" s="2">
        <f t="shared" si="27"/>
        <v>-0.27900000000000003</v>
      </c>
      <c r="J88" s="2">
        <f t="shared" si="28"/>
        <v>-0.16600000000000001</v>
      </c>
      <c r="K88" s="2">
        <f t="shared" si="29"/>
        <v>3.9814116216420503E-2</v>
      </c>
      <c r="L88" s="2">
        <f t="shared" si="30"/>
        <v>2.2469351520426901E-2</v>
      </c>
      <c r="M88" s="4">
        <f t="shared" si="31"/>
        <v>-6.0000000000000053E-3</v>
      </c>
      <c r="N88" s="1">
        <f t="shared" si="32"/>
        <v>-0.64755838641188945</v>
      </c>
      <c r="O88" s="1">
        <f t="shared" si="33"/>
        <v>-0.73614775725593673</v>
      </c>
      <c r="P88" s="1">
        <f t="shared" si="34"/>
        <v>-0.82178217821782173</v>
      </c>
      <c r="Q88" s="1">
        <f t="shared" si="35"/>
        <v>0.55929791273595808</v>
      </c>
      <c r="R88" s="1">
        <f t="shared" si="36"/>
        <v>1.4850223736782535</v>
      </c>
      <c r="S88" s="1">
        <f t="shared" si="37"/>
        <v>-3.370786516853936E-2</v>
      </c>
      <c r="T88" s="1"/>
    </row>
    <row r="89" spans="1:20">
      <c r="A89" t="s">
        <v>50</v>
      </c>
      <c r="B89" s="2">
        <v>0.18099999999999999</v>
      </c>
      <c r="C89" s="2">
        <v>0.126</v>
      </c>
      <c r="D89" s="2">
        <v>5.0999999999999997E-2</v>
      </c>
      <c r="E89" s="2">
        <v>0.111</v>
      </c>
      <c r="F89" s="2">
        <v>3.7600000000000001E-2</v>
      </c>
      <c r="G89" s="4">
        <v>0.17</v>
      </c>
      <c r="H89" s="2">
        <f t="shared" si="26"/>
        <v>-0.28999999999999998</v>
      </c>
      <c r="I89" s="2">
        <f t="shared" si="27"/>
        <v>-0.253</v>
      </c>
      <c r="J89" s="2">
        <f t="shared" si="28"/>
        <v>-0.15100000000000002</v>
      </c>
      <c r="K89" s="2">
        <f t="shared" si="29"/>
        <v>3.9814116216420503E-2</v>
      </c>
      <c r="L89" s="2">
        <f t="shared" si="30"/>
        <v>2.2469351520426901E-2</v>
      </c>
      <c r="M89" s="4">
        <f t="shared" si="31"/>
        <v>-7.9999999999999793E-3</v>
      </c>
      <c r="N89" s="1">
        <f t="shared" si="32"/>
        <v>-0.61571125265392779</v>
      </c>
      <c r="O89" s="1">
        <f t="shared" si="33"/>
        <v>-0.66754617414248019</v>
      </c>
      <c r="P89" s="1">
        <f t="shared" si="34"/>
        <v>-0.74752475247524763</v>
      </c>
      <c r="Q89" s="1">
        <f t="shared" si="35"/>
        <v>0.55929791273595808</v>
      </c>
      <c r="R89" s="1">
        <f t="shared" si="36"/>
        <v>1.4850223736782535</v>
      </c>
      <c r="S89" s="1">
        <f t="shared" si="37"/>
        <v>-4.4943820224718989E-2</v>
      </c>
      <c r="T89" s="1"/>
    </row>
    <row r="90" spans="1:20">
      <c r="A90" t="s">
        <v>207</v>
      </c>
      <c r="B90" s="2">
        <v>0.22599557522123898</v>
      </c>
      <c r="C90" s="2">
        <v>0.15</v>
      </c>
      <c r="D90" s="2">
        <v>6.2600000000000003E-2</v>
      </c>
      <c r="E90" s="2">
        <v>0.122</v>
      </c>
      <c r="F90" s="2">
        <v>3.7199999999999997E-2</v>
      </c>
      <c r="G90" s="4">
        <v>0.20476097560975609</v>
      </c>
      <c r="H90" s="2">
        <f t="shared" si="26"/>
        <v>-0.245004424778761</v>
      </c>
      <c r="I90" s="2">
        <f t="shared" si="27"/>
        <v>-0.22900000000000001</v>
      </c>
      <c r="J90" s="2">
        <f t="shared" si="28"/>
        <v>-0.13940000000000002</v>
      </c>
      <c r="K90" s="2">
        <f t="shared" si="29"/>
        <v>5.0814116216420499E-2</v>
      </c>
      <c r="L90" s="2">
        <f t="shared" si="30"/>
        <v>2.2069351520426897E-2</v>
      </c>
      <c r="M90" s="4">
        <f t="shared" si="31"/>
        <v>2.6760975609756099E-2</v>
      </c>
      <c r="N90" s="1">
        <f t="shared" si="32"/>
        <v>-0.52017924581477926</v>
      </c>
      <c r="O90" s="1">
        <f t="shared" si="33"/>
        <v>-0.60422163588390498</v>
      </c>
      <c r="P90" s="1">
        <f t="shared" si="34"/>
        <v>-0.69009900990099016</v>
      </c>
      <c r="Q90" s="1">
        <f t="shared" si="35"/>
        <v>0.71382293111519712</v>
      </c>
      <c r="R90" s="1">
        <f t="shared" si="36"/>
        <v>1.4585859654476334</v>
      </c>
      <c r="S90" s="1">
        <f t="shared" si="37"/>
        <v>0.15034255960537135</v>
      </c>
      <c r="T90" s="1"/>
    </row>
    <row r="91" spans="1:20">
      <c r="A91" t="s">
        <v>206</v>
      </c>
      <c r="B91" s="2">
        <v>0.24356785714285714</v>
      </c>
      <c r="C91" s="2">
        <v>0.16900000000000001</v>
      </c>
      <c r="D91" s="2">
        <v>7.7399999999999997E-2</v>
      </c>
      <c r="E91" s="2">
        <v>0.123</v>
      </c>
      <c r="F91" s="2">
        <v>3.6999999999999998E-2</v>
      </c>
      <c r="G91" s="4">
        <v>0.20805439330543934</v>
      </c>
      <c r="H91" s="2">
        <f t="shared" si="26"/>
        <v>-0.22743214285714283</v>
      </c>
      <c r="I91" s="2">
        <f t="shared" si="27"/>
        <v>-0.21</v>
      </c>
      <c r="J91" s="2">
        <f t="shared" si="28"/>
        <v>-0.12460000000000002</v>
      </c>
      <c r="K91" s="2">
        <f t="shared" si="29"/>
        <v>5.18141162164205E-2</v>
      </c>
      <c r="L91" s="2">
        <f t="shared" si="30"/>
        <v>2.1869351520426898E-2</v>
      </c>
      <c r="M91" s="4">
        <f t="shared" si="31"/>
        <v>3.0054393305439353E-2</v>
      </c>
      <c r="N91" s="1">
        <f t="shared" si="32"/>
        <v>-0.4828707916287534</v>
      </c>
      <c r="O91" s="1">
        <f t="shared" si="33"/>
        <v>-0.55408970976253291</v>
      </c>
      <c r="P91" s="1">
        <f t="shared" si="34"/>
        <v>-0.61683168316831682</v>
      </c>
      <c r="Q91" s="1">
        <f t="shared" si="35"/>
        <v>0.72787066005876433</v>
      </c>
      <c r="R91" s="1">
        <f t="shared" si="36"/>
        <v>1.4453677613323237</v>
      </c>
      <c r="S91" s="1">
        <f t="shared" si="37"/>
        <v>0.16884490621033346</v>
      </c>
      <c r="T91" s="1"/>
    </row>
    <row r="92" spans="1:20">
      <c r="A92" t="s">
        <v>140</v>
      </c>
      <c r="B92" s="2">
        <v>0.20100000000000001</v>
      </c>
      <c r="C92" s="2">
        <v>0.14099999999999999</v>
      </c>
      <c r="D92" s="2">
        <v>5.8999999999999997E-2</v>
      </c>
      <c r="E92" s="2">
        <v>0.111</v>
      </c>
      <c r="F92" s="2">
        <v>3.6900000000000002E-2</v>
      </c>
      <c r="G92" s="4">
        <v>0.16900000000000001</v>
      </c>
      <c r="H92" s="2">
        <f t="shared" si="26"/>
        <v>-0.26999999999999996</v>
      </c>
      <c r="I92" s="2">
        <f t="shared" si="27"/>
        <v>-0.23800000000000002</v>
      </c>
      <c r="J92" s="2">
        <f t="shared" si="28"/>
        <v>-0.14300000000000002</v>
      </c>
      <c r="K92" s="2">
        <f t="shared" si="29"/>
        <v>3.9814116216420503E-2</v>
      </c>
      <c r="L92" s="2">
        <f t="shared" si="30"/>
        <v>2.1769351520426902E-2</v>
      </c>
      <c r="M92" s="4">
        <f t="shared" si="31"/>
        <v>-8.9999999999999802E-3</v>
      </c>
      <c r="N92" s="1">
        <f t="shared" si="32"/>
        <v>-0.57324840764331209</v>
      </c>
      <c r="O92" s="1">
        <f t="shared" si="33"/>
        <v>-0.6279683377308708</v>
      </c>
      <c r="P92" s="1">
        <f t="shared" si="34"/>
        <v>-0.70792079207920799</v>
      </c>
      <c r="Q92" s="1">
        <f t="shared" si="35"/>
        <v>0.55929791273595808</v>
      </c>
      <c r="R92" s="1">
        <f t="shared" si="36"/>
        <v>1.4387586592746691</v>
      </c>
      <c r="S92" s="1">
        <f t="shared" si="37"/>
        <v>-5.0561797752808883E-2</v>
      </c>
      <c r="T92" s="1"/>
    </row>
    <row r="93" spans="1:20">
      <c r="A93" t="s">
        <v>134</v>
      </c>
      <c r="B93" s="2">
        <v>0.20300000000000001</v>
      </c>
      <c r="C93" s="2">
        <v>0.13800000000000001</v>
      </c>
      <c r="D93" s="2">
        <v>5.6000000000000001E-2</v>
      </c>
      <c r="E93" s="2">
        <v>9.9699999999999997E-2</v>
      </c>
      <c r="F93" s="2">
        <v>3.6200000000000003E-2</v>
      </c>
      <c r="G93" s="4">
        <v>0.17100000000000001</v>
      </c>
      <c r="H93" s="2">
        <f t="shared" si="26"/>
        <v>-0.26799999999999996</v>
      </c>
      <c r="I93" s="2">
        <f t="shared" si="27"/>
        <v>-0.24099999999999999</v>
      </c>
      <c r="J93" s="2">
        <f t="shared" si="28"/>
        <v>-0.14600000000000002</v>
      </c>
      <c r="K93" s="2">
        <f t="shared" si="29"/>
        <v>2.8514116216420499E-2</v>
      </c>
      <c r="L93" s="2">
        <f t="shared" si="30"/>
        <v>2.1069351520426903E-2</v>
      </c>
      <c r="M93" s="4">
        <f t="shared" si="31"/>
        <v>-6.9999999999999785E-3</v>
      </c>
      <c r="N93" s="1">
        <f t="shared" si="32"/>
        <v>-0.56900212314225052</v>
      </c>
      <c r="O93" s="1">
        <f t="shared" si="33"/>
        <v>-0.63588390501319259</v>
      </c>
      <c r="P93" s="1">
        <f t="shared" si="34"/>
        <v>-0.72277227722772286</v>
      </c>
      <c r="Q93" s="1">
        <f t="shared" si="35"/>
        <v>0.40055857567364883</v>
      </c>
      <c r="R93" s="1">
        <f t="shared" si="36"/>
        <v>1.3924949448710846</v>
      </c>
      <c r="S93" s="1">
        <f t="shared" si="37"/>
        <v>-3.9325842696629094E-2</v>
      </c>
      <c r="T93" s="1"/>
    </row>
    <row r="94" spans="1:20">
      <c r="A94" t="s">
        <v>167</v>
      </c>
      <c r="B94" s="2">
        <v>0.20275933609958507</v>
      </c>
      <c r="C94" s="2">
        <v>0.13800000000000001</v>
      </c>
      <c r="D94" s="2">
        <v>5.6399999999999999E-2</v>
      </c>
      <c r="E94" s="2">
        <v>9.9699999999999997E-2</v>
      </c>
      <c r="F94" s="2">
        <v>3.6200000000000003E-2</v>
      </c>
      <c r="G94" s="4">
        <v>0.17091811414392058</v>
      </c>
      <c r="H94" s="2">
        <f t="shared" si="26"/>
        <v>-0.2682406639004149</v>
      </c>
      <c r="I94" s="2">
        <f t="shared" si="27"/>
        <v>-0.24099999999999999</v>
      </c>
      <c r="J94" s="2">
        <f t="shared" si="28"/>
        <v>-0.14560000000000001</v>
      </c>
      <c r="K94" s="2">
        <f t="shared" si="29"/>
        <v>2.8514116216420499E-2</v>
      </c>
      <c r="L94" s="2">
        <f t="shared" si="30"/>
        <v>2.1069351520426903E-2</v>
      </c>
      <c r="M94" s="4">
        <f t="shared" si="31"/>
        <v>-7.0818858560794118E-3</v>
      </c>
      <c r="N94" s="1">
        <f t="shared" si="32"/>
        <v>-0.56951308683739899</v>
      </c>
      <c r="O94" s="1">
        <f t="shared" si="33"/>
        <v>-0.63588390501319259</v>
      </c>
      <c r="P94" s="1">
        <f t="shared" si="34"/>
        <v>-0.72079207920792077</v>
      </c>
      <c r="Q94" s="1">
        <f t="shared" si="35"/>
        <v>0.40055857567364883</v>
      </c>
      <c r="R94" s="1">
        <f t="shared" si="36"/>
        <v>1.3924949448710846</v>
      </c>
      <c r="S94" s="1">
        <f t="shared" si="37"/>
        <v>-3.9785875595951752E-2</v>
      </c>
      <c r="T94" s="1"/>
    </row>
    <row r="95" spans="1:20">
      <c r="A95" t="s">
        <v>214</v>
      </c>
      <c r="B95" s="2">
        <v>0.24184049079754602</v>
      </c>
      <c r="C95" s="2">
        <v>0.14899999999999999</v>
      </c>
      <c r="D95" s="2">
        <v>5.7500000000000002E-2</v>
      </c>
      <c r="E95" s="2">
        <v>0.11899999999999999</v>
      </c>
      <c r="F95" s="2">
        <v>3.61E-2</v>
      </c>
      <c r="G95" s="4">
        <v>0.21231308411214955</v>
      </c>
      <c r="H95" s="2">
        <f t="shared" si="26"/>
        <v>-0.22915950920245395</v>
      </c>
      <c r="I95" s="2">
        <f t="shared" si="27"/>
        <v>-0.23</v>
      </c>
      <c r="J95" s="2">
        <f t="shared" si="28"/>
        <v>-0.14450000000000002</v>
      </c>
      <c r="K95" s="2">
        <f t="shared" si="29"/>
        <v>4.7814116216420496E-2</v>
      </c>
      <c r="L95" s="2">
        <f t="shared" si="30"/>
        <v>2.09693515204269E-2</v>
      </c>
      <c r="M95" s="4">
        <f t="shared" si="31"/>
        <v>3.4313084112149561E-2</v>
      </c>
      <c r="N95" s="1">
        <f t="shared" si="32"/>
        <v>-0.4865382360986284</v>
      </c>
      <c r="O95" s="1">
        <f t="shared" si="33"/>
        <v>-0.60686015831134565</v>
      </c>
      <c r="P95" s="1">
        <f t="shared" si="34"/>
        <v>-0.71534653465346543</v>
      </c>
      <c r="Q95" s="1">
        <f t="shared" si="35"/>
        <v>0.67167974428449551</v>
      </c>
      <c r="R95" s="1">
        <f t="shared" si="36"/>
        <v>1.3858858428134295</v>
      </c>
      <c r="S95" s="1">
        <f t="shared" si="37"/>
        <v>0.19277013546151439</v>
      </c>
      <c r="T95" s="1"/>
    </row>
    <row r="96" spans="1:20">
      <c r="A96" t="s">
        <v>105</v>
      </c>
      <c r="B96" s="2">
        <v>0.191</v>
      </c>
      <c r="C96" s="2">
        <v>9.6000000000000002E-2</v>
      </c>
      <c r="D96" s="2">
        <v>2.8000000000000001E-2</v>
      </c>
      <c r="E96" s="2">
        <v>0.106</v>
      </c>
      <c r="F96" s="2">
        <v>3.5799999999999998E-2</v>
      </c>
      <c r="G96" s="4">
        <v>0.19</v>
      </c>
      <c r="H96" s="2">
        <f t="shared" si="26"/>
        <v>-0.27999999999999997</v>
      </c>
      <c r="I96" s="2">
        <f t="shared" si="27"/>
        <v>-0.28300000000000003</v>
      </c>
      <c r="J96" s="2">
        <f t="shared" si="28"/>
        <v>-0.17400000000000002</v>
      </c>
      <c r="K96" s="2">
        <f t="shared" si="29"/>
        <v>3.4814116216420499E-2</v>
      </c>
      <c r="L96" s="2">
        <f t="shared" si="30"/>
        <v>2.0669351520426898E-2</v>
      </c>
      <c r="M96" s="4">
        <f t="shared" si="31"/>
        <v>1.2000000000000011E-2</v>
      </c>
      <c r="N96" s="1">
        <f t="shared" si="32"/>
        <v>-0.59447983014861994</v>
      </c>
      <c r="O96" s="1">
        <f t="shared" si="33"/>
        <v>-0.7467018469656993</v>
      </c>
      <c r="P96" s="1">
        <f t="shared" si="34"/>
        <v>-0.86138613861386137</v>
      </c>
      <c r="Q96" s="1">
        <f t="shared" si="35"/>
        <v>0.48905926801812211</v>
      </c>
      <c r="R96" s="1">
        <f t="shared" si="36"/>
        <v>1.3660585366404645</v>
      </c>
      <c r="S96" s="1">
        <f t="shared" si="37"/>
        <v>6.7415730337078719E-2</v>
      </c>
      <c r="T96" s="1"/>
    </row>
    <row r="97" spans="1:20">
      <c r="A97" t="s">
        <v>204</v>
      </c>
      <c r="B97" s="2">
        <v>0.24643093922651932</v>
      </c>
      <c r="C97" s="2">
        <v>0.154</v>
      </c>
      <c r="D97" s="2">
        <v>6.5000000000000002E-2</v>
      </c>
      <c r="E97" s="2">
        <v>0.123</v>
      </c>
      <c r="F97" s="2">
        <v>3.5499999999999997E-2</v>
      </c>
      <c r="G97" s="4">
        <v>0.22222044088176357</v>
      </c>
      <c r="H97" s="2">
        <f t="shared" si="26"/>
        <v>-0.22456906077348066</v>
      </c>
      <c r="I97" s="2">
        <f t="shared" si="27"/>
        <v>-0.22500000000000001</v>
      </c>
      <c r="J97" s="2">
        <f t="shared" si="28"/>
        <v>-0.13700000000000001</v>
      </c>
      <c r="K97" s="2">
        <f t="shared" si="29"/>
        <v>5.18141162164205E-2</v>
      </c>
      <c r="L97" s="2">
        <f t="shared" si="30"/>
        <v>2.0369351520426897E-2</v>
      </c>
      <c r="M97" s="4">
        <f t="shared" si="31"/>
        <v>4.4220440881763579E-2</v>
      </c>
      <c r="N97" s="1">
        <f t="shared" si="32"/>
        <v>-0.47679206109019251</v>
      </c>
      <c r="O97" s="1">
        <f t="shared" si="33"/>
        <v>-0.59366754617414252</v>
      </c>
      <c r="P97" s="1">
        <f t="shared" si="34"/>
        <v>-0.67821782178217827</v>
      </c>
      <c r="Q97" s="1">
        <f t="shared" si="35"/>
        <v>0.72787066005876433</v>
      </c>
      <c r="R97" s="1">
        <f t="shared" si="36"/>
        <v>1.3462312304674997</v>
      </c>
      <c r="S97" s="1">
        <f t="shared" si="37"/>
        <v>0.24842944315597518</v>
      </c>
      <c r="T97" s="1"/>
    </row>
    <row r="98" spans="1:20">
      <c r="A98" t="s">
        <v>213</v>
      </c>
      <c r="B98" s="2">
        <v>0.25833605220228384</v>
      </c>
      <c r="C98" s="2">
        <v>0.17499999999999999</v>
      </c>
      <c r="D98" s="2">
        <v>8.0199999999999994E-2</v>
      </c>
      <c r="E98" s="2">
        <v>0.114</v>
      </c>
      <c r="F98" s="2">
        <v>3.5200000000000002E-2</v>
      </c>
      <c r="G98" s="4">
        <v>0.21478458049886623</v>
      </c>
      <c r="H98" s="2">
        <f t="shared" ref="H98:H129" si="38">B98-V$2</f>
        <v>-0.21266394779771614</v>
      </c>
      <c r="I98" s="2">
        <f t="shared" ref="I98:I129" si="39">C98-W$2</f>
        <v>-0.20400000000000001</v>
      </c>
      <c r="J98" s="2">
        <f t="shared" ref="J98:J129" si="40">D98-X$2</f>
        <v>-0.12180000000000002</v>
      </c>
      <c r="K98" s="2">
        <f t="shared" ref="K98:K129" si="41">E98-Y$2</f>
        <v>4.2814116216420506E-2</v>
      </c>
      <c r="L98" s="2">
        <f t="shared" ref="L98:L129" si="42">F98-Z$2</f>
        <v>2.0069351520426902E-2</v>
      </c>
      <c r="M98" s="4">
        <f t="shared" ref="M98:M129" si="43">G98-AA$2</f>
        <v>3.6784580498866237E-2</v>
      </c>
      <c r="N98" s="1">
        <f t="shared" ref="N98:N129" si="44">(B98-V$2)/V$2</f>
        <v>-0.45151581273400454</v>
      </c>
      <c r="O98" s="1">
        <f t="shared" ref="O98:O129" si="45">(C98-W$2)/W$2</f>
        <v>-0.53825857519788922</v>
      </c>
      <c r="P98" s="1">
        <f t="shared" ref="P98:P129" si="46">(D98-X$2)/X$2</f>
        <v>-0.60297029702970306</v>
      </c>
      <c r="Q98" s="1">
        <f t="shared" ref="Q98:Q129" si="47">(E98-Y$2)/Y$2</f>
        <v>0.6014410995666597</v>
      </c>
      <c r="R98" s="1">
        <f t="shared" ref="R98:R129" si="48">(F98-Z$2)/Z$2</f>
        <v>1.3264039242945351</v>
      </c>
      <c r="S98" s="1">
        <f t="shared" ref="S98:S129" si="49">(G98-AA$2)/AA$2</f>
        <v>0.20665494662284403</v>
      </c>
      <c r="T98" s="1"/>
    </row>
    <row r="99" spans="1:20">
      <c r="A99" t="s">
        <v>128</v>
      </c>
      <c r="B99" s="2">
        <v>0.191</v>
      </c>
      <c r="C99" s="2">
        <v>0.109</v>
      </c>
      <c r="D99" s="2">
        <v>4.2000000000000003E-2</v>
      </c>
      <c r="E99" s="2">
        <v>0.108</v>
      </c>
      <c r="F99" s="2">
        <v>3.5000000000000003E-2</v>
      </c>
      <c r="G99" s="4">
        <v>0.19700000000000001</v>
      </c>
      <c r="H99" s="2">
        <f t="shared" si="38"/>
        <v>-0.27999999999999997</v>
      </c>
      <c r="I99" s="2">
        <f t="shared" si="39"/>
        <v>-0.27</v>
      </c>
      <c r="J99" s="2">
        <f t="shared" si="40"/>
        <v>-0.16</v>
      </c>
      <c r="K99" s="2">
        <f t="shared" si="41"/>
        <v>3.68141162164205E-2</v>
      </c>
      <c r="L99" s="2">
        <f t="shared" si="42"/>
        <v>1.9869351520426903E-2</v>
      </c>
      <c r="M99" s="4">
        <f t="shared" si="43"/>
        <v>1.9000000000000017E-2</v>
      </c>
      <c r="N99" s="1">
        <f t="shared" si="44"/>
        <v>-0.59447983014861994</v>
      </c>
      <c r="O99" s="1">
        <f t="shared" si="45"/>
        <v>-0.71240105540897103</v>
      </c>
      <c r="P99" s="1">
        <f t="shared" si="46"/>
        <v>-0.79207920792079201</v>
      </c>
      <c r="Q99" s="1">
        <f t="shared" si="47"/>
        <v>0.51715472590525657</v>
      </c>
      <c r="R99" s="1">
        <f t="shared" si="48"/>
        <v>1.3131857201792254</v>
      </c>
      <c r="S99" s="1">
        <f t="shared" si="49"/>
        <v>0.10674157303370796</v>
      </c>
      <c r="T99" s="1"/>
    </row>
    <row r="100" spans="1:20">
      <c r="A100" t="s">
        <v>56</v>
      </c>
      <c r="B100" s="2">
        <v>0.19400000000000001</v>
      </c>
      <c r="C100" s="2">
        <v>0.13200000000000001</v>
      </c>
      <c r="D100" s="2">
        <v>0.06</v>
      </c>
      <c r="E100" s="2">
        <v>0.114635534554834</v>
      </c>
      <c r="F100" s="2">
        <v>3.4955244147572298E-2</v>
      </c>
      <c r="G100" s="4">
        <v>0.158</v>
      </c>
      <c r="H100" s="2">
        <f t="shared" si="38"/>
        <v>-0.27699999999999997</v>
      </c>
      <c r="I100" s="2">
        <f t="shared" si="39"/>
        <v>-0.247</v>
      </c>
      <c r="J100" s="2">
        <f t="shared" si="40"/>
        <v>-0.14200000000000002</v>
      </c>
      <c r="K100" s="2">
        <f t="shared" si="41"/>
        <v>4.3449650771254497E-2</v>
      </c>
      <c r="L100" s="2">
        <f t="shared" si="42"/>
        <v>1.9824595667999198E-2</v>
      </c>
      <c r="M100" s="4">
        <f t="shared" si="43"/>
        <v>-1.999999999999999E-2</v>
      </c>
      <c r="N100" s="1">
        <f t="shared" si="44"/>
        <v>-0.58811040339702758</v>
      </c>
      <c r="O100" s="1">
        <f t="shared" si="45"/>
        <v>-0.65171503957783639</v>
      </c>
      <c r="P100" s="1">
        <f t="shared" si="46"/>
        <v>-0.70297029702970304</v>
      </c>
      <c r="Q100" s="1">
        <f t="shared" si="47"/>
        <v>0.61036891672723825</v>
      </c>
      <c r="R100" s="1">
        <f t="shared" si="48"/>
        <v>1.310227760215505</v>
      </c>
      <c r="S100" s="1">
        <f t="shared" si="49"/>
        <v>-0.11235955056179771</v>
      </c>
      <c r="T100" s="1"/>
    </row>
    <row r="101" spans="1:20">
      <c r="A101" t="s">
        <v>191</v>
      </c>
      <c r="B101" s="2">
        <v>0.1683850267379679</v>
      </c>
      <c r="C101" s="2">
        <v>0.10100000000000001</v>
      </c>
      <c r="D101" s="2">
        <v>4.3400000000000001E-2</v>
      </c>
      <c r="E101" s="2">
        <v>0.104</v>
      </c>
      <c r="F101" s="2">
        <v>3.4700000000000002E-2</v>
      </c>
      <c r="G101" s="4">
        <v>0.16595238095238093</v>
      </c>
      <c r="H101" s="2">
        <f t="shared" si="38"/>
        <v>-0.30261497326203207</v>
      </c>
      <c r="I101" s="2">
        <f t="shared" si="39"/>
        <v>-0.27800000000000002</v>
      </c>
      <c r="J101" s="2">
        <f t="shared" si="40"/>
        <v>-0.15860000000000002</v>
      </c>
      <c r="K101" s="2">
        <f t="shared" si="41"/>
        <v>3.2814116216420497E-2</v>
      </c>
      <c r="L101" s="2">
        <f t="shared" si="42"/>
        <v>1.9569351520426902E-2</v>
      </c>
      <c r="M101" s="4">
        <f t="shared" si="43"/>
        <v>-1.2047619047619057E-2</v>
      </c>
      <c r="N101" s="1">
        <f t="shared" si="44"/>
        <v>-0.64249463537586426</v>
      </c>
      <c r="O101" s="1">
        <f t="shared" si="45"/>
        <v>-0.73350923482849606</v>
      </c>
      <c r="P101" s="1">
        <f t="shared" si="46"/>
        <v>-0.78514851485148518</v>
      </c>
      <c r="Q101" s="1">
        <f t="shared" si="47"/>
        <v>0.46096381013098769</v>
      </c>
      <c r="R101" s="1">
        <f t="shared" si="48"/>
        <v>1.2933584140062606</v>
      </c>
      <c r="S101" s="1">
        <f t="shared" si="49"/>
        <v>-6.768325307651156E-2</v>
      </c>
      <c r="T101" s="1"/>
    </row>
    <row r="102" spans="1:20">
      <c r="A102" t="s">
        <v>97</v>
      </c>
      <c r="B102" s="2">
        <v>0.21</v>
      </c>
      <c r="C102" s="2">
        <v>0.124</v>
      </c>
      <c r="D102" s="2">
        <v>4.5999999999999999E-2</v>
      </c>
      <c r="E102" s="2">
        <v>0.114</v>
      </c>
      <c r="F102" s="2">
        <v>3.4599999999999999E-2</v>
      </c>
      <c r="G102" s="4">
        <v>0.184</v>
      </c>
      <c r="H102" s="2">
        <f t="shared" si="38"/>
        <v>-0.26100000000000001</v>
      </c>
      <c r="I102" s="2">
        <f t="shared" si="39"/>
        <v>-0.255</v>
      </c>
      <c r="J102" s="2">
        <f t="shared" si="40"/>
        <v>-0.15600000000000003</v>
      </c>
      <c r="K102" s="2">
        <f t="shared" si="41"/>
        <v>4.2814116216420506E-2</v>
      </c>
      <c r="L102" s="2">
        <f t="shared" si="42"/>
        <v>1.9469351520426899E-2</v>
      </c>
      <c r="M102" s="4">
        <f t="shared" si="43"/>
        <v>6.0000000000000053E-3</v>
      </c>
      <c r="N102" s="1">
        <f t="shared" si="44"/>
        <v>-0.55414012738853513</v>
      </c>
      <c r="O102" s="1">
        <f t="shared" si="45"/>
        <v>-0.67282321899736153</v>
      </c>
      <c r="P102" s="1">
        <f t="shared" si="46"/>
        <v>-0.77227722772277241</v>
      </c>
      <c r="Q102" s="1">
        <f t="shared" si="47"/>
        <v>0.6014410995666597</v>
      </c>
      <c r="R102" s="1">
        <f t="shared" si="48"/>
        <v>1.2867493119486053</v>
      </c>
      <c r="S102" s="1">
        <f t="shared" si="49"/>
        <v>3.370786516853936E-2</v>
      </c>
      <c r="T102" s="1"/>
    </row>
    <row r="103" spans="1:20">
      <c r="A103" t="s">
        <v>4</v>
      </c>
      <c r="B103" s="2">
        <v>0.183</v>
      </c>
      <c r="C103" s="2">
        <v>0.107</v>
      </c>
      <c r="D103" s="2">
        <v>3.7999999999999999E-2</v>
      </c>
      <c r="E103" s="2">
        <v>0.105</v>
      </c>
      <c r="F103" s="2">
        <v>3.4500000000000003E-2</v>
      </c>
      <c r="G103" s="4">
        <v>0.17100000000000001</v>
      </c>
      <c r="H103" s="2">
        <f t="shared" si="38"/>
        <v>-0.28799999999999998</v>
      </c>
      <c r="I103" s="2">
        <f t="shared" si="39"/>
        <v>-0.27200000000000002</v>
      </c>
      <c r="J103" s="2">
        <f t="shared" si="40"/>
        <v>-0.16400000000000001</v>
      </c>
      <c r="K103" s="2">
        <f t="shared" si="41"/>
        <v>3.3814116216420498E-2</v>
      </c>
      <c r="L103" s="2">
        <f t="shared" si="42"/>
        <v>1.9369351520426903E-2</v>
      </c>
      <c r="M103" s="4">
        <f t="shared" si="43"/>
        <v>-6.9999999999999785E-3</v>
      </c>
      <c r="N103" s="1">
        <f t="shared" si="44"/>
        <v>-0.61146496815286622</v>
      </c>
      <c r="O103" s="1">
        <f t="shared" si="45"/>
        <v>-0.71767810026385226</v>
      </c>
      <c r="P103" s="1">
        <f t="shared" si="46"/>
        <v>-0.81188118811881183</v>
      </c>
      <c r="Q103" s="1">
        <f t="shared" si="47"/>
        <v>0.4750115390745549</v>
      </c>
      <c r="R103" s="1">
        <f t="shared" si="48"/>
        <v>1.2801402098909507</v>
      </c>
      <c r="S103" s="1">
        <f t="shared" si="49"/>
        <v>-3.9325842696629094E-2</v>
      </c>
      <c r="T103" s="1"/>
    </row>
    <row r="104" spans="1:20">
      <c r="A104" t="s">
        <v>11</v>
      </c>
      <c r="B104" s="2">
        <v>0.29599999999999999</v>
      </c>
      <c r="C104" s="2">
        <v>0.20100000000000001</v>
      </c>
      <c r="D104" s="2">
        <v>9.5000000000000001E-2</v>
      </c>
      <c r="E104" s="2">
        <v>0.14299999999999999</v>
      </c>
      <c r="F104" s="2">
        <v>3.44E-2</v>
      </c>
      <c r="G104" s="4">
        <v>0.23799999999999999</v>
      </c>
      <c r="H104" s="2">
        <f t="shared" si="38"/>
        <v>-0.17499999999999999</v>
      </c>
      <c r="I104" s="2">
        <f t="shared" si="39"/>
        <v>-0.17799999999999999</v>
      </c>
      <c r="J104" s="2">
        <f t="shared" si="40"/>
        <v>-0.10700000000000001</v>
      </c>
      <c r="K104" s="2">
        <f t="shared" si="41"/>
        <v>7.181411621642049E-2</v>
      </c>
      <c r="L104" s="2">
        <f t="shared" si="42"/>
        <v>1.92693515204269E-2</v>
      </c>
      <c r="M104" s="4">
        <f t="shared" si="43"/>
        <v>0.06</v>
      </c>
      <c r="N104" s="1">
        <f t="shared" si="44"/>
        <v>-0.37154989384288745</v>
      </c>
      <c r="O104" s="1">
        <f t="shared" si="45"/>
        <v>-0.46965699208443268</v>
      </c>
      <c r="P104" s="1">
        <f t="shared" si="46"/>
        <v>-0.52970297029702973</v>
      </c>
      <c r="Q104" s="1">
        <f t="shared" si="47"/>
        <v>1.008825238930108</v>
      </c>
      <c r="R104" s="1">
        <f t="shared" si="48"/>
        <v>1.2735311078332956</v>
      </c>
      <c r="S104" s="1">
        <f t="shared" si="49"/>
        <v>0.33707865168539325</v>
      </c>
      <c r="T104" s="1"/>
    </row>
    <row r="105" spans="1:20">
      <c r="A105" t="s">
        <v>185</v>
      </c>
      <c r="B105" s="2">
        <v>0.17213488372093022</v>
      </c>
      <c r="C105" s="2">
        <v>0.10199999999999999</v>
      </c>
      <c r="D105" s="2">
        <v>4.48E-2</v>
      </c>
      <c r="E105" s="2">
        <v>8.3699999999999997E-2</v>
      </c>
      <c r="F105" s="2">
        <v>3.39E-2</v>
      </c>
      <c r="G105" s="4">
        <v>0.13950967741935483</v>
      </c>
      <c r="H105" s="2">
        <f t="shared" si="38"/>
        <v>-0.29886511627906975</v>
      </c>
      <c r="I105" s="2">
        <f t="shared" si="39"/>
        <v>-0.27700000000000002</v>
      </c>
      <c r="J105" s="2">
        <f t="shared" si="40"/>
        <v>-0.15720000000000001</v>
      </c>
      <c r="K105" s="2">
        <f t="shared" si="41"/>
        <v>1.2514116216420498E-2</v>
      </c>
      <c r="L105" s="2">
        <f t="shared" si="42"/>
        <v>1.87693515204269E-2</v>
      </c>
      <c r="M105" s="4">
        <f t="shared" si="43"/>
        <v>-3.8490322580645164E-2</v>
      </c>
      <c r="N105" s="1">
        <f t="shared" si="44"/>
        <v>-0.63453315558188916</v>
      </c>
      <c r="O105" s="1">
        <f t="shared" si="45"/>
        <v>-0.7308707124010555</v>
      </c>
      <c r="P105" s="1">
        <f t="shared" si="46"/>
        <v>-0.77821782178217824</v>
      </c>
      <c r="Q105" s="1">
        <f t="shared" si="47"/>
        <v>0.17579491257657376</v>
      </c>
      <c r="R105" s="1">
        <f t="shared" si="48"/>
        <v>1.2404855975450209</v>
      </c>
      <c r="S105" s="1">
        <f t="shared" si="49"/>
        <v>-0.21623776730699532</v>
      </c>
      <c r="T105" s="1"/>
    </row>
    <row r="106" spans="1:20">
      <c r="A106" t="s">
        <v>199</v>
      </c>
      <c r="B106" s="2">
        <v>0.17406772009029345</v>
      </c>
      <c r="C106" s="2">
        <v>0.114</v>
      </c>
      <c r="D106" s="2">
        <v>5.1900000000000002E-2</v>
      </c>
      <c r="E106" s="2">
        <v>8.4000000000000005E-2</v>
      </c>
      <c r="F106" s="2">
        <v>3.39E-2</v>
      </c>
      <c r="G106" s="4">
        <v>0.13414561664190194</v>
      </c>
      <c r="H106" s="2">
        <f t="shared" si="38"/>
        <v>-0.2969322799097065</v>
      </c>
      <c r="I106" s="2">
        <f t="shared" si="39"/>
        <v>-0.26500000000000001</v>
      </c>
      <c r="J106" s="2">
        <f t="shared" si="40"/>
        <v>-0.15010000000000001</v>
      </c>
      <c r="K106" s="2">
        <f t="shared" si="41"/>
        <v>1.2814116216420507E-2</v>
      </c>
      <c r="L106" s="2">
        <f t="shared" si="42"/>
        <v>1.87693515204269E-2</v>
      </c>
      <c r="M106" s="4">
        <f t="shared" si="43"/>
        <v>-4.3854383358098048E-2</v>
      </c>
      <c r="N106" s="1">
        <f t="shared" si="44"/>
        <v>-0.63042946902273145</v>
      </c>
      <c r="O106" s="1">
        <f t="shared" si="45"/>
        <v>-0.69920844327176779</v>
      </c>
      <c r="P106" s="1">
        <f t="shared" si="46"/>
        <v>-0.74306930693069306</v>
      </c>
      <c r="Q106" s="1">
        <f t="shared" si="47"/>
        <v>0.18000923125964405</v>
      </c>
      <c r="R106" s="1">
        <f t="shared" si="48"/>
        <v>1.2404855975450209</v>
      </c>
      <c r="S106" s="1">
        <f t="shared" si="49"/>
        <v>-0.246372940214034</v>
      </c>
      <c r="T106" s="1"/>
    </row>
    <row r="107" spans="1:20">
      <c r="A107" t="s">
        <v>174</v>
      </c>
      <c r="B107" s="2">
        <v>0.16930434782608697</v>
      </c>
      <c r="C107" s="2">
        <v>0.115</v>
      </c>
      <c r="D107" s="2">
        <v>4.65E-2</v>
      </c>
      <c r="E107" s="2">
        <v>9.8599999999999993E-2</v>
      </c>
      <c r="F107" s="2">
        <v>3.3599999999999998E-2</v>
      </c>
      <c r="G107" s="4">
        <v>0.17677749360613812</v>
      </c>
      <c r="H107" s="2">
        <f t="shared" si="38"/>
        <v>-0.30169565217391303</v>
      </c>
      <c r="I107" s="2">
        <f t="shared" si="39"/>
        <v>-0.26400000000000001</v>
      </c>
      <c r="J107" s="2">
        <f t="shared" si="40"/>
        <v>-0.15550000000000003</v>
      </c>
      <c r="K107" s="2">
        <f t="shared" si="41"/>
        <v>2.7414116216420495E-2</v>
      </c>
      <c r="L107" s="2">
        <f t="shared" si="42"/>
        <v>1.8469351520426898E-2</v>
      </c>
      <c r="M107" s="4">
        <f t="shared" si="43"/>
        <v>-1.2225063938618719E-3</v>
      </c>
      <c r="N107" s="1">
        <f t="shared" si="44"/>
        <v>-0.64054278593187486</v>
      </c>
      <c r="O107" s="1">
        <f t="shared" si="45"/>
        <v>-0.69656992084432723</v>
      </c>
      <c r="P107" s="1">
        <f t="shared" si="46"/>
        <v>-0.76980198019801993</v>
      </c>
      <c r="Q107" s="1">
        <f t="shared" si="47"/>
        <v>0.38510607383572487</v>
      </c>
      <c r="R107" s="1">
        <f t="shared" si="48"/>
        <v>1.2206582913720561</v>
      </c>
      <c r="S107" s="1">
        <f t="shared" si="49"/>
        <v>-6.8680134486622021E-3</v>
      </c>
      <c r="T107" s="1"/>
    </row>
    <row r="108" spans="1:20">
      <c r="A108" t="s">
        <v>114</v>
      </c>
      <c r="B108" s="2">
        <v>0.22600000000000001</v>
      </c>
      <c r="C108" s="2">
        <v>0.11899999999999999</v>
      </c>
      <c r="D108" s="2">
        <v>4.5999999999999999E-2</v>
      </c>
      <c r="E108" s="2">
        <v>0.109</v>
      </c>
      <c r="F108" s="2">
        <v>3.3300000000000003E-2</v>
      </c>
      <c r="G108" s="4">
        <v>0.20799999999999999</v>
      </c>
      <c r="H108" s="2">
        <f t="shared" si="38"/>
        <v>-0.24499999999999997</v>
      </c>
      <c r="I108" s="2">
        <f t="shared" si="39"/>
        <v>-0.26</v>
      </c>
      <c r="J108" s="2">
        <f t="shared" si="40"/>
        <v>-0.15600000000000003</v>
      </c>
      <c r="K108" s="2">
        <f t="shared" si="41"/>
        <v>3.7814116216420501E-2</v>
      </c>
      <c r="L108" s="2">
        <f t="shared" si="42"/>
        <v>1.8169351520426903E-2</v>
      </c>
      <c r="M108" s="4">
        <f t="shared" si="43"/>
        <v>0.03</v>
      </c>
      <c r="N108" s="1">
        <f t="shared" si="44"/>
        <v>-0.52016985138004246</v>
      </c>
      <c r="O108" s="1">
        <f t="shared" si="45"/>
        <v>-0.68601583113456466</v>
      </c>
      <c r="P108" s="1">
        <f t="shared" si="46"/>
        <v>-0.77227722772277241</v>
      </c>
      <c r="Q108" s="1">
        <f t="shared" si="47"/>
        <v>0.53120245484882367</v>
      </c>
      <c r="R108" s="1">
        <f t="shared" si="48"/>
        <v>1.2008309851990917</v>
      </c>
      <c r="S108" s="1">
        <f t="shared" si="49"/>
        <v>0.16853932584269662</v>
      </c>
      <c r="T108" s="1"/>
    </row>
    <row r="109" spans="1:20">
      <c r="A109" t="s">
        <v>60</v>
      </c>
      <c r="B109" s="2">
        <v>0.216</v>
      </c>
      <c r="C109" s="2">
        <v>0.123</v>
      </c>
      <c r="D109" s="2">
        <v>5.5E-2</v>
      </c>
      <c r="E109" s="2">
        <v>0.1059632508602</v>
      </c>
      <c r="F109" s="2">
        <v>3.3047965145417899E-2</v>
      </c>
      <c r="G109" s="4">
        <v>0.19700000000000001</v>
      </c>
      <c r="H109" s="2">
        <f t="shared" si="38"/>
        <v>-0.255</v>
      </c>
      <c r="I109" s="2">
        <f t="shared" si="39"/>
        <v>-0.25600000000000001</v>
      </c>
      <c r="J109" s="2">
        <f t="shared" si="40"/>
        <v>-0.14700000000000002</v>
      </c>
      <c r="K109" s="2">
        <f t="shared" si="41"/>
        <v>3.4777367076620505E-2</v>
      </c>
      <c r="L109" s="2">
        <f t="shared" si="42"/>
        <v>1.7917316665844799E-2</v>
      </c>
      <c r="M109" s="4">
        <f t="shared" si="43"/>
        <v>1.9000000000000017E-2</v>
      </c>
      <c r="N109" s="1">
        <f t="shared" si="44"/>
        <v>-0.54140127388535031</v>
      </c>
      <c r="O109" s="1">
        <f t="shared" si="45"/>
        <v>-0.67546174142480209</v>
      </c>
      <c r="P109" s="1">
        <f t="shared" si="46"/>
        <v>-0.72772277227722781</v>
      </c>
      <c r="Q109" s="1">
        <f t="shared" si="47"/>
        <v>0.48854302606330252</v>
      </c>
      <c r="R109" s="1">
        <f t="shared" si="48"/>
        <v>1.1841737444388982</v>
      </c>
      <c r="S109" s="1">
        <f t="shared" si="49"/>
        <v>0.10674157303370796</v>
      </c>
      <c r="T109" s="1"/>
    </row>
    <row r="110" spans="1:20">
      <c r="A110" t="s">
        <v>120</v>
      </c>
      <c r="B110" s="2">
        <v>0.221</v>
      </c>
      <c r="C110" s="2">
        <v>0.11899999999999999</v>
      </c>
      <c r="D110" s="2">
        <v>4.5999999999999999E-2</v>
      </c>
      <c r="E110" s="2">
        <v>0.107</v>
      </c>
      <c r="F110" s="2">
        <v>3.2899999999999999E-2</v>
      </c>
      <c r="G110" s="4">
        <v>0.20899999999999999</v>
      </c>
      <c r="H110" s="2">
        <f t="shared" si="38"/>
        <v>-0.24999999999999997</v>
      </c>
      <c r="I110" s="2">
        <f t="shared" si="39"/>
        <v>-0.26</v>
      </c>
      <c r="J110" s="2">
        <f t="shared" si="40"/>
        <v>-0.15600000000000003</v>
      </c>
      <c r="K110" s="2">
        <f t="shared" si="41"/>
        <v>3.58141162164205E-2</v>
      </c>
      <c r="L110" s="2">
        <f t="shared" si="42"/>
        <v>1.7769351520426899E-2</v>
      </c>
      <c r="M110" s="4">
        <f t="shared" si="43"/>
        <v>3.1E-2</v>
      </c>
      <c r="N110" s="1">
        <f t="shared" si="44"/>
        <v>-0.53078556263269638</v>
      </c>
      <c r="O110" s="1">
        <f t="shared" si="45"/>
        <v>-0.68601583113456466</v>
      </c>
      <c r="P110" s="1">
        <f t="shared" si="46"/>
        <v>-0.77227722772277241</v>
      </c>
      <c r="Q110" s="1">
        <f t="shared" si="47"/>
        <v>0.50310699696168937</v>
      </c>
      <c r="R110" s="1">
        <f t="shared" si="48"/>
        <v>1.1743945769684716</v>
      </c>
      <c r="S110" s="1">
        <f t="shared" si="49"/>
        <v>0.17415730337078653</v>
      </c>
      <c r="T110" s="1"/>
    </row>
    <row r="111" spans="1:20">
      <c r="A111" t="s">
        <v>192</v>
      </c>
      <c r="B111" s="2">
        <v>0.1979591836734694</v>
      </c>
      <c r="C111" s="2">
        <v>0.125</v>
      </c>
      <c r="D111" s="2">
        <v>5.3699999999999998E-2</v>
      </c>
      <c r="E111" s="2">
        <v>0.11700000000000001</v>
      </c>
      <c r="F111" s="2">
        <v>3.2800000000000003E-2</v>
      </c>
      <c r="G111" s="4">
        <v>0.19995444191343961</v>
      </c>
      <c r="H111" s="2">
        <f t="shared" si="38"/>
        <v>-0.27304081632653054</v>
      </c>
      <c r="I111" s="2">
        <f t="shared" si="39"/>
        <v>-0.254</v>
      </c>
      <c r="J111" s="2">
        <f t="shared" si="40"/>
        <v>-0.14830000000000002</v>
      </c>
      <c r="K111" s="2">
        <f t="shared" si="41"/>
        <v>4.5814116216420508E-2</v>
      </c>
      <c r="L111" s="2">
        <f t="shared" si="42"/>
        <v>1.7669351520426903E-2</v>
      </c>
      <c r="M111" s="4">
        <f t="shared" si="43"/>
        <v>2.1954441913439621E-2</v>
      </c>
      <c r="N111" s="1">
        <f t="shared" si="44"/>
        <v>-0.57970449326227291</v>
      </c>
      <c r="O111" s="1">
        <f t="shared" si="45"/>
        <v>-0.67018469656992086</v>
      </c>
      <c r="P111" s="1">
        <f t="shared" si="46"/>
        <v>-0.73415841584158414</v>
      </c>
      <c r="Q111" s="1">
        <f t="shared" si="47"/>
        <v>0.64358428639736132</v>
      </c>
      <c r="R111" s="1">
        <f t="shared" si="48"/>
        <v>1.167785474910817</v>
      </c>
      <c r="S111" s="1">
        <f t="shared" si="49"/>
        <v>0.12333956131145855</v>
      </c>
      <c r="T111" s="1"/>
    </row>
    <row r="112" spans="1:20">
      <c r="A112" t="s">
        <v>72</v>
      </c>
      <c r="B112" s="2">
        <v>0.214</v>
      </c>
      <c r="C112" s="2">
        <v>0.13300000000000001</v>
      </c>
      <c r="D112" s="2">
        <v>5.7000000000000002E-2</v>
      </c>
      <c r="E112" s="2">
        <v>0.11810183343353001</v>
      </c>
      <c r="F112" s="2">
        <v>3.2479432878081201E-2</v>
      </c>
      <c r="G112" s="4">
        <v>0.19</v>
      </c>
      <c r="H112" s="2">
        <f t="shared" si="38"/>
        <v>-0.25700000000000001</v>
      </c>
      <c r="I112" s="2">
        <f t="shared" si="39"/>
        <v>-0.246</v>
      </c>
      <c r="J112" s="2">
        <f t="shared" si="40"/>
        <v>-0.14500000000000002</v>
      </c>
      <c r="K112" s="2">
        <f t="shared" si="41"/>
        <v>4.6915949649950509E-2</v>
      </c>
      <c r="L112" s="2">
        <f t="shared" si="42"/>
        <v>1.7348784398508101E-2</v>
      </c>
      <c r="M112" s="4">
        <f t="shared" si="43"/>
        <v>1.2000000000000011E-2</v>
      </c>
      <c r="N112" s="1">
        <f t="shared" si="44"/>
        <v>-0.54564755838641188</v>
      </c>
      <c r="O112" s="1">
        <f t="shared" si="45"/>
        <v>-0.64907651715039572</v>
      </c>
      <c r="P112" s="1">
        <f t="shared" si="46"/>
        <v>-0.7178217821782179</v>
      </c>
      <c r="Q112" s="1">
        <f t="shared" si="47"/>
        <v>0.65906254381255069</v>
      </c>
      <c r="R112" s="1">
        <f t="shared" si="48"/>
        <v>1.1465988666599163</v>
      </c>
      <c r="S112" s="1">
        <f t="shared" si="49"/>
        <v>6.7415730337078719E-2</v>
      </c>
      <c r="T112" s="1"/>
    </row>
    <row r="113" spans="1:20">
      <c r="A113" t="s">
        <v>64</v>
      </c>
      <c r="B113" s="2">
        <v>0.20799999999999999</v>
      </c>
      <c r="C113" s="2">
        <v>0.122</v>
      </c>
      <c r="D113" s="2">
        <v>5.5E-2</v>
      </c>
      <c r="E113" s="2">
        <v>0.105543633570825</v>
      </c>
      <c r="F113" s="2">
        <v>3.2444541892546697E-2</v>
      </c>
      <c r="G113" s="4">
        <v>0.189</v>
      </c>
      <c r="H113" s="2">
        <f t="shared" si="38"/>
        <v>-0.26300000000000001</v>
      </c>
      <c r="I113" s="2">
        <f t="shared" si="39"/>
        <v>-0.25700000000000001</v>
      </c>
      <c r="J113" s="2">
        <f t="shared" si="40"/>
        <v>-0.14700000000000002</v>
      </c>
      <c r="K113" s="2">
        <f t="shared" si="41"/>
        <v>3.4357749787245498E-2</v>
      </c>
      <c r="L113" s="2">
        <f t="shared" si="42"/>
        <v>1.7313893412973597E-2</v>
      </c>
      <c r="M113" s="4">
        <f t="shared" si="43"/>
        <v>1.100000000000001E-2</v>
      </c>
      <c r="N113" s="1">
        <f t="shared" si="44"/>
        <v>-0.5583864118895967</v>
      </c>
      <c r="O113" s="1">
        <f t="shared" si="45"/>
        <v>-0.67810026385224276</v>
      </c>
      <c r="P113" s="1">
        <f t="shared" si="46"/>
        <v>-0.72772277227722781</v>
      </c>
      <c r="Q113" s="1">
        <f t="shared" si="47"/>
        <v>0.48264835612212803</v>
      </c>
      <c r="R113" s="1">
        <f t="shared" si="48"/>
        <v>1.1442928858170192</v>
      </c>
      <c r="S113" s="1">
        <f t="shared" si="49"/>
        <v>6.1797752808988825E-2</v>
      </c>
      <c r="T113" s="1"/>
    </row>
    <row r="114" spans="1:20">
      <c r="A114" t="s">
        <v>201</v>
      </c>
      <c r="B114" s="2">
        <v>0.25446931407942236</v>
      </c>
      <c r="C114" s="2">
        <v>0.14299999999999999</v>
      </c>
      <c r="D114" s="2">
        <v>5.8999999999999997E-2</v>
      </c>
      <c r="E114" s="2">
        <v>0.105</v>
      </c>
      <c r="F114" s="2">
        <v>3.2300000000000002E-2</v>
      </c>
      <c r="G114" s="4">
        <v>0.19035545023696684</v>
      </c>
      <c r="H114" s="2">
        <f t="shared" si="38"/>
        <v>-0.21653068592057761</v>
      </c>
      <c r="I114" s="2">
        <f t="shared" si="39"/>
        <v>-0.23600000000000002</v>
      </c>
      <c r="J114" s="2">
        <f t="shared" si="40"/>
        <v>-0.14300000000000002</v>
      </c>
      <c r="K114" s="2">
        <f t="shared" si="41"/>
        <v>3.3814116216420498E-2</v>
      </c>
      <c r="L114" s="2">
        <f t="shared" si="42"/>
        <v>1.7169351520426902E-2</v>
      </c>
      <c r="M114" s="4">
        <f t="shared" si="43"/>
        <v>1.2355450236966853E-2</v>
      </c>
      <c r="N114" s="1">
        <f t="shared" si="44"/>
        <v>-0.45972544781438984</v>
      </c>
      <c r="O114" s="1">
        <f t="shared" si="45"/>
        <v>-0.62269129287598945</v>
      </c>
      <c r="P114" s="1">
        <f t="shared" si="46"/>
        <v>-0.70792079207920799</v>
      </c>
      <c r="Q114" s="1">
        <f t="shared" si="47"/>
        <v>0.4750115390745549</v>
      </c>
      <c r="R114" s="1">
        <f t="shared" si="48"/>
        <v>1.1347399646225422</v>
      </c>
      <c r="S114" s="1">
        <f t="shared" si="49"/>
        <v>6.9412641780712658E-2</v>
      </c>
      <c r="T114" s="1"/>
    </row>
    <row r="115" spans="1:20">
      <c r="A115" t="s">
        <v>17</v>
      </c>
      <c r="B115" s="2">
        <v>0.183</v>
      </c>
      <c r="C115" s="2">
        <v>0.121</v>
      </c>
      <c r="D115" s="2">
        <v>4.9000000000000002E-2</v>
      </c>
      <c r="E115" s="2">
        <v>8.6499999999999994E-2</v>
      </c>
      <c r="F115" s="2">
        <v>3.2300000000000002E-2</v>
      </c>
      <c r="G115" s="4">
        <v>0.14599999999999999</v>
      </c>
      <c r="H115" s="2">
        <f t="shared" si="38"/>
        <v>-0.28799999999999998</v>
      </c>
      <c r="I115" s="2">
        <f t="shared" si="39"/>
        <v>-0.25800000000000001</v>
      </c>
      <c r="J115" s="2">
        <f t="shared" si="40"/>
        <v>-0.15300000000000002</v>
      </c>
      <c r="K115" s="2">
        <f t="shared" si="41"/>
        <v>1.5314116216420495E-2</v>
      </c>
      <c r="L115" s="2">
        <f t="shared" si="42"/>
        <v>1.7169351520426902E-2</v>
      </c>
      <c r="M115" s="4">
        <f t="shared" si="43"/>
        <v>-3.2000000000000001E-2</v>
      </c>
      <c r="N115" s="1">
        <f t="shared" si="44"/>
        <v>-0.61146496815286622</v>
      </c>
      <c r="O115" s="1">
        <f t="shared" si="45"/>
        <v>-0.68073878627968343</v>
      </c>
      <c r="P115" s="1">
        <f t="shared" si="46"/>
        <v>-0.75742574257425754</v>
      </c>
      <c r="Q115" s="1">
        <f t="shared" si="47"/>
        <v>0.21512855361856187</v>
      </c>
      <c r="R115" s="1">
        <f t="shared" si="48"/>
        <v>1.1347399646225422</v>
      </c>
      <c r="S115" s="1">
        <f t="shared" si="49"/>
        <v>-0.17977528089887643</v>
      </c>
      <c r="T115" s="1"/>
    </row>
    <row r="116" spans="1:20">
      <c r="A116" t="s">
        <v>10</v>
      </c>
      <c r="B116" s="2">
        <v>0.183</v>
      </c>
      <c r="C116" s="2">
        <v>0.121</v>
      </c>
      <c r="D116" s="2">
        <v>4.9000000000000002E-2</v>
      </c>
      <c r="E116" s="2">
        <v>8.6499999999999994E-2</v>
      </c>
      <c r="F116" s="2">
        <v>3.2300000000000002E-2</v>
      </c>
      <c r="G116" s="4">
        <v>0.14599999999999999</v>
      </c>
      <c r="H116" s="2">
        <f t="shared" si="38"/>
        <v>-0.28799999999999998</v>
      </c>
      <c r="I116" s="2">
        <f t="shared" si="39"/>
        <v>-0.25800000000000001</v>
      </c>
      <c r="J116" s="2">
        <f t="shared" si="40"/>
        <v>-0.15300000000000002</v>
      </c>
      <c r="K116" s="2">
        <f t="shared" si="41"/>
        <v>1.5314116216420495E-2</v>
      </c>
      <c r="L116" s="2">
        <f t="shared" si="42"/>
        <v>1.7169351520426902E-2</v>
      </c>
      <c r="M116" s="4">
        <f t="shared" si="43"/>
        <v>-3.2000000000000001E-2</v>
      </c>
      <c r="N116" s="1">
        <f t="shared" si="44"/>
        <v>-0.61146496815286622</v>
      </c>
      <c r="O116" s="1">
        <f t="shared" si="45"/>
        <v>-0.68073878627968343</v>
      </c>
      <c r="P116" s="1">
        <f t="shared" si="46"/>
        <v>-0.75742574257425754</v>
      </c>
      <c r="Q116" s="1">
        <f t="shared" si="47"/>
        <v>0.21512855361856187</v>
      </c>
      <c r="R116" s="1">
        <f t="shared" si="48"/>
        <v>1.1347399646225422</v>
      </c>
      <c r="S116" s="1">
        <f t="shared" si="49"/>
        <v>-0.17977528089887643</v>
      </c>
      <c r="T116" s="1"/>
    </row>
    <row r="117" spans="1:20">
      <c r="A117" t="s">
        <v>197</v>
      </c>
      <c r="B117" s="2">
        <v>0.16307407407407407</v>
      </c>
      <c r="C117" s="2">
        <v>0.112</v>
      </c>
      <c r="D117" s="2">
        <v>4.1500000000000002E-2</v>
      </c>
      <c r="E117" s="2">
        <v>0.109</v>
      </c>
      <c r="F117" s="2">
        <v>3.2099999999999997E-2</v>
      </c>
      <c r="G117" s="4">
        <v>0.15549295774647887</v>
      </c>
      <c r="H117" s="2">
        <f t="shared" si="38"/>
        <v>-0.30792592592592594</v>
      </c>
      <c r="I117" s="2">
        <f t="shared" si="39"/>
        <v>-0.26700000000000002</v>
      </c>
      <c r="J117" s="2">
        <f t="shared" si="40"/>
        <v>-0.1605</v>
      </c>
      <c r="K117" s="2">
        <f t="shared" si="41"/>
        <v>3.7814116216420501E-2</v>
      </c>
      <c r="L117" s="2">
        <f t="shared" si="42"/>
        <v>1.6969351520426897E-2</v>
      </c>
      <c r="M117" s="4">
        <f t="shared" si="43"/>
        <v>-2.2507042253521126E-2</v>
      </c>
      <c r="N117" s="1">
        <f t="shared" si="44"/>
        <v>-0.65377054336714635</v>
      </c>
      <c r="O117" s="1">
        <f t="shared" si="45"/>
        <v>-0.70448548812664913</v>
      </c>
      <c r="P117" s="1">
        <f t="shared" si="46"/>
        <v>-0.79455445544554448</v>
      </c>
      <c r="Q117" s="1">
        <f t="shared" si="47"/>
        <v>0.53120245484882367</v>
      </c>
      <c r="R117" s="1">
        <f t="shared" si="48"/>
        <v>1.1215217605072321</v>
      </c>
      <c r="S117" s="1">
        <f t="shared" si="49"/>
        <v>-0.12644405760405128</v>
      </c>
      <c r="T117" s="1"/>
    </row>
    <row r="118" spans="1:20">
      <c r="A118" t="s">
        <v>37</v>
      </c>
      <c r="B118" s="2">
        <v>0.156</v>
      </c>
      <c r="C118" s="2">
        <v>0.114</v>
      </c>
      <c r="D118" s="2">
        <v>4.7E-2</v>
      </c>
      <c r="E118" s="2">
        <v>8.2699999999999996E-2</v>
      </c>
      <c r="F118" s="2">
        <v>3.2099999999999997E-2</v>
      </c>
      <c r="G118" s="4">
        <v>0.124</v>
      </c>
      <c r="H118" s="2">
        <f t="shared" si="38"/>
        <v>-0.31499999999999995</v>
      </c>
      <c r="I118" s="2">
        <f t="shared" si="39"/>
        <v>-0.26500000000000001</v>
      </c>
      <c r="J118" s="2">
        <f t="shared" si="40"/>
        <v>-0.15500000000000003</v>
      </c>
      <c r="K118" s="2">
        <f t="shared" si="41"/>
        <v>1.1514116216420497E-2</v>
      </c>
      <c r="L118" s="2">
        <f t="shared" si="42"/>
        <v>1.6969351520426897E-2</v>
      </c>
      <c r="M118" s="4">
        <f t="shared" si="43"/>
        <v>-5.3999999999999992E-2</v>
      </c>
      <c r="N118" s="1">
        <f t="shared" si="44"/>
        <v>-0.66878980891719741</v>
      </c>
      <c r="O118" s="1">
        <f t="shared" si="45"/>
        <v>-0.69920844327176779</v>
      </c>
      <c r="P118" s="1">
        <f t="shared" si="46"/>
        <v>-0.76732673267326745</v>
      </c>
      <c r="Q118" s="1">
        <f t="shared" si="47"/>
        <v>0.16174718363300658</v>
      </c>
      <c r="R118" s="1">
        <f t="shared" si="48"/>
        <v>1.1215217605072321</v>
      </c>
      <c r="S118" s="1">
        <f t="shared" si="49"/>
        <v>-0.3033707865168539</v>
      </c>
      <c r="T118" s="1"/>
    </row>
    <row r="119" spans="1:20">
      <c r="A119" t="s">
        <v>35</v>
      </c>
      <c r="B119" s="2">
        <v>0.216</v>
      </c>
      <c r="C119" s="2">
        <v>0.11799999999999999</v>
      </c>
      <c r="D119" s="2">
        <v>5.2999999999999999E-2</v>
      </c>
      <c r="E119" s="2">
        <v>0.10100000000000001</v>
      </c>
      <c r="F119" s="2">
        <v>3.1899999999999998E-2</v>
      </c>
      <c r="G119" s="4">
        <v>0.19400000000000001</v>
      </c>
      <c r="H119" s="2">
        <f t="shared" si="38"/>
        <v>-0.255</v>
      </c>
      <c r="I119" s="2">
        <f t="shared" si="39"/>
        <v>-0.26100000000000001</v>
      </c>
      <c r="J119" s="2">
        <f t="shared" si="40"/>
        <v>-0.14900000000000002</v>
      </c>
      <c r="K119" s="2">
        <f t="shared" si="41"/>
        <v>2.9814116216420508E-2</v>
      </c>
      <c r="L119" s="2">
        <f t="shared" si="42"/>
        <v>1.6769351520426898E-2</v>
      </c>
      <c r="M119" s="4">
        <f t="shared" si="43"/>
        <v>1.6000000000000014E-2</v>
      </c>
      <c r="N119" s="1">
        <f t="shared" si="44"/>
        <v>-0.54140127388535031</v>
      </c>
      <c r="O119" s="1">
        <f t="shared" si="45"/>
        <v>-0.68865435356200533</v>
      </c>
      <c r="P119" s="1">
        <f t="shared" si="46"/>
        <v>-0.73762376237623772</v>
      </c>
      <c r="Q119" s="1">
        <f t="shared" si="47"/>
        <v>0.4188206233002863</v>
      </c>
      <c r="R119" s="1">
        <f t="shared" si="48"/>
        <v>1.1083035563919224</v>
      </c>
      <c r="S119" s="1">
        <f t="shared" si="49"/>
        <v>8.9887640449438283E-2</v>
      </c>
      <c r="T119" s="1"/>
    </row>
    <row r="120" spans="1:20">
      <c r="A120" t="s">
        <v>19</v>
      </c>
      <c r="B120" s="2">
        <v>0.23499999999999999</v>
      </c>
      <c r="C120" s="2">
        <v>0.153</v>
      </c>
      <c r="D120" s="2">
        <v>5.3999999999999999E-2</v>
      </c>
      <c r="E120" s="2">
        <v>0.112</v>
      </c>
      <c r="F120" s="2">
        <v>3.1399999999999997E-2</v>
      </c>
      <c r="G120" s="4">
        <v>0.19900000000000001</v>
      </c>
      <c r="H120" s="2">
        <f t="shared" si="38"/>
        <v>-0.23599999999999999</v>
      </c>
      <c r="I120" s="2">
        <f t="shared" si="39"/>
        <v>-0.22600000000000001</v>
      </c>
      <c r="J120" s="2">
        <f t="shared" si="40"/>
        <v>-0.14800000000000002</v>
      </c>
      <c r="K120" s="2">
        <f t="shared" si="41"/>
        <v>4.0814116216420504E-2</v>
      </c>
      <c r="L120" s="2">
        <f t="shared" si="42"/>
        <v>1.6269351520426897E-2</v>
      </c>
      <c r="M120" s="4">
        <f t="shared" si="43"/>
        <v>2.1000000000000019E-2</v>
      </c>
      <c r="N120" s="1">
        <f t="shared" si="44"/>
        <v>-0.50106157112526539</v>
      </c>
      <c r="O120" s="1">
        <f t="shared" si="45"/>
        <v>-0.59630606860158308</v>
      </c>
      <c r="P120" s="1">
        <f t="shared" si="46"/>
        <v>-0.73267326732673277</v>
      </c>
      <c r="Q120" s="1">
        <f t="shared" si="47"/>
        <v>0.57334564167952529</v>
      </c>
      <c r="R120" s="1">
        <f t="shared" si="48"/>
        <v>1.0752580461036476</v>
      </c>
      <c r="S120" s="1">
        <f t="shared" si="49"/>
        <v>0.11797752808988775</v>
      </c>
      <c r="T120" s="1"/>
    </row>
    <row r="121" spans="1:20">
      <c r="A121" t="s">
        <v>46</v>
      </c>
      <c r="B121" s="2">
        <v>0.216</v>
      </c>
      <c r="C121" s="2">
        <v>0.13</v>
      </c>
      <c r="D121" s="2">
        <v>5.6000000000000001E-2</v>
      </c>
      <c r="E121" s="2">
        <v>0.108</v>
      </c>
      <c r="F121" s="2">
        <v>3.1300000000000001E-2</v>
      </c>
      <c r="G121" s="4">
        <v>0.21</v>
      </c>
      <c r="H121" s="2">
        <f t="shared" si="38"/>
        <v>-0.255</v>
      </c>
      <c r="I121" s="2">
        <f t="shared" si="39"/>
        <v>-0.249</v>
      </c>
      <c r="J121" s="2">
        <f t="shared" si="40"/>
        <v>-0.14600000000000002</v>
      </c>
      <c r="K121" s="2">
        <f t="shared" si="41"/>
        <v>3.68141162164205E-2</v>
      </c>
      <c r="L121" s="2">
        <f t="shared" si="42"/>
        <v>1.6169351520426901E-2</v>
      </c>
      <c r="M121" s="4">
        <f t="shared" si="43"/>
        <v>3.2000000000000001E-2</v>
      </c>
      <c r="N121" s="1">
        <f t="shared" si="44"/>
        <v>-0.54140127388535031</v>
      </c>
      <c r="O121" s="1">
        <f t="shared" si="45"/>
        <v>-0.65699208443271762</v>
      </c>
      <c r="P121" s="1">
        <f t="shared" si="46"/>
        <v>-0.72277227722772286</v>
      </c>
      <c r="Q121" s="1">
        <f t="shared" si="47"/>
        <v>0.51715472590525657</v>
      </c>
      <c r="R121" s="1">
        <f t="shared" si="48"/>
        <v>1.068648944045993</v>
      </c>
      <c r="S121" s="1">
        <f t="shared" si="49"/>
        <v>0.17977528089887643</v>
      </c>
      <c r="T121" s="1"/>
    </row>
    <row r="122" spans="1:20">
      <c r="A122" t="s">
        <v>211</v>
      </c>
      <c r="B122" s="2">
        <v>0.25906542056074766</v>
      </c>
      <c r="C122" s="2">
        <v>0.17699999999999999</v>
      </c>
      <c r="D122" s="2">
        <v>7.1300000000000002E-2</v>
      </c>
      <c r="E122" s="2">
        <v>0.112</v>
      </c>
      <c r="F122" s="2">
        <v>3.09E-2</v>
      </c>
      <c r="G122" s="4">
        <v>0.23280000000000001</v>
      </c>
      <c r="H122" s="2">
        <f t="shared" si="38"/>
        <v>-0.21193457943925231</v>
      </c>
      <c r="I122" s="2">
        <f t="shared" si="39"/>
        <v>-0.20200000000000001</v>
      </c>
      <c r="J122" s="2">
        <f t="shared" si="40"/>
        <v>-0.13070000000000001</v>
      </c>
      <c r="K122" s="2">
        <f t="shared" si="41"/>
        <v>4.0814116216420504E-2</v>
      </c>
      <c r="L122" s="2">
        <f t="shared" si="42"/>
        <v>1.57693515204269E-2</v>
      </c>
      <c r="M122" s="4">
        <f t="shared" si="43"/>
        <v>5.4800000000000015E-2</v>
      </c>
      <c r="N122" s="1">
        <f t="shared" si="44"/>
        <v>-0.44996725995594972</v>
      </c>
      <c r="O122" s="1">
        <f t="shared" si="45"/>
        <v>-0.53298153034300799</v>
      </c>
      <c r="P122" s="1">
        <f t="shared" si="46"/>
        <v>-0.64702970297029705</v>
      </c>
      <c r="Q122" s="1">
        <f t="shared" si="47"/>
        <v>0.57334564167952529</v>
      </c>
      <c r="R122" s="1">
        <f t="shared" si="48"/>
        <v>1.0422125358153731</v>
      </c>
      <c r="S122" s="1">
        <f t="shared" si="49"/>
        <v>0.30786516853932594</v>
      </c>
      <c r="T122" s="1"/>
    </row>
    <row r="123" spans="1:20">
      <c r="A123" t="s">
        <v>110</v>
      </c>
      <c r="B123" s="2">
        <v>0.13900000000000001</v>
      </c>
      <c r="C123" s="2">
        <v>9.1999999999999998E-2</v>
      </c>
      <c r="D123" s="2">
        <v>4.2000000000000003E-2</v>
      </c>
      <c r="E123" s="2">
        <v>8.4895440824983001E-2</v>
      </c>
      <c r="F123" s="2">
        <v>3.0441016636774398E-2</v>
      </c>
      <c r="G123" s="4">
        <v>0.14199999999999999</v>
      </c>
      <c r="H123" s="2">
        <f t="shared" si="38"/>
        <v>-0.33199999999999996</v>
      </c>
      <c r="I123" s="2">
        <f t="shared" si="39"/>
        <v>-0.28700000000000003</v>
      </c>
      <c r="J123" s="2">
        <f t="shared" si="40"/>
        <v>-0.16</v>
      </c>
      <c r="K123" s="2">
        <f t="shared" si="41"/>
        <v>1.3709557041403503E-2</v>
      </c>
      <c r="L123" s="2">
        <f t="shared" si="42"/>
        <v>1.5310368157201298E-2</v>
      </c>
      <c r="M123" s="4">
        <f t="shared" si="43"/>
        <v>-3.6000000000000004E-2</v>
      </c>
      <c r="N123" s="1">
        <f t="shared" si="44"/>
        <v>-0.70488322717622076</v>
      </c>
      <c r="O123" s="1">
        <f t="shared" si="45"/>
        <v>-0.75725593667546187</v>
      </c>
      <c r="P123" s="1">
        <f t="shared" si="46"/>
        <v>-0.79207920792079201</v>
      </c>
      <c r="Q123" s="1">
        <f t="shared" si="47"/>
        <v>0.19258814125400936</v>
      </c>
      <c r="R123" s="1">
        <f t="shared" si="48"/>
        <v>1.0118778569121361</v>
      </c>
      <c r="S123" s="1">
        <f t="shared" si="49"/>
        <v>-0.20224719101123598</v>
      </c>
      <c r="T123" s="1"/>
    </row>
    <row r="124" spans="1:20">
      <c r="A124" t="s">
        <v>209</v>
      </c>
      <c r="B124" s="2">
        <v>0.22875698924731186</v>
      </c>
      <c r="C124" s="2">
        <v>0.14000000000000001</v>
      </c>
      <c r="D124" s="2">
        <v>6.1899999999999997E-2</v>
      </c>
      <c r="E124" s="2">
        <v>0.108</v>
      </c>
      <c r="F124" s="2">
        <v>3.04E-2</v>
      </c>
      <c r="G124" s="4">
        <v>0.18162474226804123</v>
      </c>
      <c r="H124" s="2">
        <f t="shared" si="38"/>
        <v>-0.24224301075268811</v>
      </c>
      <c r="I124" s="2">
        <f t="shared" si="39"/>
        <v>-0.23899999999999999</v>
      </c>
      <c r="J124" s="2">
        <f t="shared" si="40"/>
        <v>-0.1401</v>
      </c>
      <c r="K124" s="2">
        <f t="shared" si="41"/>
        <v>3.68141162164205E-2</v>
      </c>
      <c r="L124" s="2">
        <f t="shared" si="42"/>
        <v>1.52693515204269E-2</v>
      </c>
      <c r="M124" s="4">
        <f t="shared" si="43"/>
        <v>3.6247422680412422E-3</v>
      </c>
      <c r="N124" s="1">
        <f t="shared" si="44"/>
        <v>-0.51431637102481553</v>
      </c>
      <c r="O124" s="1">
        <f t="shared" si="45"/>
        <v>-0.63060686015831136</v>
      </c>
      <c r="P124" s="1">
        <f t="shared" si="46"/>
        <v>-0.69356435643564351</v>
      </c>
      <c r="Q124" s="1">
        <f t="shared" si="47"/>
        <v>0.51715472590525657</v>
      </c>
      <c r="R124" s="1">
        <f t="shared" si="48"/>
        <v>1.0091670255270984</v>
      </c>
      <c r="S124" s="1">
        <f t="shared" si="49"/>
        <v>2.0363720606973272E-2</v>
      </c>
      <c r="T124" s="1"/>
    </row>
    <row r="125" spans="1:20">
      <c r="A125" t="s">
        <v>68</v>
      </c>
      <c r="B125" s="2">
        <v>0.182</v>
      </c>
      <c r="C125" s="2">
        <v>0.123</v>
      </c>
      <c r="D125" s="2">
        <v>5.0999999999999997E-2</v>
      </c>
      <c r="E125" s="2">
        <v>0.10244404440949401</v>
      </c>
      <c r="F125" s="2">
        <v>3.0236893768655598E-2</v>
      </c>
      <c r="G125" s="4">
        <v>0.17299999999999999</v>
      </c>
      <c r="H125" s="2">
        <f t="shared" si="38"/>
        <v>-0.28899999999999998</v>
      </c>
      <c r="I125" s="2">
        <f t="shared" si="39"/>
        <v>-0.25600000000000001</v>
      </c>
      <c r="J125" s="2">
        <f t="shared" si="40"/>
        <v>-0.15100000000000002</v>
      </c>
      <c r="K125" s="2">
        <f t="shared" si="41"/>
        <v>3.1258160625914508E-2</v>
      </c>
      <c r="L125" s="2">
        <f t="shared" si="42"/>
        <v>1.5106245289082498E-2</v>
      </c>
      <c r="M125" s="4">
        <f t="shared" si="43"/>
        <v>-5.0000000000000044E-3</v>
      </c>
      <c r="N125" s="1">
        <f t="shared" si="44"/>
        <v>-0.613588110403397</v>
      </c>
      <c r="O125" s="1">
        <f t="shared" si="45"/>
        <v>-0.67546174142480209</v>
      </c>
      <c r="P125" s="1">
        <f t="shared" si="46"/>
        <v>-0.74752475247524763</v>
      </c>
      <c r="Q125" s="1">
        <f t="shared" si="47"/>
        <v>0.43910616774733152</v>
      </c>
      <c r="R125" s="1">
        <f t="shared" si="48"/>
        <v>0.99838716823515217</v>
      </c>
      <c r="S125" s="1">
        <f t="shared" si="49"/>
        <v>-2.8089887640449465E-2</v>
      </c>
      <c r="T125" s="1"/>
    </row>
    <row r="126" spans="1:20">
      <c r="A126" t="s">
        <v>44</v>
      </c>
      <c r="B126" s="2">
        <v>0.13300000000000001</v>
      </c>
      <c r="C126" s="2">
        <v>9.8000000000000004E-2</v>
      </c>
      <c r="D126" s="2">
        <v>4.1000000000000002E-2</v>
      </c>
      <c r="E126" s="2">
        <v>8.6099999999999996E-2</v>
      </c>
      <c r="F126" s="2">
        <v>2.98E-2</v>
      </c>
      <c r="G126" s="4">
        <v>0.123</v>
      </c>
      <c r="H126" s="2">
        <f t="shared" si="38"/>
        <v>-0.33799999999999997</v>
      </c>
      <c r="I126" s="2">
        <f t="shared" si="39"/>
        <v>-0.28100000000000003</v>
      </c>
      <c r="J126" s="2">
        <f t="shared" si="40"/>
        <v>-0.161</v>
      </c>
      <c r="K126" s="2">
        <f t="shared" si="41"/>
        <v>1.4914116216420498E-2</v>
      </c>
      <c r="L126" s="2">
        <f t="shared" si="42"/>
        <v>1.46693515204269E-2</v>
      </c>
      <c r="M126" s="4">
        <f t="shared" si="43"/>
        <v>-5.4999999999999993E-2</v>
      </c>
      <c r="N126" s="1">
        <f t="shared" si="44"/>
        <v>-0.71762208067940547</v>
      </c>
      <c r="O126" s="1">
        <f t="shared" si="45"/>
        <v>-0.74142480211081796</v>
      </c>
      <c r="P126" s="1">
        <f t="shared" si="46"/>
        <v>-0.79702970297029696</v>
      </c>
      <c r="Q126" s="1">
        <f t="shared" si="47"/>
        <v>0.20950946204113502</v>
      </c>
      <c r="R126" s="1">
        <f t="shared" si="48"/>
        <v>0.96951241318116888</v>
      </c>
      <c r="S126" s="1">
        <f t="shared" si="49"/>
        <v>-0.3089887640449438</v>
      </c>
      <c r="T126" s="1"/>
    </row>
    <row r="127" spans="1:20">
      <c r="A127" t="s">
        <v>132</v>
      </c>
      <c r="B127" s="2">
        <v>0.15</v>
      </c>
      <c r="C127" s="2">
        <v>9.4E-2</v>
      </c>
      <c r="D127" s="2">
        <v>4.2999999999999997E-2</v>
      </c>
      <c r="E127" s="2">
        <v>7.7700000000000005E-2</v>
      </c>
      <c r="F127" s="2">
        <v>2.9700000000000001E-2</v>
      </c>
      <c r="G127" s="4">
        <v>0.13700000000000001</v>
      </c>
      <c r="H127" s="2">
        <f t="shared" si="38"/>
        <v>-0.32099999999999995</v>
      </c>
      <c r="I127" s="2">
        <f t="shared" si="39"/>
        <v>-0.28500000000000003</v>
      </c>
      <c r="J127" s="2">
        <f t="shared" si="40"/>
        <v>-0.15900000000000003</v>
      </c>
      <c r="K127" s="2">
        <f t="shared" si="41"/>
        <v>6.5141162164205069E-3</v>
      </c>
      <c r="L127" s="2">
        <f t="shared" si="42"/>
        <v>1.4569351520426901E-2</v>
      </c>
      <c r="M127" s="4">
        <f t="shared" si="43"/>
        <v>-4.0999999999999981E-2</v>
      </c>
      <c r="N127" s="1">
        <f t="shared" si="44"/>
        <v>-0.68152866242038213</v>
      </c>
      <c r="O127" s="1">
        <f t="shared" si="45"/>
        <v>-0.75197889182058053</v>
      </c>
      <c r="P127" s="1">
        <f t="shared" si="46"/>
        <v>-0.78712871287128727</v>
      </c>
      <c r="Q127" s="1">
        <f t="shared" si="47"/>
        <v>9.1508538915170745E-2</v>
      </c>
      <c r="R127" s="1">
        <f t="shared" si="48"/>
        <v>0.96290331112351402</v>
      </c>
      <c r="S127" s="1">
        <f t="shared" si="49"/>
        <v>-0.23033707865168529</v>
      </c>
      <c r="T127" s="1"/>
    </row>
    <row r="128" spans="1:20">
      <c r="A128" t="s">
        <v>202</v>
      </c>
      <c r="B128" s="2">
        <v>0.20691334894613581</v>
      </c>
      <c r="C128" s="2">
        <v>0.11799999999999999</v>
      </c>
      <c r="D128" s="2">
        <v>4.2299999999999997E-2</v>
      </c>
      <c r="E128" s="2">
        <v>9.5399999999999999E-2</v>
      </c>
      <c r="F128" s="2">
        <v>2.93E-2</v>
      </c>
      <c r="G128" s="4">
        <v>0.17019943019943018</v>
      </c>
      <c r="H128" s="2">
        <f t="shared" si="38"/>
        <v>-0.2640866510538642</v>
      </c>
      <c r="I128" s="2">
        <f t="shared" si="39"/>
        <v>-0.26100000000000001</v>
      </c>
      <c r="J128" s="2">
        <f t="shared" si="40"/>
        <v>-0.15970000000000001</v>
      </c>
      <c r="K128" s="2">
        <f t="shared" si="41"/>
        <v>2.42141162164205E-2</v>
      </c>
      <c r="L128" s="2">
        <f t="shared" si="42"/>
        <v>1.41693515204269E-2</v>
      </c>
      <c r="M128" s="4">
        <f t="shared" si="43"/>
        <v>-7.8005698005698121E-3</v>
      </c>
      <c r="N128" s="1">
        <f t="shared" si="44"/>
        <v>-0.56069352665363947</v>
      </c>
      <c r="O128" s="1">
        <f t="shared" si="45"/>
        <v>-0.68865435356200533</v>
      </c>
      <c r="P128" s="1">
        <f t="shared" si="46"/>
        <v>-0.79059405940594063</v>
      </c>
      <c r="Q128" s="1">
        <f t="shared" si="47"/>
        <v>0.34015334121630991</v>
      </c>
      <c r="R128" s="1">
        <f t="shared" si="48"/>
        <v>0.93646690289289425</v>
      </c>
      <c r="S128" s="1">
        <f t="shared" si="49"/>
        <v>-4.3823425845897823E-2</v>
      </c>
      <c r="T128" s="1"/>
    </row>
    <row r="129" spans="1:20">
      <c r="A129" t="s">
        <v>41</v>
      </c>
      <c r="B129" s="2">
        <v>0.19900000000000001</v>
      </c>
      <c r="C129" s="2">
        <v>0.11899999999999999</v>
      </c>
      <c r="D129" s="2">
        <v>5.5E-2</v>
      </c>
      <c r="E129" s="2">
        <v>0.10199999999999999</v>
      </c>
      <c r="F129" s="2">
        <v>2.9100000000000001E-2</v>
      </c>
      <c r="G129" s="4">
        <v>0.183</v>
      </c>
      <c r="H129" s="2">
        <f t="shared" si="38"/>
        <v>-0.27199999999999996</v>
      </c>
      <c r="I129" s="2">
        <f t="shared" si="39"/>
        <v>-0.26</v>
      </c>
      <c r="J129" s="2">
        <f t="shared" si="40"/>
        <v>-0.14700000000000002</v>
      </c>
      <c r="K129" s="2">
        <f t="shared" si="41"/>
        <v>3.0814116216420495E-2</v>
      </c>
      <c r="L129" s="2">
        <f t="shared" si="42"/>
        <v>1.3969351520426901E-2</v>
      </c>
      <c r="M129" s="4">
        <f t="shared" si="43"/>
        <v>5.0000000000000044E-3</v>
      </c>
      <c r="N129" s="1">
        <f t="shared" si="44"/>
        <v>-0.57749469214437366</v>
      </c>
      <c r="O129" s="1">
        <f t="shared" si="45"/>
        <v>-0.68601583113456466</v>
      </c>
      <c r="P129" s="1">
        <f t="shared" si="46"/>
        <v>-0.72772277227722781</v>
      </c>
      <c r="Q129" s="1">
        <f t="shared" si="47"/>
        <v>0.43286835224385328</v>
      </c>
      <c r="R129" s="1">
        <f t="shared" si="48"/>
        <v>0.92324869877758442</v>
      </c>
      <c r="S129" s="1">
        <f t="shared" si="49"/>
        <v>2.8089887640449465E-2</v>
      </c>
      <c r="T129" s="1"/>
    </row>
    <row r="130" spans="1:20">
      <c r="A130" t="s">
        <v>122</v>
      </c>
      <c r="B130" s="2">
        <v>0.17599999999999999</v>
      </c>
      <c r="C130" s="2">
        <v>9.6000000000000002E-2</v>
      </c>
      <c r="D130" s="2">
        <v>4.1000000000000002E-2</v>
      </c>
      <c r="E130" s="2">
        <v>9.7799999999999998E-2</v>
      </c>
      <c r="F130" s="2">
        <v>2.9000000000000001E-2</v>
      </c>
      <c r="G130" s="4">
        <v>0.17799999999999999</v>
      </c>
      <c r="H130" s="2">
        <f t="shared" ref="H130:H161" si="50">B130-V$2</f>
        <v>-0.29499999999999998</v>
      </c>
      <c r="I130" s="2">
        <f t="shared" ref="I130:I161" si="51">C130-W$2</f>
        <v>-0.28300000000000003</v>
      </c>
      <c r="J130" s="2">
        <f t="shared" ref="J130:J161" si="52">D130-X$2</f>
        <v>-0.161</v>
      </c>
      <c r="K130" s="2">
        <f t="shared" ref="K130:K161" si="53">E130-Y$2</f>
        <v>2.66141162164205E-2</v>
      </c>
      <c r="L130" s="2">
        <f t="shared" ref="L130:L161" si="54">F130-Z$2</f>
        <v>1.3869351520426901E-2</v>
      </c>
      <c r="M130" s="4">
        <f t="shared" ref="M130:M161" si="55">G130-AA$2</f>
        <v>0</v>
      </c>
      <c r="N130" s="1">
        <f t="shared" ref="N130:N161" si="56">(B130-V$2)/V$2</f>
        <v>-0.62632696390658171</v>
      </c>
      <c r="O130" s="1">
        <f t="shared" ref="O130:O161" si="57">(C130-W$2)/W$2</f>
        <v>-0.7467018469656993</v>
      </c>
      <c r="P130" s="1">
        <f t="shared" ref="P130:P161" si="58">(D130-X$2)/X$2</f>
        <v>-0.79702970297029696</v>
      </c>
      <c r="Q130" s="1">
        <f t="shared" ref="Q130:Q161" si="59">(E130-Y$2)/Y$2</f>
        <v>0.37386789068087117</v>
      </c>
      <c r="R130" s="1">
        <f t="shared" ref="R130:R161" si="60">(F130-Z$2)/Z$2</f>
        <v>0.91663959671992956</v>
      </c>
      <c r="S130" s="1">
        <f t="shared" ref="S130:S161" si="61">(G130-AA$2)/AA$2</f>
        <v>0</v>
      </c>
      <c r="T130" s="1"/>
    </row>
    <row r="131" spans="1:20">
      <c r="A131" t="s">
        <v>183</v>
      </c>
      <c r="B131" s="2">
        <v>0.1733606557377049</v>
      </c>
      <c r="C131" s="2">
        <v>0.10199999999999999</v>
      </c>
      <c r="D131" s="2">
        <v>4.07E-2</v>
      </c>
      <c r="E131" s="2">
        <v>8.8499999999999995E-2</v>
      </c>
      <c r="F131" s="2">
        <v>2.8899999999999999E-2</v>
      </c>
      <c r="G131" s="4">
        <v>0.17665768194070081</v>
      </c>
      <c r="H131" s="2">
        <f t="shared" si="50"/>
        <v>-0.2976393442622951</v>
      </c>
      <c r="I131" s="2">
        <f t="shared" si="51"/>
        <v>-0.27700000000000002</v>
      </c>
      <c r="J131" s="2">
        <f t="shared" si="52"/>
        <v>-0.1613</v>
      </c>
      <c r="K131" s="2">
        <f t="shared" si="53"/>
        <v>1.7314116216420497E-2</v>
      </c>
      <c r="L131" s="2">
        <f t="shared" si="54"/>
        <v>1.3769351520426899E-2</v>
      </c>
      <c r="M131" s="4">
        <f t="shared" si="55"/>
        <v>-1.3423180592991857E-3</v>
      </c>
      <c r="N131" s="1">
        <f t="shared" si="56"/>
        <v>-0.63193066722355651</v>
      </c>
      <c r="O131" s="1">
        <f t="shared" si="57"/>
        <v>-0.7308707124010555</v>
      </c>
      <c r="P131" s="1">
        <f t="shared" si="58"/>
        <v>-0.79851485148514845</v>
      </c>
      <c r="Q131" s="1">
        <f t="shared" si="59"/>
        <v>0.24322401150569625</v>
      </c>
      <c r="R131" s="1">
        <f t="shared" si="60"/>
        <v>0.91003049466227437</v>
      </c>
      <c r="S131" s="1">
        <f t="shared" si="61"/>
        <v>-7.5411126926920547E-3</v>
      </c>
      <c r="T131" s="1"/>
    </row>
    <row r="132" spans="1:20">
      <c r="A132" t="s">
        <v>178</v>
      </c>
      <c r="B132" s="2">
        <v>0.13840248377081571</v>
      </c>
      <c r="C132" s="2">
        <v>8.9599999999999999E-2</v>
      </c>
      <c r="D132" s="2">
        <v>3.7499999999999999E-2</v>
      </c>
      <c r="E132" s="2">
        <v>8.6099999999999996E-2</v>
      </c>
      <c r="F132" s="2">
        <v>2.8799999999999999E-2</v>
      </c>
      <c r="G132" s="4">
        <v>0.12845093817286987</v>
      </c>
      <c r="H132" s="2">
        <f t="shared" si="50"/>
        <v>-0.33259751622918426</v>
      </c>
      <c r="I132" s="2">
        <f t="shared" si="51"/>
        <v>-0.28939999999999999</v>
      </c>
      <c r="J132" s="2">
        <f t="shared" si="52"/>
        <v>-0.16450000000000001</v>
      </c>
      <c r="K132" s="2">
        <f t="shared" si="53"/>
        <v>1.4914116216420498E-2</v>
      </c>
      <c r="L132" s="2">
        <f t="shared" si="54"/>
        <v>1.3669351520426899E-2</v>
      </c>
      <c r="M132" s="4">
        <f t="shared" si="55"/>
        <v>-4.954906182713012E-2</v>
      </c>
      <c r="N132" s="1">
        <f t="shared" si="56"/>
        <v>-0.70615183912777979</v>
      </c>
      <c r="O132" s="1">
        <f t="shared" si="57"/>
        <v>-0.76358839050131921</v>
      </c>
      <c r="P132" s="1">
        <f t="shared" si="58"/>
        <v>-0.8143564356435643</v>
      </c>
      <c r="Q132" s="1">
        <f t="shared" si="59"/>
        <v>0.20950946204113502</v>
      </c>
      <c r="R132" s="1">
        <f t="shared" si="60"/>
        <v>0.90342139260461951</v>
      </c>
      <c r="S132" s="1">
        <f t="shared" si="61"/>
        <v>-0.27836551588275349</v>
      </c>
      <c r="T132" s="1"/>
    </row>
    <row r="133" spans="1:20">
      <c r="A133" t="s">
        <v>54</v>
      </c>
      <c r="B133" s="2">
        <v>0.14699999999999999</v>
      </c>
      <c r="C133" s="2">
        <v>0.11</v>
      </c>
      <c r="D133" s="2">
        <v>4.2000000000000003E-2</v>
      </c>
      <c r="E133" s="2">
        <v>7.6441839757896202E-2</v>
      </c>
      <c r="F133" s="2">
        <v>2.8668673840595599E-2</v>
      </c>
      <c r="G133" s="4">
        <v>0.11899999999999999</v>
      </c>
      <c r="H133" s="2">
        <f t="shared" si="50"/>
        <v>-0.32399999999999995</v>
      </c>
      <c r="I133" s="2">
        <f t="shared" si="51"/>
        <v>-0.26900000000000002</v>
      </c>
      <c r="J133" s="2">
        <f t="shared" si="52"/>
        <v>-0.16</v>
      </c>
      <c r="K133" s="2">
        <f t="shared" si="53"/>
        <v>5.2559559743167034E-3</v>
      </c>
      <c r="L133" s="2">
        <f t="shared" si="54"/>
        <v>1.3538025361022499E-2</v>
      </c>
      <c r="M133" s="4">
        <f t="shared" si="55"/>
        <v>-5.8999999999999997E-2</v>
      </c>
      <c r="N133" s="1">
        <f t="shared" si="56"/>
        <v>-0.68789808917197448</v>
      </c>
      <c r="O133" s="1">
        <f t="shared" si="57"/>
        <v>-0.70976253298153036</v>
      </c>
      <c r="P133" s="1">
        <f t="shared" si="58"/>
        <v>-0.79207920792079201</v>
      </c>
      <c r="Q133" s="1">
        <f t="shared" si="59"/>
        <v>7.3834244866523652E-2</v>
      </c>
      <c r="R133" s="1">
        <f t="shared" si="60"/>
        <v>0.89474191270118408</v>
      </c>
      <c r="S133" s="1">
        <f t="shared" si="61"/>
        <v>-0.33146067415730335</v>
      </c>
      <c r="T133" s="1"/>
    </row>
    <row r="134" spans="1:20">
      <c r="A134" t="s">
        <v>171</v>
      </c>
      <c r="B134" s="2">
        <v>0.18064794816414687</v>
      </c>
      <c r="C134" s="2">
        <v>0.11899999999999999</v>
      </c>
      <c r="D134" s="2">
        <v>4.87E-2</v>
      </c>
      <c r="E134" s="2">
        <v>8.4599999999999995E-2</v>
      </c>
      <c r="F134" s="2">
        <v>2.8500000000000001E-2</v>
      </c>
      <c r="G134" s="4">
        <v>0.13444608567208272</v>
      </c>
      <c r="H134" s="2">
        <f t="shared" si="50"/>
        <v>-0.29035205183585311</v>
      </c>
      <c r="I134" s="2">
        <f t="shared" si="51"/>
        <v>-0.26</v>
      </c>
      <c r="J134" s="2">
        <f t="shared" si="52"/>
        <v>-0.15330000000000002</v>
      </c>
      <c r="K134" s="2">
        <f t="shared" si="53"/>
        <v>1.3414116216420496E-2</v>
      </c>
      <c r="L134" s="2">
        <f t="shared" si="54"/>
        <v>1.3369351520426901E-2</v>
      </c>
      <c r="M134" s="4">
        <f t="shared" si="55"/>
        <v>-4.3553914327917276E-2</v>
      </c>
      <c r="N134" s="1">
        <f t="shared" si="56"/>
        <v>-0.61645870878100451</v>
      </c>
      <c r="O134" s="1">
        <f t="shared" si="57"/>
        <v>-0.68601583113456466</v>
      </c>
      <c r="P134" s="1">
        <f t="shared" si="58"/>
        <v>-0.75891089108910892</v>
      </c>
      <c r="Q134" s="1">
        <f t="shared" si="59"/>
        <v>0.18843786862578421</v>
      </c>
      <c r="R134" s="1">
        <f t="shared" si="60"/>
        <v>0.88359408643165482</v>
      </c>
      <c r="S134" s="1">
        <f t="shared" si="61"/>
        <v>-0.24468491195459144</v>
      </c>
      <c r="T134" s="1"/>
    </row>
    <row r="135" spans="1:20">
      <c r="A135" t="s">
        <v>138</v>
      </c>
      <c r="B135" s="2">
        <v>0.18099999999999999</v>
      </c>
      <c r="C135" s="2">
        <v>0.11899999999999999</v>
      </c>
      <c r="D135" s="2">
        <v>4.9000000000000002E-2</v>
      </c>
      <c r="E135" s="2">
        <v>8.4599999999999995E-2</v>
      </c>
      <c r="F135" s="2">
        <v>2.8500000000000001E-2</v>
      </c>
      <c r="G135" s="4">
        <v>0.13400000000000001</v>
      </c>
      <c r="H135" s="2">
        <f t="shared" si="50"/>
        <v>-0.28999999999999998</v>
      </c>
      <c r="I135" s="2">
        <f t="shared" si="51"/>
        <v>-0.26</v>
      </c>
      <c r="J135" s="2">
        <f t="shared" si="52"/>
        <v>-0.15300000000000002</v>
      </c>
      <c r="K135" s="2">
        <f t="shared" si="53"/>
        <v>1.3414116216420496E-2</v>
      </c>
      <c r="L135" s="2">
        <f t="shared" si="54"/>
        <v>1.3369351520426901E-2</v>
      </c>
      <c r="M135" s="4">
        <f t="shared" si="55"/>
        <v>-4.3999999999999984E-2</v>
      </c>
      <c r="N135" s="1">
        <f t="shared" si="56"/>
        <v>-0.61571125265392779</v>
      </c>
      <c r="O135" s="1">
        <f t="shared" si="57"/>
        <v>-0.68601583113456466</v>
      </c>
      <c r="P135" s="1">
        <f t="shared" si="58"/>
        <v>-0.75742574257425754</v>
      </c>
      <c r="Q135" s="1">
        <f t="shared" si="59"/>
        <v>0.18843786862578421</v>
      </c>
      <c r="R135" s="1">
        <f t="shared" si="60"/>
        <v>0.88359408643165482</v>
      </c>
      <c r="S135" s="1">
        <f t="shared" si="61"/>
        <v>-0.24719101123595497</v>
      </c>
      <c r="T135" s="1"/>
    </row>
    <row r="136" spans="1:20">
      <c r="A136" t="s">
        <v>144</v>
      </c>
      <c r="B136" s="2">
        <v>0.17899999999999999</v>
      </c>
      <c r="C136" s="2">
        <v>0.121</v>
      </c>
      <c r="D136" s="2">
        <v>0.05</v>
      </c>
      <c r="E136" s="2">
        <v>8.2699999999999996E-2</v>
      </c>
      <c r="F136" s="2">
        <v>2.7699999999999999E-2</v>
      </c>
      <c r="G136" s="4">
        <v>0.14299999999999999</v>
      </c>
      <c r="H136" s="2">
        <f t="shared" si="50"/>
        <v>-0.29199999999999998</v>
      </c>
      <c r="I136" s="2">
        <f t="shared" si="51"/>
        <v>-0.25800000000000001</v>
      </c>
      <c r="J136" s="2">
        <f t="shared" si="52"/>
        <v>-0.15200000000000002</v>
      </c>
      <c r="K136" s="2">
        <f t="shared" si="53"/>
        <v>1.1514116216420497E-2</v>
      </c>
      <c r="L136" s="2">
        <f t="shared" si="54"/>
        <v>1.2569351520426899E-2</v>
      </c>
      <c r="M136" s="4">
        <f t="shared" si="55"/>
        <v>-3.5000000000000003E-2</v>
      </c>
      <c r="N136" s="1">
        <f t="shared" si="56"/>
        <v>-0.61995753715498936</v>
      </c>
      <c r="O136" s="1">
        <f t="shared" si="57"/>
        <v>-0.68073878627968343</v>
      </c>
      <c r="P136" s="1">
        <f t="shared" si="58"/>
        <v>-0.75247524752475259</v>
      </c>
      <c r="Q136" s="1">
        <f t="shared" si="59"/>
        <v>0.16174718363300658</v>
      </c>
      <c r="R136" s="1">
        <f t="shared" si="60"/>
        <v>0.83072126997041529</v>
      </c>
      <c r="S136" s="1">
        <f t="shared" si="61"/>
        <v>-0.1966292134831461</v>
      </c>
      <c r="T136" s="1"/>
    </row>
    <row r="137" spans="1:20">
      <c r="A137" t="s">
        <v>190</v>
      </c>
      <c r="B137" s="2">
        <v>0.17521578947368421</v>
      </c>
      <c r="C137" s="2">
        <v>0.114</v>
      </c>
      <c r="D137" s="2">
        <v>4.5699999999999998E-2</v>
      </c>
      <c r="E137" s="2">
        <v>8.0500000000000002E-2</v>
      </c>
      <c r="F137" s="2">
        <v>2.7099999999999999E-2</v>
      </c>
      <c r="G137" s="4">
        <v>0.13107494222515681</v>
      </c>
      <c r="H137" s="2">
        <f t="shared" si="50"/>
        <v>-0.29578421052631576</v>
      </c>
      <c r="I137" s="2">
        <f t="shared" si="51"/>
        <v>-0.26500000000000001</v>
      </c>
      <c r="J137" s="2">
        <f t="shared" si="52"/>
        <v>-0.15630000000000002</v>
      </c>
      <c r="K137" s="2">
        <f t="shared" si="53"/>
        <v>9.3141162164205038E-3</v>
      </c>
      <c r="L137" s="2">
        <f t="shared" si="54"/>
        <v>1.1969351520426899E-2</v>
      </c>
      <c r="M137" s="4">
        <f t="shared" si="55"/>
        <v>-4.6925057774843182E-2</v>
      </c>
      <c r="N137" s="1">
        <f t="shared" si="56"/>
        <v>-0.62799195440831379</v>
      </c>
      <c r="O137" s="1">
        <f t="shared" si="57"/>
        <v>-0.69920844327176779</v>
      </c>
      <c r="P137" s="1">
        <f t="shared" si="58"/>
        <v>-0.77376237623762378</v>
      </c>
      <c r="Q137" s="1">
        <f t="shared" si="59"/>
        <v>0.13084217995715883</v>
      </c>
      <c r="R137" s="1">
        <f t="shared" si="60"/>
        <v>0.79106665762448569</v>
      </c>
      <c r="S137" s="1">
        <f t="shared" si="61"/>
        <v>-0.2636239200833887</v>
      </c>
      <c r="T137" s="1"/>
    </row>
    <row r="138" spans="1:20">
      <c r="A138" t="s">
        <v>176</v>
      </c>
      <c r="B138" s="2">
        <v>0.14579614325068871</v>
      </c>
      <c r="C138" s="2">
        <v>8.1699999999999995E-2</v>
      </c>
      <c r="D138" s="2">
        <v>3.3700000000000001E-2</v>
      </c>
      <c r="E138" s="2">
        <v>8.48E-2</v>
      </c>
      <c r="F138" s="2">
        <v>2.5899999999999999E-2</v>
      </c>
      <c r="G138" s="4">
        <v>0.12565223054379682</v>
      </c>
      <c r="H138" s="2">
        <f t="shared" si="50"/>
        <v>-0.32520385674931129</v>
      </c>
      <c r="I138" s="2">
        <f t="shared" si="51"/>
        <v>-0.29730000000000001</v>
      </c>
      <c r="J138" s="2">
        <f t="shared" si="52"/>
        <v>-0.16830000000000001</v>
      </c>
      <c r="K138" s="2">
        <f t="shared" si="53"/>
        <v>1.3614116216420502E-2</v>
      </c>
      <c r="L138" s="2">
        <f t="shared" si="54"/>
        <v>1.0769351520426899E-2</v>
      </c>
      <c r="M138" s="4">
        <f t="shared" si="55"/>
        <v>-5.2347769456203175E-2</v>
      </c>
      <c r="N138" s="1">
        <f t="shared" si="56"/>
        <v>-0.69045404830002399</v>
      </c>
      <c r="O138" s="1">
        <f t="shared" si="57"/>
        <v>-0.7844327176781003</v>
      </c>
      <c r="P138" s="1">
        <f t="shared" si="58"/>
        <v>-0.83316831683168313</v>
      </c>
      <c r="Q138" s="1">
        <f t="shared" si="59"/>
        <v>0.19124741441449772</v>
      </c>
      <c r="R138" s="1">
        <f t="shared" si="60"/>
        <v>0.71175743293262661</v>
      </c>
      <c r="S138" s="1">
        <f t="shared" si="61"/>
        <v>-0.29408859245057967</v>
      </c>
      <c r="T138" s="1"/>
    </row>
    <row r="139" spans="1:20">
      <c r="A139" t="s">
        <v>62</v>
      </c>
      <c r="B139" s="2">
        <v>0.193</v>
      </c>
      <c r="C139" s="2">
        <v>0.121</v>
      </c>
      <c r="D139" s="2">
        <v>5.1999999999999998E-2</v>
      </c>
      <c r="E139" s="2">
        <v>7.8983953417480005E-2</v>
      </c>
      <c r="F139" s="2">
        <v>2.5646040067912799E-2</v>
      </c>
      <c r="G139" s="4">
        <v>0.14799999999999999</v>
      </c>
      <c r="H139" s="2">
        <f t="shared" si="50"/>
        <v>-0.27799999999999997</v>
      </c>
      <c r="I139" s="2">
        <f t="shared" si="51"/>
        <v>-0.25800000000000001</v>
      </c>
      <c r="J139" s="2">
        <f t="shared" si="52"/>
        <v>-0.15000000000000002</v>
      </c>
      <c r="K139" s="2">
        <f t="shared" si="53"/>
        <v>7.7980696339005062E-3</v>
      </c>
      <c r="L139" s="2">
        <f t="shared" si="54"/>
        <v>1.0515391588339699E-2</v>
      </c>
      <c r="M139" s="4">
        <f t="shared" si="55"/>
        <v>-0.03</v>
      </c>
      <c r="N139" s="1">
        <f t="shared" si="56"/>
        <v>-0.59023354564755837</v>
      </c>
      <c r="O139" s="1">
        <f t="shared" si="57"/>
        <v>-0.68073878627968343</v>
      </c>
      <c r="P139" s="1">
        <f t="shared" si="58"/>
        <v>-0.74257425742574268</v>
      </c>
      <c r="Q139" s="1">
        <f t="shared" si="59"/>
        <v>0.10954516850009655</v>
      </c>
      <c r="R139" s="1">
        <f t="shared" si="60"/>
        <v>0.69497296183543233</v>
      </c>
      <c r="S139" s="1">
        <f t="shared" si="61"/>
        <v>-0.16853932584269662</v>
      </c>
      <c r="T139" s="1"/>
    </row>
    <row r="140" spans="1:20">
      <c r="A140" t="s">
        <v>51</v>
      </c>
      <c r="B140" s="2">
        <v>0.22700000000000001</v>
      </c>
      <c r="C140" s="2">
        <v>0.13100000000000001</v>
      </c>
      <c r="D140" s="2">
        <v>4.5999999999999999E-2</v>
      </c>
      <c r="E140" s="2">
        <v>7.5600000000000001E-2</v>
      </c>
      <c r="F140" s="2">
        <v>2.5399999999999999E-2</v>
      </c>
      <c r="G140" s="4">
        <v>0.22800000000000001</v>
      </c>
      <c r="H140" s="2">
        <f t="shared" si="50"/>
        <v>-0.24399999999999997</v>
      </c>
      <c r="I140" s="2">
        <f t="shared" si="51"/>
        <v>-0.248</v>
      </c>
      <c r="J140" s="2">
        <f t="shared" si="52"/>
        <v>-0.15600000000000003</v>
      </c>
      <c r="K140" s="2">
        <f t="shared" si="53"/>
        <v>4.4141162164205022E-3</v>
      </c>
      <c r="L140" s="2">
        <f t="shared" si="54"/>
        <v>1.0269351520426899E-2</v>
      </c>
      <c r="M140" s="4">
        <f t="shared" si="55"/>
        <v>5.0000000000000017E-2</v>
      </c>
      <c r="N140" s="1">
        <f t="shared" si="56"/>
        <v>-0.51804670912951167</v>
      </c>
      <c r="O140" s="1">
        <f t="shared" si="57"/>
        <v>-0.65435356200527706</v>
      </c>
      <c r="P140" s="1">
        <f t="shared" si="58"/>
        <v>-0.77227722772277241</v>
      </c>
      <c r="Q140" s="1">
        <f t="shared" si="59"/>
        <v>6.2008308133679586E-2</v>
      </c>
      <c r="R140" s="1">
        <f t="shared" si="60"/>
        <v>0.67871192264435198</v>
      </c>
      <c r="S140" s="1">
        <f t="shared" si="61"/>
        <v>0.28089887640449451</v>
      </c>
      <c r="T140" s="1"/>
    </row>
    <row r="141" spans="1:20">
      <c r="A141" t="s">
        <v>77</v>
      </c>
      <c r="B141" s="2">
        <v>0.14099999999999999</v>
      </c>
      <c r="C141" s="2">
        <v>7.0999999999999994E-2</v>
      </c>
      <c r="D141" s="2">
        <v>3.3000000000000002E-2</v>
      </c>
      <c r="E141" s="2">
        <v>6.83E-2</v>
      </c>
      <c r="F141" s="2">
        <v>2.52E-2</v>
      </c>
      <c r="G141" s="4">
        <v>0.127</v>
      </c>
      <c r="H141" s="2">
        <f t="shared" si="50"/>
        <v>-0.32999999999999996</v>
      </c>
      <c r="I141" s="2">
        <f t="shared" si="51"/>
        <v>-0.308</v>
      </c>
      <c r="J141" s="2">
        <f t="shared" si="52"/>
        <v>-0.16900000000000001</v>
      </c>
      <c r="K141" s="2">
        <f t="shared" si="53"/>
        <v>-2.8858837835794987E-3</v>
      </c>
      <c r="L141" s="2">
        <f t="shared" si="54"/>
        <v>1.00693515204269E-2</v>
      </c>
      <c r="M141" s="4">
        <f t="shared" si="55"/>
        <v>-5.099999999999999E-2</v>
      </c>
      <c r="N141" s="1">
        <f t="shared" si="56"/>
        <v>-0.70063694267515919</v>
      </c>
      <c r="O141" s="1">
        <f t="shared" si="57"/>
        <v>-0.81266490765171506</v>
      </c>
      <c r="P141" s="1">
        <f t="shared" si="58"/>
        <v>-0.8366336633663366</v>
      </c>
      <c r="Q141" s="1">
        <f t="shared" si="59"/>
        <v>-4.0540113154360916E-2</v>
      </c>
      <c r="R141" s="1">
        <f t="shared" si="60"/>
        <v>0.66549371852904216</v>
      </c>
      <c r="S141" s="1">
        <f t="shared" si="61"/>
        <v>-0.28651685393258425</v>
      </c>
      <c r="T141" s="1"/>
    </row>
    <row r="142" spans="1:20">
      <c r="A142" t="s">
        <v>169</v>
      </c>
      <c r="B142" s="2">
        <v>0.16021108179419527</v>
      </c>
      <c r="C142" s="2">
        <v>8.72E-2</v>
      </c>
      <c r="D142" s="2">
        <v>3.0099999999999998E-2</v>
      </c>
      <c r="E142" s="2">
        <v>7.6600000000000001E-2</v>
      </c>
      <c r="F142" s="2">
        <v>2.35E-2</v>
      </c>
      <c r="G142" s="4">
        <v>0.1585135135135135</v>
      </c>
      <c r="H142" s="2">
        <f t="shared" si="50"/>
        <v>-0.31078891820580468</v>
      </c>
      <c r="I142" s="2">
        <f t="shared" si="51"/>
        <v>-0.2918</v>
      </c>
      <c r="J142" s="2">
        <f t="shared" si="52"/>
        <v>-0.17190000000000003</v>
      </c>
      <c r="K142" s="2">
        <f t="shared" si="53"/>
        <v>5.4141162164205031E-3</v>
      </c>
      <c r="L142" s="2">
        <f t="shared" si="54"/>
        <v>8.3693515204269001E-3</v>
      </c>
      <c r="M142" s="4">
        <f t="shared" si="55"/>
        <v>-1.9486486486486487E-2</v>
      </c>
      <c r="N142" s="1">
        <f t="shared" si="56"/>
        <v>-0.65984908323950042</v>
      </c>
      <c r="O142" s="1">
        <f t="shared" si="57"/>
        <v>-0.76992084432717678</v>
      </c>
      <c r="P142" s="1">
        <f t="shared" si="58"/>
        <v>-0.85099009900990108</v>
      </c>
      <c r="Q142" s="1">
        <f t="shared" si="59"/>
        <v>7.6056037077246785E-2</v>
      </c>
      <c r="R142" s="1">
        <f t="shared" si="60"/>
        <v>0.55313898354890834</v>
      </c>
      <c r="S142" s="1">
        <f t="shared" si="61"/>
        <v>-0.10947464318250837</v>
      </c>
      <c r="T142" s="1"/>
    </row>
    <row r="143" spans="1:20">
      <c r="A143" t="s">
        <v>48</v>
      </c>
      <c r="B143" s="2">
        <v>0.13800000000000001</v>
      </c>
      <c r="C143" s="2">
        <v>8.5999999999999993E-2</v>
      </c>
      <c r="D143" s="2">
        <v>3.9E-2</v>
      </c>
      <c r="E143" s="2">
        <v>6.8900000000000003E-2</v>
      </c>
      <c r="F143" s="2">
        <v>2.3400000000000001E-2</v>
      </c>
      <c r="G143" s="4">
        <v>0.107</v>
      </c>
      <c r="H143" s="2">
        <f t="shared" si="50"/>
        <v>-0.33299999999999996</v>
      </c>
      <c r="I143" s="2">
        <f t="shared" si="51"/>
        <v>-0.29300000000000004</v>
      </c>
      <c r="J143" s="2">
        <f t="shared" si="52"/>
        <v>-0.16300000000000001</v>
      </c>
      <c r="K143" s="2">
        <f t="shared" si="53"/>
        <v>-2.2858837835794954E-3</v>
      </c>
      <c r="L143" s="2">
        <f t="shared" si="54"/>
        <v>8.2693515204269007E-3</v>
      </c>
      <c r="M143" s="4">
        <f t="shared" si="55"/>
        <v>-7.0999999999999994E-2</v>
      </c>
      <c r="N143" s="1">
        <f t="shared" si="56"/>
        <v>-0.70700636942675155</v>
      </c>
      <c r="O143" s="1">
        <f t="shared" si="57"/>
        <v>-0.77308707124010567</v>
      </c>
      <c r="P143" s="1">
        <f t="shared" si="58"/>
        <v>-0.80693069306930687</v>
      </c>
      <c r="Q143" s="1">
        <f t="shared" si="59"/>
        <v>-3.2111475788220559E-2</v>
      </c>
      <c r="R143" s="1">
        <f t="shared" si="60"/>
        <v>0.54652988149125348</v>
      </c>
      <c r="S143" s="1">
        <f t="shared" si="61"/>
        <v>-0.398876404494382</v>
      </c>
      <c r="T143" s="1"/>
    </row>
    <row r="144" spans="1:20">
      <c r="A144" t="s">
        <v>181</v>
      </c>
      <c r="B144" s="2">
        <v>0.13082373574978076</v>
      </c>
      <c r="C144" s="2">
        <v>7.9000000000000001E-2</v>
      </c>
      <c r="D144" s="2">
        <v>3.39E-2</v>
      </c>
      <c r="E144" s="2">
        <v>7.2900000000000006E-2</v>
      </c>
      <c r="F144" s="2">
        <v>2.3300000000000001E-2</v>
      </c>
      <c r="G144" s="4">
        <v>0.12438071845256371</v>
      </c>
      <c r="H144" s="2">
        <f t="shared" si="50"/>
        <v>-0.34017626425021918</v>
      </c>
      <c r="I144" s="2">
        <f t="shared" si="51"/>
        <v>-0.3</v>
      </c>
      <c r="J144" s="2">
        <f t="shared" si="52"/>
        <v>-0.16810000000000003</v>
      </c>
      <c r="K144" s="2">
        <f t="shared" si="53"/>
        <v>1.7141162164205082E-3</v>
      </c>
      <c r="L144" s="2">
        <f t="shared" si="54"/>
        <v>8.1693515204269013E-3</v>
      </c>
      <c r="M144" s="4">
        <f t="shared" si="55"/>
        <v>-5.3619281547436282E-2</v>
      </c>
      <c r="N144" s="1">
        <f t="shared" si="56"/>
        <v>-0.72224259925736556</v>
      </c>
      <c r="O144" s="1">
        <f t="shared" si="57"/>
        <v>-0.79155672823218992</v>
      </c>
      <c r="P144" s="1">
        <f t="shared" si="58"/>
        <v>-0.83217821782178225</v>
      </c>
      <c r="Q144" s="1">
        <f t="shared" si="59"/>
        <v>2.4079439986048255E-2</v>
      </c>
      <c r="R144" s="1">
        <f t="shared" si="60"/>
        <v>0.53992077943359862</v>
      </c>
      <c r="S144" s="1">
        <f t="shared" si="61"/>
        <v>-0.30123191880582184</v>
      </c>
      <c r="T144" s="1"/>
    </row>
    <row r="145" spans="1:19">
      <c r="A145" t="s">
        <v>81</v>
      </c>
      <c r="B145" s="2">
        <v>0.16400000000000001</v>
      </c>
      <c r="C145" s="2">
        <v>7.9000000000000001E-2</v>
      </c>
      <c r="D145" s="2">
        <v>3.7999999999999999E-2</v>
      </c>
      <c r="E145" s="2">
        <v>7.6600000000000001E-2</v>
      </c>
      <c r="F145" s="2">
        <v>2.23E-2</v>
      </c>
      <c r="G145" s="2">
        <v>0.16300000000000001</v>
      </c>
      <c r="H145" s="2">
        <f t="shared" si="50"/>
        <v>-0.30699999999999994</v>
      </c>
      <c r="I145" s="2">
        <f t="shared" si="51"/>
        <v>-0.3</v>
      </c>
      <c r="J145" s="2">
        <f t="shared" si="52"/>
        <v>-0.16400000000000001</v>
      </c>
      <c r="K145" s="2">
        <f t="shared" si="53"/>
        <v>5.4141162164205031E-3</v>
      </c>
      <c r="L145" s="2">
        <f t="shared" si="54"/>
        <v>7.1693515204269004E-3</v>
      </c>
      <c r="M145" s="4">
        <f t="shared" si="55"/>
        <v>-1.4999999999999986E-2</v>
      </c>
      <c r="N145" s="1">
        <f t="shared" si="56"/>
        <v>-0.65180467091295102</v>
      </c>
      <c r="O145" s="1">
        <f t="shared" si="57"/>
        <v>-0.79155672823218992</v>
      </c>
      <c r="P145" s="1">
        <f t="shared" si="58"/>
        <v>-0.81188118811881183</v>
      </c>
      <c r="Q145" s="1">
        <f t="shared" si="59"/>
        <v>7.6056037077246785E-2</v>
      </c>
      <c r="R145" s="1">
        <f t="shared" si="60"/>
        <v>0.4738297588570492</v>
      </c>
      <c r="S145" s="1">
        <f t="shared" si="61"/>
        <v>-8.4269662921348243E-2</v>
      </c>
    </row>
    <row r="146" spans="1:19">
      <c r="A146" t="s">
        <v>188</v>
      </c>
      <c r="B146" s="2">
        <v>0.18236404494382022</v>
      </c>
      <c r="C146" s="2">
        <v>9.11E-2</v>
      </c>
      <c r="D146" s="2">
        <v>3.8699999999999998E-2</v>
      </c>
      <c r="E146" s="2">
        <v>6.9400000000000003E-2</v>
      </c>
      <c r="F146" s="2">
        <v>2.1999999999999999E-2</v>
      </c>
      <c r="G146" s="2">
        <v>0.15159139784946235</v>
      </c>
      <c r="H146" s="2">
        <f t="shared" si="50"/>
        <v>-0.28863595505617978</v>
      </c>
      <c r="I146" s="2">
        <f t="shared" si="51"/>
        <v>-0.28789999999999999</v>
      </c>
      <c r="J146" s="2">
        <f t="shared" si="52"/>
        <v>-0.1633</v>
      </c>
      <c r="K146" s="2">
        <f t="shared" si="53"/>
        <v>-1.785883783579495E-3</v>
      </c>
      <c r="L146" s="2">
        <f t="shared" si="54"/>
        <v>6.8693515204268987E-3</v>
      </c>
      <c r="M146" s="4">
        <f t="shared" si="55"/>
        <v>-2.6408602150537641E-2</v>
      </c>
      <c r="N146" s="1">
        <f t="shared" si="56"/>
        <v>-0.61281519120208028</v>
      </c>
      <c r="O146" s="1">
        <f t="shared" si="57"/>
        <v>-0.75963060686015826</v>
      </c>
      <c r="P146" s="1">
        <f t="shared" si="58"/>
        <v>-0.80841584158415836</v>
      </c>
      <c r="Q146" s="1">
        <f t="shared" si="59"/>
        <v>-2.5087611316436956E-2</v>
      </c>
      <c r="R146" s="1">
        <f t="shared" si="60"/>
        <v>0.45400245268408435</v>
      </c>
      <c r="S146" s="1">
        <f t="shared" si="61"/>
        <v>-0.14836293342998674</v>
      </c>
    </row>
    <row r="147" spans="1:19">
      <c r="A147" t="s">
        <v>29</v>
      </c>
      <c r="B147" s="2">
        <v>0.14699999999999999</v>
      </c>
      <c r="C147" s="2">
        <v>9.7000000000000003E-2</v>
      </c>
      <c r="D147" s="2">
        <v>3.5999999999999997E-2</v>
      </c>
      <c r="E147" s="2">
        <v>6.6799999999999998E-2</v>
      </c>
      <c r="F147" s="2">
        <v>2.1899999999999999E-2</v>
      </c>
      <c r="G147" s="2">
        <v>0.128</v>
      </c>
      <c r="H147" s="2">
        <f t="shared" si="50"/>
        <v>-0.32399999999999995</v>
      </c>
      <c r="I147" s="2">
        <f t="shared" si="51"/>
        <v>-0.28200000000000003</v>
      </c>
      <c r="J147" s="2">
        <f t="shared" si="52"/>
        <v>-0.16600000000000001</v>
      </c>
      <c r="K147" s="2">
        <f t="shared" si="53"/>
        <v>-4.3858837835795E-3</v>
      </c>
      <c r="L147" s="2">
        <f t="shared" si="54"/>
        <v>6.7693515204268993E-3</v>
      </c>
      <c r="M147" s="4">
        <f t="shared" si="55"/>
        <v>-4.9999999999999989E-2</v>
      </c>
      <c r="N147" s="1">
        <f t="shared" si="56"/>
        <v>-0.68789808917197448</v>
      </c>
      <c r="O147" s="1">
        <f t="shared" si="57"/>
        <v>-0.74406332453825863</v>
      </c>
      <c r="P147" s="1">
        <f t="shared" si="58"/>
        <v>-0.82178217821782173</v>
      </c>
      <c r="Q147" s="1">
        <f t="shared" si="59"/>
        <v>-6.1611706569711724E-2</v>
      </c>
      <c r="R147" s="1">
        <f t="shared" si="60"/>
        <v>0.44739335062642943</v>
      </c>
      <c r="S147" s="1">
        <f t="shared" si="61"/>
        <v>-0.28089887640449435</v>
      </c>
    </row>
    <row r="148" spans="1:19">
      <c r="A148" t="s">
        <v>126</v>
      </c>
      <c r="B148" s="2">
        <v>0.16900000000000001</v>
      </c>
      <c r="C148" s="2">
        <v>9.7000000000000003E-2</v>
      </c>
      <c r="D148" s="2">
        <v>4.2000000000000003E-2</v>
      </c>
      <c r="E148" s="2">
        <v>5.8500000000000003E-2</v>
      </c>
      <c r="F148" s="2">
        <v>2.18E-2</v>
      </c>
      <c r="G148" s="2">
        <v>0.128</v>
      </c>
      <c r="H148" s="2">
        <f t="shared" si="50"/>
        <v>-0.30199999999999994</v>
      </c>
      <c r="I148" s="2">
        <f t="shared" si="51"/>
        <v>-0.28200000000000003</v>
      </c>
      <c r="J148" s="2">
        <f t="shared" si="52"/>
        <v>-0.16</v>
      </c>
      <c r="K148" s="2">
        <f t="shared" si="53"/>
        <v>-1.2685883783579495E-2</v>
      </c>
      <c r="L148" s="2">
        <f t="shared" si="54"/>
        <v>6.6693515204268999E-3</v>
      </c>
      <c r="M148" s="4">
        <f t="shared" si="55"/>
        <v>-4.9999999999999989E-2</v>
      </c>
      <c r="N148" s="1">
        <f t="shared" si="56"/>
        <v>-0.6411889596602971</v>
      </c>
      <c r="O148" s="1">
        <f t="shared" si="57"/>
        <v>-0.74406332453825863</v>
      </c>
      <c r="P148" s="1">
        <f t="shared" si="58"/>
        <v>-0.79207920792079201</v>
      </c>
      <c r="Q148" s="1">
        <f t="shared" si="59"/>
        <v>-0.17820785680131931</v>
      </c>
      <c r="R148" s="1">
        <f t="shared" si="60"/>
        <v>0.44078424856877452</v>
      </c>
      <c r="S148" s="1">
        <f t="shared" si="61"/>
        <v>-0.28089887640449435</v>
      </c>
    </row>
    <row r="149" spans="1:19">
      <c r="A149" t="s">
        <v>109</v>
      </c>
      <c r="B149" s="2">
        <v>0.17799999999999999</v>
      </c>
      <c r="C149" s="2">
        <v>8.4000000000000005E-2</v>
      </c>
      <c r="D149" s="2">
        <v>2.7E-2</v>
      </c>
      <c r="E149" s="2">
        <v>7.3499999999999996E-2</v>
      </c>
      <c r="F149" s="2">
        <v>2.1299999999999999E-2</v>
      </c>
      <c r="G149" s="2">
        <v>0.15</v>
      </c>
      <c r="H149" s="2">
        <f t="shared" si="50"/>
        <v>-0.29299999999999998</v>
      </c>
      <c r="I149" s="2">
        <f t="shared" si="51"/>
        <v>-0.29499999999999998</v>
      </c>
      <c r="J149" s="2">
        <f t="shared" si="52"/>
        <v>-0.17500000000000002</v>
      </c>
      <c r="K149" s="2">
        <f t="shared" si="53"/>
        <v>2.3141162164204976E-3</v>
      </c>
      <c r="L149" s="2">
        <f t="shared" si="54"/>
        <v>6.1693515204268995E-3</v>
      </c>
      <c r="M149" s="4">
        <f t="shared" si="55"/>
        <v>-2.7999999999999997E-2</v>
      </c>
      <c r="N149" s="1">
        <f t="shared" si="56"/>
        <v>-0.62208067940552014</v>
      </c>
      <c r="O149" s="1">
        <f t="shared" si="57"/>
        <v>-0.77836411609498679</v>
      </c>
      <c r="P149" s="1">
        <f t="shared" si="58"/>
        <v>-0.86633663366336633</v>
      </c>
      <c r="Q149" s="1">
        <f t="shared" si="59"/>
        <v>3.2508077352188421E-2</v>
      </c>
      <c r="R149" s="1">
        <f t="shared" si="60"/>
        <v>0.40773873828049989</v>
      </c>
      <c r="S149" s="1">
        <f t="shared" si="61"/>
        <v>-0.15730337078651685</v>
      </c>
    </row>
    <row r="150" spans="1:19">
      <c r="A150" t="s">
        <v>58</v>
      </c>
      <c r="B150" s="2">
        <v>0.192</v>
      </c>
      <c r="C150" s="2">
        <v>0.10299999999999999</v>
      </c>
      <c r="D150" s="2">
        <v>4.8000000000000001E-2</v>
      </c>
      <c r="E150" s="2">
        <v>4.7095660110986003E-2</v>
      </c>
      <c r="F150" s="2">
        <v>1.5880638907513001E-2</v>
      </c>
      <c r="G150" s="2">
        <v>0.115</v>
      </c>
      <c r="H150" s="2">
        <f t="shared" si="50"/>
        <v>-0.27899999999999997</v>
      </c>
      <c r="I150" s="2">
        <f t="shared" si="51"/>
        <v>-0.27600000000000002</v>
      </c>
      <c r="J150" s="2">
        <f t="shared" si="52"/>
        <v>-0.15400000000000003</v>
      </c>
      <c r="K150" s="2">
        <f t="shared" si="53"/>
        <v>-2.4090223672593496E-2</v>
      </c>
      <c r="L150" s="2">
        <f t="shared" si="54"/>
        <v>7.4999042793990126E-4</v>
      </c>
      <c r="M150" s="4">
        <f t="shared" si="55"/>
        <v>-6.2999999999999987E-2</v>
      </c>
      <c r="N150" s="1">
        <f t="shared" si="56"/>
        <v>-0.59235668789808915</v>
      </c>
      <c r="O150" s="1">
        <f t="shared" si="57"/>
        <v>-0.72823218997361483</v>
      </c>
      <c r="P150" s="1">
        <f t="shared" si="58"/>
        <v>-0.7623762376237625</v>
      </c>
      <c r="Q150" s="1">
        <f t="shared" si="59"/>
        <v>-0.33841293234249914</v>
      </c>
      <c r="R150" s="1">
        <f t="shared" si="60"/>
        <v>4.9567632805191025E-2</v>
      </c>
      <c r="S150" s="1">
        <f t="shared" si="61"/>
        <v>-0.35393258426966284</v>
      </c>
    </row>
    <row r="151" spans="1:19">
      <c r="A151" t="s">
        <v>39</v>
      </c>
      <c r="B151" s="2">
        <v>0.01</v>
      </c>
      <c r="C151" s="2">
        <v>4.2000000000000003E-2</v>
      </c>
      <c r="D151" s="2">
        <v>1.4E-2</v>
      </c>
      <c r="E151" s="2">
        <v>4.7E-2</v>
      </c>
      <c r="F151" s="2">
        <v>1.5800000000000002E-2</v>
      </c>
      <c r="G151" s="2">
        <v>8.9999999999999993E-3</v>
      </c>
      <c r="H151" s="2">
        <f t="shared" si="50"/>
        <v>-0.46099999999999997</v>
      </c>
      <c r="I151" s="2">
        <f t="shared" si="51"/>
        <v>-0.33700000000000002</v>
      </c>
      <c r="J151" s="2">
        <f t="shared" si="52"/>
        <v>-0.188</v>
      </c>
      <c r="K151" s="2">
        <f t="shared" si="53"/>
        <v>-2.4185883783579498E-2</v>
      </c>
      <c r="L151" s="2">
        <f t="shared" si="54"/>
        <v>6.6935152042690155E-4</v>
      </c>
      <c r="M151" s="4">
        <f t="shared" si="55"/>
        <v>-0.16899999999999998</v>
      </c>
      <c r="N151" s="1">
        <f t="shared" si="56"/>
        <v>-0.97876857749469215</v>
      </c>
      <c r="O151" s="1">
        <f t="shared" si="57"/>
        <v>-0.88918205804749351</v>
      </c>
      <c r="P151" s="1">
        <f t="shared" si="58"/>
        <v>-0.93069306930693063</v>
      </c>
      <c r="Q151" s="1">
        <f t="shared" si="59"/>
        <v>-0.33975673965234204</v>
      </c>
      <c r="R151" s="1">
        <f t="shared" si="60"/>
        <v>4.4238125109478901E-2</v>
      </c>
      <c r="S151" s="1">
        <f t="shared" si="61"/>
        <v>-0.949438202247191</v>
      </c>
    </row>
    <row r="152" spans="1:19">
      <c r="A152" t="s">
        <v>66</v>
      </c>
      <c r="B152" s="2">
        <v>0.111</v>
      </c>
      <c r="C152" s="2">
        <v>5.8000000000000003E-2</v>
      </c>
      <c r="D152" s="2">
        <v>2.7E-2</v>
      </c>
      <c r="E152" s="2">
        <v>3.9019069083925703E-2</v>
      </c>
      <c r="F152" s="2">
        <v>1.46610352607617E-2</v>
      </c>
      <c r="G152" s="2">
        <v>7.6999999999999999E-2</v>
      </c>
      <c r="H152" s="2">
        <f t="shared" si="50"/>
        <v>-0.36</v>
      </c>
      <c r="I152" s="2">
        <f t="shared" si="51"/>
        <v>-0.32100000000000001</v>
      </c>
      <c r="J152" s="2">
        <f t="shared" si="52"/>
        <v>-0.17500000000000002</v>
      </c>
      <c r="K152" s="2">
        <f t="shared" si="53"/>
        <v>-3.2166814699653795E-2</v>
      </c>
      <c r="L152" s="2">
        <f t="shared" si="54"/>
        <v>-4.6961321881140022E-4</v>
      </c>
      <c r="M152" s="4">
        <f t="shared" si="55"/>
        <v>-0.10099999999999999</v>
      </c>
      <c r="N152" s="1">
        <f t="shared" si="56"/>
        <v>-0.76433121019108285</v>
      </c>
      <c r="O152" s="1">
        <f t="shared" si="57"/>
        <v>-0.84696569920844333</v>
      </c>
      <c r="P152" s="1">
        <f t="shared" si="58"/>
        <v>-0.86633663366336633</v>
      </c>
      <c r="Q152" s="1">
        <f t="shared" si="59"/>
        <v>-0.45187069387868917</v>
      </c>
      <c r="R152" s="1">
        <f t="shared" si="60"/>
        <v>-3.1037216907483796E-2</v>
      </c>
      <c r="S152" s="1">
        <f t="shared" si="61"/>
        <v>-0.56741573033707859</v>
      </c>
    </row>
    <row r="153" spans="1:19">
      <c r="A153" t="s">
        <v>3</v>
      </c>
      <c r="B153" s="2">
        <v>0.28299999999999997</v>
      </c>
      <c r="C153" s="2">
        <v>0.17799999999999999</v>
      </c>
      <c r="D153" s="2">
        <v>6.7000000000000004E-2</v>
      </c>
      <c r="E153" s="2">
        <v>0</v>
      </c>
      <c r="F153" s="2">
        <v>0</v>
      </c>
      <c r="G153" s="2">
        <v>0</v>
      </c>
      <c r="H153" s="2">
        <f t="shared" si="50"/>
        <v>-0.188</v>
      </c>
      <c r="I153" s="2">
        <f t="shared" si="51"/>
        <v>-0.20100000000000001</v>
      </c>
      <c r="J153" s="2">
        <f t="shared" si="52"/>
        <v>-0.13500000000000001</v>
      </c>
      <c r="K153" s="2">
        <f t="shared" si="53"/>
        <v>-7.1185883783579498E-2</v>
      </c>
      <c r="L153" s="2">
        <f t="shared" si="54"/>
        <v>-1.51306484795731E-2</v>
      </c>
      <c r="M153" s="4">
        <f t="shared" si="55"/>
        <v>-0.17799999999999999</v>
      </c>
      <c r="N153" s="1">
        <f t="shared" si="56"/>
        <v>-0.39915074309978771</v>
      </c>
      <c r="O153" s="1">
        <f t="shared" si="57"/>
        <v>-0.53034300791556732</v>
      </c>
      <c r="P153" s="1">
        <f t="shared" si="58"/>
        <v>-0.66831683168316836</v>
      </c>
      <c r="Q153" s="1">
        <f t="shared" si="59"/>
        <v>-1</v>
      </c>
      <c r="R153" s="1">
        <f t="shared" si="60"/>
        <v>-1</v>
      </c>
      <c r="S153" s="1">
        <f t="shared" si="61"/>
        <v>-1</v>
      </c>
    </row>
    <row r="154" spans="1:19">
      <c r="A154" t="s">
        <v>5</v>
      </c>
      <c r="B154" s="2">
        <v>0.24099999999999999</v>
      </c>
      <c r="C154" s="2">
        <v>0.14899999999999999</v>
      </c>
      <c r="D154" s="2">
        <v>4.1000000000000002E-2</v>
      </c>
      <c r="E154" s="2">
        <v>0</v>
      </c>
      <c r="F154" s="2">
        <v>0</v>
      </c>
      <c r="G154" s="2">
        <v>0</v>
      </c>
      <c r="H154" s="2">
        <f t="shared" si="50"/>
        <v>-0.22999999999999998</v>
      </c>
      <c r="I154" s="2">
        <f t="shared" si="51"/>
        <v>-0.23</v>
      </c>
      <c r="J154" s="2">
        <f t="shared" si="52"/>
        <v>-0.161</v>
      </c>
      <c r="K154" s="2">
        <f t="shared" si="53"/>
        <v>-7.1185883783579498E-2</v>
      </c>
      <c r="L154" s="2">
        <f t="shared" si="54"/>
        <v>-1.51306484795731E-2</v>
      </c>
      <c r="M154" s="4">
        <f t="shared" si="55"/>
        <v>-0.17799999999999999</v>
      </c>
      <c r="N154" s="1">
        <f t="shared" si="56"/>
        <v>-0.48832271762208068</v>
      </c>
      <c r="O154" s="1">
        <f t="shared" si="57"/>
        <v>-0.60686015831134565</v>
      </c>
      <c r="P154" s="1">
        <f t="shared" si="58"/>
        <v>-0.79702970297029696</v>
      </c>
      <c r="Q154" s="1">
        <f t="shared" si="59"/>
        <v>-1</v>
      </c>
      <c r="R154" s="1">
        <f t="shared" si="60"/>
        <v>-1</v>
      </c>
      <c r="S154" s="1">
        <f t="shared" si="61"/>
        <v>-1</v>
      </c>
    </row>
    <row r="155" spans="1:19">
      <c r="A155" t="s">
        <v>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f t="shared" si="50"/>
        <v>-0.47099999999999997</v>
      </c>
      <c r="I155" s="2">
        <f t="shared" si="51"/>
        <v>-0.379</v>
      </c>
      <c r="J155" s="2">
        <f t="shared" si="52"/>
        <v>-0.20200000000000001</v>
      </c>
      <c r="K155" s="2">
        <f t="shared" si="53"/>
        <v>-7.1185883783579498E-2</v>
      </c>
      <c r="L155" s="2">
        <f t="shared" si="54"/>
        <v>-1.51306484795731E-2</v>
      </c>
      <c r="M155" s="4">
        <f t="shared" si="55"/>
        <v>-0.17799999999999999</v>
      </c>
      <c r="N155" s="1">
        <f t="shared" si="56"/>
        <v>-1</v>
      </c>
      <c r="O155" s="1">
        <f t="shared" si="57"/>
        <v>-1</v>
      </c>
      <c r="P155" s="1">
        <f t="shared" si="58"/>
        <v>-1</v>
      </c>
      <c r="Q155" s="1">
        <f t="shared" si="59"/>
        <v>-1</v>
      </c>
      <c r="R155" s="1">
        <f t="shared" si="60"/>
        <v>-1</v>
      </c>
      <c r="S155" s="1">
        <f t="shared" si="61"/>
        <v>-1</v>
      </c>
    </row>
    <row r="156" spans="1:19">
      <c r="A156" t="s">
        <v>7</v>
      </c>
      <c r="B156" s="2">
        <v>0.26</v>
      </c>
      <c r="C156" s="2">
        <v>0.184</v>
      </c>
      <c r="D156" s="2">
        <v>5.6000000000000001E-2</v>
      </c>
      <c r="E156" s="2">
        <v>0</v>
      </c>
      <c r="F156" s="2">
        <v>0</v>
      </c>
      <c r="G156" s="2">
        <v>0</v>
      </c>
      <c r="H156" s="2">
        <f t="shared" si="50"/>
        <v>-0.21099999999999997</v>
      </c>
      <c r="I156" s="2">
        <f t="shared" si="51"/>
        <v>-0.19500000000000001</v>
      </c>
      <c r="J156" s="2">
        <f t="shared" si="52"/>
        <v>-0.14600000000000002</v>
      </c>
      <c r="K156" s="2">
        <f t="shared" si="53"/>
        <v>-7.1185883783579498E-2</v>
      </c>
      <c r="L156" s="2">
        <f t="shared" si="54"/>
        <v>-1.51306484795731E-2</v>
      </c>
      <c r="M156" s="4">
        <f t="shared" si="55"/>
        <v>-0.17799999999999999</v>
      </c>
      <c r="N156" s="1">
        <f t="shared" si="56"/>
        <v>-0.44798301486199571</v>
      </c>
      <c r="O156" s="1">
        <f t="shared" si="57"/>
        <v>-0.51451187335092352</v>
      </c>
      <c r="P156" s="1">
        <f t="shared" si="58"/>
        <v>-0.72277227722772286</v>
      </c>
      <c r="Q156" s="1">
        <f t="shared" si="59"/>
        <v>-1</v>
      </c>
      <c r="R156" s="1">
        <f t="shared" si="60"/>
        <v>-1</v>
      </c>
      <c r="S156" s="1">
        <f t="shared" si="61"/>
        <v>-1</v>
      </c>
    </row>
    <row r="157" spans="1:19">
      <c r="A157" t="s">
        <v>12</v>
      </c>
      <c r="B157" s="2">
        <v>0.253</v>
      </c>
      <c r="C157" s="2">
        <v>0.182</v>
      </c>
      <c r="D157" s="2">
        <v>7.0000000000000007E-2</v>
      </c>
      <c r="E157" s="2">
        <v>0</v>
      </c>
      <c r="F157" s="2">
        <v>0</v>
      </c>
      <c r="G157" s="2">
        <v>0</v>
      </c>
      <c r="H157" s="2">
        <f t="shared" si="50"/>
        <v>-0.21799999999999997</v>
      </c>
      <c r="I157" s="2">
        <f t="shared" si="51"/>
        <v>-0.19700000000000001</v>
      </c>
      <c r="J157" s="2">
        <f t="shared" si="52"/>
        <v>-0.13200000000000001</v>
      </c>
      <c r="K157" s="2">
        <f t="shared" si="53"/>
        <v>-7.1185883783579498E-2</v>
      </c>
      <c r="L157" s="2">
        <f t="shared" si="54"/>
        <v>-1.51306484795731E-2</v>
      </c>
      <c r="M157" s="4">
        <f t="shared" si="55"/>
        <v>-0.17799999999999999</v>
      </c>
      <c r="N157" s="1">
        <f t="shared" si="56"/>
        <v>-0.46284501061571121</v>
      </c>
      <c r="O157" s="1">
        <f t="shared" si="57"/>
        <v>-0.51978891820580475</v>
      </c>
      <c r="P157" s="1">
        <f t="shared" si="58"/>
        <v>-0.65346534653465349</v>
      </c>
      <c r="Q157" s="1">
        <f t="shared" si="59"/>
        <v>-1</v>
      </c>
      <c r="R157" s="1">
        <f t="shared" si="60"/>
        <v>-1</v>
      </c>
      <c r="S157" s="1">
        <f t="shared" si="61"/>
        <v>-1</v>
      </c>
    </row>
    <row r="158" spans="1:19">
      <c r="A158" t="s">
        <v>14</v>
      </c>
      <c r="B158" s="2">
        <v>0.20499999999999999</v>
      </c>
      <c r="C158" s="2">
        <v>0.125</v>
      </c>
      <c r="D158" s="2">
        <v>2.9000000000000001E-2</v>
      </c>
      <c r="E158" s="2">
        <v>0</v>
      </c>
      <c r="F158" s="2">
        <v>0</v>
      </c>
      <c r="G158" s="2">
        <v>0</v>
      </c>
      <c r="H158" s="2">
        <f t="shared" si="50"/>
        <v>-0.26600000000000001</v>
      </c>
      <c r="I158" s="2">
        <f t="shared" si="51"/>
        <v>-0.254</v>
      </c>
      <c r="J158" s="2">
        <f t="shared" si="52"/>
        <v>-0.17300000000000001</v>
      </c>
      <c r="K158" s="2">
        <f t="shared" si="53"/>
        <v>-7.1185883783579498E-2</v>
      </c>
      <c r="L158" s="2">
        <f t="shared" si="54"/>
        <v>-1.51306484795731E-2</v>
      </c>
      <c r="M158" s="4">
        <f t="shared" si="55"/>
        <v>-0.17799999999999999</v>
      </c>
      <c r="N158" s="1">
        <f t="shared" si="56"/>
        <v>-0.56475583864118906</v>
      </c>
      <c r="O158" s="1">
        <f t="shared" si="57"/>
        <v>-0.67018469656992086</v>
      </c>
      <c r="P158" s="1">
        <f t="shared" si="58"/>
        <v>-0.85643564356435642</v>
      </c>
      <c r="Q158" s="1">
        <f t="shared" si="59"/>
        <v>-1</v>
      </c>
      <c r="R158" s="1">
        <f t="shared" si="60"/>
        <v>-1</v>
      </c>
      <c r="S158" s="1">
        <f t="shared" si="61"/>
        <v>-1</v>
      </c>
    </row>
    <row r="159" spans="1:19">
      <c r="A159" t="s">
        <v>15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f t="shared" si="50"/>
        <v>-0.47099999999999997</v>
      </c>
      <c r="I159" s="2">
        <f t="shared" si="51"/>
        <v>-0.379</v>
      </c>
      <c r="J159" s="2">
        <f t="shared" si="52"/>
        <v>-0.20200000000000001</v>
      </c>
      <c r="K159" s="2">
        <f t="shared" si="53"/>
        <v>-7.1185883783579498E-2</v>
      </c>
      <c r="L159" s="2">
        <f t="shared" si="54"/>
        <v>-1.51306484795731E-2</v>
      </c>
      <c r="M159" s="4">
        <f t="shared" si="55"/>
        <v>-0.17799999999999999</v>
      </c>
      <c r="N159" s="1">
        <f t="shared" si="56"/>
        <v>-1</v>
      </c>
      <c r="O159" s="1">
        <f t="shared" si="57"/>
        <v>-1</v>
      </c>
      <c r="P159" s="1">
        <f t="shared" si="58"/>
        <v>-1</v>
      </c>
      <c r="Q159" s="1">
        <f t="shared" si="59"/>
        <v>-1</v>
      </c>
      <c r="R159" s="1">
        <f t="shared" si="60"/>
        <v>-1</v>
      </c>
      <c r="S159" s="1">
        <f t="shared" si="61"/>
        <v>-1</v>
      </c>
    </row>
    <row r="160" spans="1:19">
      <c r="A160" t="s">
        <v>16</v>
      </c>
      <c r="B160" s="2">
        <v>0.27</v>
      </c>
      <c r="C160" s="2">
        <v>0.185</v>
      </c>
      <c r="D160" s="2">
        <v>5.7000000000000002E-2</v>
      </c>
      <c r="E160" s="2">
        <v>0</v>
      </c>
      <c r="F160" s="2">
        <v>0</v>
      </c>
      <c r="G160" s="2">
        <v>0</v>
      </c>
      <c r="H160" s="2">
        <f t="shared" si="50"/>
        <v>-0.20099999999999996</v>
      </c>
      <c r="I160" s="2">
        <f t="shared" si="51"/>
        <v>-0.19400000000000001</v>
      </c>
      <c r="J160" s="2">
        <f t="shared" si="52"/>
        <v>-0.14500000000000002</v>
      </c>
      <c r="K160" s="2">
        <f t="shared" si="53"/>
        <v>-7.1185883783579498E-2</v>
      </c>
      <c r="L160" s="2">
        <f t="shared" si="54"/>
        <v>-1.51306484795731E-2</v>
      </c>
      <c r="M160" s="4">
        <f t="shared" si="55"/>
        <v>-0.17799999999999999</v>
      </c>
      <c r="N160" s="1">
        <f t="shared" si="56"/>
        <v>-0.4267515923566878</v>
      </c>
      <c r="O160" s="1">
        <f t="shared" si="57"/>
        <v>-0.51187335092348285</v>
      </c>
      <c r="P160" s="1">
        <f t="shared" si="58"/>
        <v>-0.7178217821782179</v>
      </c>
      <c r="Q160" s="1">
        <f t="shared" si="59"/>
        <v>-1</v>
      </c>
      <c r="R160" s="1">
        <f t="shared" si="60"/>
        <v>-1</v>
      </c>
      <c r="S160" s="1">
        <f t="shared" si="61"/>
        <v>-1</v>
      </c>
    </row>
    <row r="161" spans="1:19">
      <c r="A161" t="s">
        <v>18</v>
      </c>
      <c r="B161" s="2">
        <v>0.23499999999999999</v>
      </c>
      <c r="C161" s="2">
        <v>0.16400000000000001</v>
      </c>
      <c r="D161" s="2">
        <v>5.1999999999999998E-2</v>
      </c>
      <c r="E161" s="2">
        <v>0</v>
      </c>
      <c r="F161" s="2">
        <v>0</v>
      </c>
      <c r="G161" s="2">
        <v>0</v>
      </c>
      <c r="H161" s="2">
        <f t="shared" si="50"/>
        <v>-0.23599999999999999</v>
      </c>
      <c r="I161" s="2">
        <f t="shared" si="51"/>
        <v>-0.215</v>
      </c>
      <c r="J161" s="2">
        <f t="shared" si="52"/>
        <v>-0.15000000000000002</v>
      </c>
      <c r="K161" s="2">
        <f t="shared" si="53"/>
        <v>-7.1185883783579498E-2</v>
      </c>
      <c r="L161" s="2">
        <f t="shared" si="54"/>
        <v>-1.51306484795731E-2</v>
      </c>
      <c r="M161" s="4">
        <f t="shared" si="55"/>
        <v>-0.17799999999999999</v>
      </c>
      <c r="N161" s="1">
        <f t="shared" si="56"/>
        <v>-0.50106157112526539</v>
      </c>
      <c r="O161" s="1">
        <f t="shared" si="57"/>
        <v>-0.56728232189973615</v>
      </c>
      <c r="P161" s="1">
        <f t="shared" si="58"/>
        <v>-0.74257425742574268</v>
      </c>
      <c r="Q161" s="1">
        <f t="shared" si="59"/>
        <v>-1</v>
      </c>
      <c r="R161" s="1">
        <f t="shared" si="60"/>
        <v>-1</v>
      </c>
      <c r="S161" s="1">
        <f t="shared" si="61"/>
        <v>-1</v>
      </c>
    </row>
    <row r="162" spans="1:19">
      <c r="A162" t="s">
        <v>20</v>
      </c>
      <c r="B162" s="2">
        <v>0.155</v>
      </c>
      <c r="C162" s="2">
        <v>7.3999999999999996E-2</v>
      </c>
      <c r="D162" s="2">
        <v>0.02</v>
      </c>
      <c r="E162" s="2">
        <v>0</v>
      </c>
      <c r="F162" s="2">
        <v>0</v>
      </c>
      <c r="G162" s="2">
        <v>0</v>
      </c>
      <c r="H162" s="2">
        <f t="shared" ref="H162:H193" si="62">B162-V$2</f>
        <v>-0.31599999999999995</v>
      </c>
      <c r="I162" s="2">
        <f t="shared" ref="I162:I193" si="63">C162-W$2</f>
        <v>-0.30499999999999999</v>
      </c>
      <c r="J162" s="2">
        <f t="shared" ref="J162:J193" si="64">D162-X$2</f>
        <v>-0.18200000000000002</v>
      </c>
      <c r="K162" s="2">
        <f t="shared" ref="K162:K193" si="65">E162-Y$2</f>
        <v>-7.1185883783579498E-2</v>
      </c>
      <c r="L162" s="2">
        <f t="shared" ref="L162:L193" si="66">F162-Z$2</f>
        <v>-1.51306484795731E-2</v>
      </c>
      <c r="M162" s="4">
        <f t="shared" ref="M162:M193" si="67">G162-AA$2</f>
        <v>-0.17799999999999999</v>
      </c>
      <c r="N162" s="1">
        <f t="shared" ref="N162:N193" si="68">(B162-V$2)/V$2</f>
        <v>-0.6709129511677282</v>
      </c>
      <c r="O162" s="1">
        <f t="shared" ref="O162:O193" si="69">(C162-W$2)/W$2</f>
        <v>-0.80474934036939316</v>
      </c>
      <c r="P162" s="1">
        <f t="shared" ref="P162:P193" si="70">(D162-X$2)/X$2</f>
        <v>-0.90099009900990101</v>
      </c>
      <c r="Q162" s="1">
        <f t="shared" ref="Q162:Q193" si="71">(E162-Y$2)/Y$2</f>
        <v>-1</v>
      </c>
      <c r="R162" s="1">
        <f t="shared" ref="R162:R193" si="72">(F162-Z$2)/Z$2</f>
        <v>-1</v>
      </c>
      <c r="S162" s="1">
        <f t="shared" ref="S162:S193" si="73">(G162-AA$2)/AA$2</f>
        <v>-1</v>
      </c>
    </row>
    <row r="163" spans="1:19">
      <c r="A163" t="s">
        <v>21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f t="shared" si="62"/>
        <v>-0.47099999999999997</v>
      </c>
      <c r="I163" s="2">
        <f t="shared" si="63"/>
        <v>-0.379</v>
      </c>
      <c r="J163" s="2">
        <f t="shared" si="64"/>
        <v>-0.20200000000000001</v>
      </c>
      <c r="K163" s="2">
        <f t="shared" si="65"/>
        <v>-7.1185883783579498E-2</v>
      </c>
      <c r="L163" s="2">
        <f t="shared" si="66"/>
        <v>-1.51306484795731E-2</v>
      </c>
      <c r="M163" s="4">
        <f t="shared" si="67"/>
        <v>-0.17799999999999999</v>
      </c>
      <c r="N163" s="1">
        <f t="shared" si="68"/>
        <v>-1</v>
      </c>
      <c r="O163" s="1">
        <f t="shared" si="69"/>
        <v>-1</v>
      </c>
      <c r="P163" s="1">
        <f t="shared" si="70"/>
        <v>-1</v>
      </c>
      <c r="Q163" s="1">
        <f t="shared" si="71"/>
        <v>-1</v>
      </c>
      <c r="R163" s="1">
        <f t="shared" si="72"/>
        <v>-1</v>
      </c>
      <c r="S163" s="1">
        <f t="shared" si="73"/>
        <v>-1</v>
      </c>
    </row>
    <row r="164" spans="1:19">
      <c r="A164" t="s">
        <v>22</v>
      </c>
      <c r="B164" s="2">
        <v>0.26900000000000002</v>
      </c>
      <c r="C164" s="2">
        <v>0.17399999999999999</v>
      </c>
      <c r="D164" s="2">
        <v>5.8000000000000003E-2</v>
      </c>
      <c r="E164" s="2">
        <v>0</v>
      </c>
      <c r="F164" s="2">
        <v>0</v>
      </c>
      <c r="G164" s="2">
        <v>0</v>
      </c>
      <c r="H164" s="2">
        <f t="shared" si="62"/>
        <v>-0.20199999999999996</v>
      </c>
      <c r="I164" s="2">
        <f t="shared" si="63"/>
        <v>-0.20500000000000002</v>
      </c>
      <c r="J164" s="2">
        <f t="shared" si="64"/>
        <v>-0.14400000000000002</v>
      </c>
      <c r="K164" s="2">
        <f t="shared" si="65"/>
        <v>-7.1185883783579498E-2</v>
      </c>
      <c r="L164" s="2">
        <f t="shared" si="66"/>
        <v>-1.51306484795731E-2</v>
      </c>
      <c r="M164" s="4">
        <f t="shared" si="67"/>
        <v>-0.17799999999999999</v>
      </c>
      <c r="N164" s="1">
        <f t="shared" si="68"/>
        <v>-0.42887473460721864</v>
      </c>
      <c r="O164" s="1">
        <f t="shared" si="69"/>
        <v>-0.54089709762532989</v>
      </c>
      <c r="P164" s="1">
        <f t="shared" si="70"/>
        <v>-0.71287128712871295</v>
      </c>
      <c r="Q164" s="1">
        <f t="shared" si="71"/>
        <v>-1</v>
      </c>
      <c r="R164" s="1">
        <f t="shared" si="72"/>
        <v>-1</v>
      </c>
      <c r="S164" s="1">
        <f t="shared" si="73"/>
        <v>-1</v>
      </c>
    </row>
    <row r="165" spans="1:19">
      <c r="A165" t="s">
        <v>24</v>
      </c>
      <c r="B165" s="2">
        <v>0.27400000000000002</v>
      </c>
      <c r="C165" s="2">
        <v>0.19700000000000001</v>
      </c>
      <c r="D165" s="2">
        <v>6.6000000000000003E-2</v>
      </c>
      <c r="E165" s="2">
        <v>0</v>
      </c>
      <c r="F165" s="2">
        <v>0</v>
      </c>
      <c r="G165" s="2">
        <v>0</v>
      </c>
      <c r="H165" s="2">
        <f t="shared" si="62"/>
        <v>-0.19699999999999995</v>
      </c>
      <c r="I165" s="2">
        <f t="shared" si="63"/>
        <v>-0.182</v>
      </c>
      <c r="J165" s="2">
        <f t="shared" si="64"/>
        <v>-0.13600000000000001</v>
      </c>
      <c r="K165" s="2">
        <f t="shared" si="65"/>
        <v>-7.1185883783579498E-2</v>
      </c>
      <c r="L165" s="2">
        <f t="shared" si="66"/>
        <v>-1.51306484795731E-2</v>
      </c>
      <c r="M165" s="4">
        <f t="shared" si="67"/>
        <v>-0.17799999999999999</v>
      </c>
      <c r="N165" s="1">
        <f t="shared" si="68"/>
        <v>-0.41825902335456466</v>
      </c>
      <c r="O165" s="1">
        <f t="shared" si="69"/>
        <v>-0.48021108179419525</v>
      </c>
      <c r="P165" s="1">
        <f t="shared" si="70"/>
        <v>-0.67326732673267331</v>
      </c>
      <c r="Q165" s="1">
        <f t="shared" si="71"/>
        <v>-1</v>
      </c>
      <c r="R165" s="1">
        <f t="shared" si="72"/>
        <v>-1</v>
      </c>
      <c r="S165" s="1">
        <f t="shared" si="73"/>
        <v>-1</v>
      </c>
    </row>
    <row r="166" spans="1:19">
      <c r="A166" t="s">
        <v>26</v>
      </c>
      <c r="B166" s="2">
        <v>0.152</v>
      </c>
      <c r="C166" s="2">
        <v>8.4000000000000005E-2</v>
      </c>
      <c r="D166" s="2">
        <v>2.1000000000000001E-2</v>
      </c>
      <c r="E166" s="2">
        <v>0</v>
      </c>
      <c r="F166" s="2">
        <v>0</v>
      </c>
      <c r="G166" s="2">
        <v>0</v>
      </c>
      <c r="H166" s="2">
        <f t="shared" si="62"/>
        <v>-0.31899999999999995</v>
      </c>
      <c r="I166" s="2">
        <f t="shared" si="63"/>
        <v>-0.29499999999999998</v>
      </c>
      <c r="J166" s="2">
        <f t="shared" si="64"/>
        <v>-0.18100000000000002</v>
      </c>
      <c r="K166" s="2">
        <f t="shared" si="65"/>
        <v>-7.1185883783579498E-2</v>
      </c>
      <c r="L166" s="2">
        <f t="shared" si="66"/>
        <v>-1.51306484795731E-2</v>
      </c>
      <c r="M166" s="4">
        <f t="shared" si="67"/>
        <v>-0.17799999999999999</v>
      </c>
      <c r="N166" s="1">
        <f t="shared" si="68"/>
        <v>-0.67728237791932056</v>
      </c>
      <c r="O166" s="1">
        <f t="shared" si="69"/>
        <v>-0.77836411609498679</v>
      </c>
      <c r="P166" s="1">
        <f t="shared" si="70"/>
        <v>-0.89603960396039606</v>
      </c>
      <c r="Q166" s="1">
        <f t="shared" si="71"/>
        <v>-1</v>
      </c>
      <c r="R166" s="1">
        <f t="shared" si="72"/>
        <v>-1</v>
      </c>
      <c r="S166" s="1">
        <f t="shared" si="73"/>
        <v>-1</v>
      </c>
    </row>
    <row r="167" spans="1:19">
      <c r="A167" t="s">
        <v>27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f t="shared" si="62"/>
        <v>-0.47099999999999997</v>
      </c>
      <c r="I167" s="2">
        <f t="shared" si="63"/>
        <v>-0.379</v>
      </c>
      <c r="J167" s="2">
        <f t="shared" si="64"/>
        <v>-0.20200000000000001</v>
      </c>
      <c r="K167" s="2">
        <f t="shared" si="65"/>
        <v>-7.1185883783579498E-2</v>
      </c>
      <c r="L167" s="2">
        <f t="shared" si="66"/>
        <v>-1.51306484795731E-2</v>
      </c>
      <c r="M167" s="4">
        <f t="shared" si="67"/>
        <v>-0.17799999999999999</v>
      </c>
      <c r="N167" s="1">
        <f t="shared" si="68"/>
        <v>-1</v>
      </c>
      <c r="O167" s="1">
        <f t="shared" si="69"/>
        <v>-1</v>
      </c>
      <c r="P167" s="1">
        <f t="shared" si="70"/>
        <v>-1</v>
      </c>
      <c r="Q167" s="1">
        <f t="shared" si="71"/>
        <v>-1</v>
      </c>
      <c r="R167" s="1">
        <f t="shared" si="72"/>
        <v>-1</v>
      </c>
      <c r="S167" s="1">
        <f t="shared" si="73"/>
        <v>-1</v>
      </c>
    </row>
    <row r="168" spans="1:19">
      <c r="A168" t="s">
        <v>28</v>
      </c>
      <c r="B168" s="2">
        <v>0.29399999999999998</v>
      </c>
      <c r="C168" s="2">
        <v>0.20300000000000001</v>
      </c>
      <c r="D168" s="2">
        <v>6.2E-2</v>
      </c>
      <c r="E168" s="2">
        <v>0</v>
      </c>
      <c r="F168" s="2">
        <v>0</v>
      </c>
      <c r="G168" s="2">
        <v>0</v>
      </c>
      <c r="H168" s="2">
        <f t="shared" si="62"/>
        <v>-0.17699999999999999</v>
      </c>
      <c r="I168" s="2">
        <f t="shared" si="63"/>
        <v>-0.17599999999999999</v>
      </c>
      <c r="J168" s="2">
        <f t="shared" si="64"/>
        <v>-0.14000000000000001</v>
      </c>
      <c r="K168" s="2">
        <f t="shared" si="65"/>
        <v>-7.1185883783579498E-2</v>
      </c>
      <c r="L168" s="2">
        <f t="shared" si="66"/>
        <v>-1.51306484795731E-2</v>
      </c>
      <c r="M168" s="4">
        <f t="shared" si="67"/>
        <v>-0.17799999999999999</v>
      </c>
      <c r="N168" s="1">
        <f t="shared" si="68"/>
        <v>-0.37579617834394907</v>
      </c>
      <c r="O168" s="1">
        <f t="shared" si="69"/>
        <v>-0.46437994722955139</v>
      </c>
      <c r="P168" s="1">
        <f t="shared" si="70"/>
        <v>-0.69306930693069313</v>
      </c>
      <c r="Q168" s="1">
        <f t="shared" si="71"/>
        <v>-1</v>
      </c>
      <c r="R168" s="1">
        <f t="shared" si="72"/>
        <v>-1</v>
      </c>
      <c r="S168" s="1">
        <f t="shared" si="73"/>
        <v>-1</v>
      </c>
    </row>
    <row r="169" spans="1:19">
      <c r="A169" t="s">
        <v>30</v>
      </c>
      <c r="B169" s="2">
        <v>0.29599999999999999</v>
      </c>
      <c r="C169" s="2">
        <v>0.24</v>
      </c>
      <c r="D169" s="2">
        <v>8.8999999999999996E-2</v>
      </c>
      <c r="E169" s="2">
        <v>0</v>
      </c>
      <c r="F169" s="2">
        <v>0</v>
      </c>
      <c r="G169" s="2">
        <v>0</v>
      </c>
      <c r="H169" s="2">
        <f t="shared" si="62"/>
        <v>-0.17499999999999999</v>
      </c>
      <c r="I169" s="2">
        <f t="shared" si="63"/>
        <v>-0.13900000000000001</v>
      </c>
      <c r="J169" s="2">
        <f t="shared" si="64"/>
        <v>-0.11300000000000002</v>
      </c>
      <c r="K169" s="2">
        <f t="shared" si="65"/>
        <v>-7.1185883783579498E-2</v>
      </c>
      <c r="L169" s="2">
        <f t="shared" si="66"/>
        <v>-1.51306484795731E-2</v>
      </c>
      <c r="M169" s="4">
        <f t="shared" si="67"/>
        <v>-0.17799999999999999</v>
      </c>
      <c r="N169" s="1">
        <f t="shared" si="68"/>
        <v>-0.37154989384288745</v>
      </c>
      <c r="O169" s="1">
        <f t="shared" si="69"/>
        <v>-0.36675461741424803</v>
      </c>
      <c r="P169" s="1">
        <f t="shared" si="70"/>
        <v>-0.55940594059405946</v>
      </c>
      <c r="Q169" s="1">
        <f t="shared" si="71"/>
        <v>-1</v>
      </c>
      <c r="R169" s="1">
        <f t="shared" si="72"/>
        <v>-1</v>
      </c>
      <c r="S169" s="1">
        <f t="shared" si="73"/>
        <v>-1</v>
      </c>
    </row>
    <row r="170" spans="1:19">
      <c r="A170" t="s">
        <v>32</v>
      </c>
      <c r="B170" s="2">
        <v>0.23200000000000001</v>
      </c>
      <c r="C170" s="2">
        <v>0.154</v>
      </c>
      <c r="D170" s="2">
        <v>5.0999999999999997E-2</v>
      </c>
      <c r="E170" s="2">
        <v>0</v>
      </c>
      <c r="F170" s="2">
        <v>0</v>
      </c>
      <c r="G170" s="2">
        <v>0</v>
      </c>
      <c r="H170" s="2">
        <f t="shared" si="62"/>
        <v>-0.23899999999999996</v>
      </c>
      <c r="I170" s="2">
        <f t="shared" si="63"/>
        <v>-0.22500000000000001</v>
      </c>
      <c r="J170" s="2">
        <f t="shared" si="64"/>
        <v>-0.15100000000000002</v>
      </c>
      <c r="K170" s="2">
        <f t="shared" si="65"/>
        <v>-7.1185883783579498E-2</v>
      </c>
      <c r="L170" s="2">
        <f t="shared" si="66"/>
        <v>-1.51306484795731E-2</v>
      </c>
      <c r="M170" s="4">
        <f t="shared" si="67"/>
        <v>-0.17799999999999999</v>
      </c>
      <c r="N170" s="1">
        <f t="shared" si="68"/>
        <v>-0.50743099787685775</v>
      </c>
      <c r="O170" s="1">
        <f t="shared" si="69"/>
        <v>-0.59366754617414252</v>
      </c>
      <c r="P170" s="1">
        <f t="shared" si="70"/>
        <v>-0.74752475247524763</v>
      </c>
      <c r="Q170" s="1">
        <f t="shared" si="71"/>
        <v>-1</v>
      </c>
      <c r="R170" s="1">
        <f t="shared" si="72"/>
        <v>-1</v>
      </c>
      <c r="S170" s="1">
        <f t="shared" si="73"/>
        <v>-1</v>
      </c>
    </row>
    <row r="171" spans="1:19">
      <c r="A171" t="s">
        <v>33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f t="shared" si="62"/>
        <v>-0.47099999999999997</v>
      </c>
      <c r="I171" s="2">
        <f t="shared" si="63"/>
        <v>-0.379</v>
      </c>
      <c r="J171" s="2">
        <f t="shared" si="64"/>
        <v>-0.20200000000000001</v>
      </c>
      <c r="K171" s="2">
        <f t="shared" si="65"/>
        <v>-7.1185883783579498E-2</v>
      </c>
      <c r="L171" s="2">
        <f t="shared" si="66"/>
        <v>-1.51306484795731E-2</v>
      </c>
      <c r="M171" s="4">
        <f t="shared" si="67"/>
        <v>-0.17799999999999999</v>
      </c>
      <c r="N171" s="1">
        <f t="shared" si="68"/>
        <v>-1</v>
      </c>
      <c r="O171" s="1">
        <f t="shared" si="69"/>
        <v>-1</v>
      </c>
      <c r="P171" s="1">
        <f t="shared" si="70"/>
        <v>-1</v>
      </c>
      <c r="Q171" s="1">
        <f t="shared" si="71"/>
        <v>-1</v>
      </c>
      <c r="R171" s="1">
        <f t="shared" si="72"/>
        <v>-1</v>
      </c>
      <c r="S171" s="1">
        <f t="shared" si="73"/>
        <v>-1</v>
      </c>
    </row>
    <row r="172" spans="1:19">
      <c r="A172" t="s">
        <v>34</v>
      </c>
      <c r="B172" s="2">
        <v>0.34499999999999997</v>
      </c>
      <c r="C172" s="2">
        <v>0.26200000000000001</v>
      </c>
      <c r="D172" s="2">
        <v>0.105</v>
      </c>
      <c r="E172" s="2">
        <v>0</v>
      </c>
      <c r="F172" s="2">
        <v>0</v>
      </c>
      <c r="G172" s="2">
        <v>0</v>
      </c>
      <c r="H172" s="2">
        <f t="shared" si="62"/>
        <v>-0.126</v>
      </c>
      <c r="I172" s="2">
        <f t="shared" si="63"/>
        <v>-0.11699999999999999</v>
      </c>
      <c r="J172" s="2">
        <f t="shared" si="64"/>
        <v>-9.7000000000000017E-2</v>
      </c>
      <c r="K172" s="2">
        <f t="shared" si="65"/>
        <v>-7.1185883783579498E-2</v>
      </c>
      <c r="L172" s="2">
        <f t="shared" si="66"/>
        <v>-1.51306484795731E-2</v>
      </c>
      <c r="M172" s="4">
        <f t="shared" si="67"/>
        <v>-0.17799999999999999</v>
      </c>
      <c r="N172" s="1">
        <f t="shared" si="68"/>
        <v>-0.26751592356687898</v>
      </c>
      <c r="O172" s="1">
        <f t="shared" si="69"/>
        <v>-0.30870712401055406</v>
      </c>
      <c r="P172" s="1">
        <f t="shared" si="70"/>
        <v>-0.48019801980198024</v>
      </c>
      <c r="Q172" s="1">
        <f t="shared" si="71"/>
        <v>-1</v>
      </c>
      <c r="R172" s="1">
        <f t="shared" si="72"/>
        <v>-1</v>
      </c>
      <c r="S172" s="1">
        <f t="shared" si="73"/>
        <v>-1</v>
      </c>
    </row>
    <row r="173" spans="1:19">
      <c r="A173" t="s">
        <v>36</v>
      </c>
      <c r="B173" s="2">
        <v>0.30599999999999999</v>
      </c>
      <c r="C173" s="2">
        <v>0.255</v>
      </c>
      <c r="D173" s="2">
        <v>0.107</v>
      </c>
      <c r="E173" s="2">
        <v>0</v>
      </c>
      <c r="F173" s="2">
        <v>0</v>
      </c>
      <c r="G173" s="2">
        <v>0</v>
      </c>
      <c r="H173" s="2">
        <f t="shared" si="62"/>
        <v>-0.16499999999999998</v>
      </c>
      <c r="I173" s="2">
        <f t="shared" si="63"/>
        <v>-0.124</v>
      </c>
      <c r="J173" s="2">
        <f t="shared" si="64"/>
        <v>-9.5000000000000015E-2</v>
      </c>
      <c r="K173" s="2">
        <f t="shared" si="65"/>
        <v>-7.1185883783579498E-2</v>
      </c>
      <c r="L173" s="2">
        <f t="shared" si="66"/>
        <v>-1.51306484795731E-2</v>
      </c>
      <c r="M173" s="4">
        <f t="shared" si="67"/>
        <v>-0.17799999999999999</v>
      </c>
      <c r="N173" s="1">
        <f t="shared" si="68"/>
        <v>-0.3503184713375796</v>
      </c>
      <c r="O173" s="1">
        <f t="shared" si="69"/>
        <v>-0.32717678100263853</v>
      </c>
      <c r="P173" s="1">
        <f t="shared" si="70"/>
        <v>-0.47029702970297033</v>
      </c>
      <c r="Q173" s="1">
        <f t="shared" si="71"/>
        <v>-1</v>
      </c>
      <c r="R173" s="1">
        <f t="shared" si="72"/>
        <v>-1</v>
      </c>
      <c r="S173" s="1">
        <f t="shared" si="73"/>
        <v>-1</v>
      </c>
    </row>
    <row r="174" spans="1:19">
      <c r="A174" t="s">
        <v>38</v>
      </c>
      <c r="B174" s="2">
        <v>0.23100000000000001</v>
      </c>
      <c r="C174" s="2">
        <v>0.14299999999999999</v>
      </c>
      <c r="D174" s="2">
        <v>0.04</v>
      </c>
      <c r="E174" s="2">
        <v>0</v>
      </c>
      <c r="F174" s="2">
        <v>0</v>
      </c>
      <c r="G174" s="2">
        <v>0</v>
      </c>
      <c r="H174" s="2">
        <f t="shared" si="62"/>
        <v>-0.23999999999999996</v>
      </c>
      <c r="I174" s="2">
        <f t="shared" si="63"/>
        <v>-0.23600000000000002</v>
      </c>
      <c r="J174" s="2">
        <f t="shared" si="64"/>
        <v>-0.16200000000000001</v>
      </c>
      <c r="K174" s="2">
        <f t="shared" si="65"/>
        <v>-7.1185883783579498E-2</v>
      </c>
      <c r="L174" s="2">
        <f t="shared" si="66"/>
        <v>-1.51306484795731E-2</v>
      </c>
      <c r="M174" s="4">
        <f t="shared" si="67"/>
        <v>-0.17799999999999999</v>
      </c>
      <c r="N174" s="1">
        <f t="shared" si="68"/>
        <v>-0.50955414012738853</v>
      </c>
      <c r="O174" s="1">
        <f t="shared" si="69"/>
        <v>-0.62269129287598945</v>
      </c>
      <c r="P174" s="1">
        <f t="shared" si="70"/>
        <v>-0.80198019801980192</v>
      </c>
      <c r="Q174" s="1">
        <f t="shared" si="71"/>
        <v>-1</v>
      </c>
      <c r="R174" s="1">
        <f t="shared" si="72"/>
        <v>-1</v>
      </c>
      <c r="S174" s="1">
        <f t="shared" si="73"/>
        <v>-1</v>
      </c>
    </row>
    <row r="175" spans="1:19">
      <c r="A175" t="s">
        <v>40</v>
      </c>
      <c r="B175" s="2">
        <v>0.34799999999999998</v>
      </c>
      <c r="C175" s="2">
        <v>0.25600000000000001</v>
      </c>
      <c r="D175" s="2">
        <v>0.10100000000000001</v>
      </c>
      <c r="E175" s="2">
        <v>0</v>
      </c>
      <c r="F175" s="2">
        <v>0</v>
      </c>
      <c r="G175" s="2">
        <v>0</v>
      </c>
      <c r="H175" s="2">
        <f t="shared" si="62"/>
        <v>-0.123</v>
      </c>
      <c r="I175" s="2">
        <f t="shared" si="63"/>
        <v>-0.123</v>
      </c>
      <c r="J175" s="2">
        <f t="shared" si="64"/>
        <v>-0.10100000000000001</v>
      </c>
      <c r="K175" s="2">
        <f t="shared" si="65"/>
        <v>-7.1185883783579498E-2</v>
      </c>
      <c r="L175" s="2">
        <f t="shared" si="66"/>
        <v>-1.51306484795731E-2</v>
      </c>
      <c r="M175" s="4">
        <f t="shared" si="67"/>
        <v>-0.17799999999999999</v>
      </c>
      <c r="N175" s="1">
        <f t="shared" si="68"/>
        <v>-0.26114649681528662</v>
      </c>
      <c r="O175" s="1">
        <f t="shared" si="69"/>
        <v>-0.32453825857519786</v>
      </c>
      <c r="P175" s="1">
        <f t="shared" si="70"/>
        <v>-0.5</v>
      </c>
      <c r="Q175" s="1">
        <f t="shared" si="71"/>
        <v>-1</v>
      </c>
      <c r="R175" s="1">
        <f t="shared" si="72"/>
        <v>-1</v>
      </c>
      <c r="S175" s="1">
        <f t="shared" si="73"/>
        <v>-1</v>
      </c>
    </row>
    <row r="176" spans="1:19">
      <c r="A176" t="s">
        <v>75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f t="shared" si="62"/>
        <v>-0.47099999999999997</v>
      </c>
      <c r="I176" s="2">
        <f t="shared" si="63"/>
        <v>-0.379</v>
      </c>
      <c r="J176" s="2">
        <f t="shared" si="64"/>
        <v>-0.20200000000000001</v>
      </c>
      <c r="K176" s="2">
        <f t="shared" si="65"/>
        <v>-7.1185883783579498E-2</v>
      </c>
      <c r="L176" s="2">
        <f t="shared" si="66"/>
        <v>-1.51306484795731E-2</v>
      </c>
      <c r="M176" s="4">
        <f t="shared" si="67"/>
        <v>-0.17799999999999999</v>
      </c>
      <c r="N176" s="1">
        <f t="shared" si="68"/>
        <v>-1</v>
      </c>
      <c r="O176" s="1">
        <f t="shared" si="69"/>
        <v>-1</v>
      </c>
      <c r="P176" s="1">
        <f t="shared" si="70"/>
        <v>-1</v>
      </c>
      <c r="Q176" s="1">
        <f t="shared" si="71"/>
        <v>-1</v>
      </c>
      <c r="R176" s="1">
        <f t="shared" si="72"/>
        <v>-1</v>
      </c>
      <c r="S176" s="1">
        <f t="shared" si="73"/>
        <v>-1</v>
      </c>
    </row>
    <row r="177" spans="1:19">
      <c r="A177" t="s">
        <v>74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f t="shared" si="62"/>
        <v>-0.47099999999999997</v>
      </c>
      <c r="I177" s="2">
        <f t="shared" si="63"/>
        <v>-0.379</v>
      </c>
      <c r="J177" s="2">
        <f t="shared" si="64"/>
        <v>-0.20200000000000001</v>
      </c>
      <c r="K177" s="2">
        <f t="shared" si="65"/>
        <v>-7.1185883783579498E-2</v>
      </c>
      <c r="L177" s="2">
        <f t="shared" si="66"/>
        <v>-1.51306484795731E-2</v>
      </c>
      <c r="M177" s="4">
        <f t="shared" si="67"/>
        <v>-0.17799999999999999</v>
      </c>
      <c r="N177" s="1">
        <f t="shared" si="68"/>
        <v>-1</v>
      </c>
      <c r="O177" s="1">
        <f t="shared" si="69"/>
        <v>-1</v>
      </c>
      <c r="P177" s="1">
        <f t="shared" si="70"/>
        <v>-1</v>
      </c>
      <c r="Q177" s="1">
        <f t="shared" si="71"/>
        <v>-1</v>
      </c>
      <c r="R177" s="1">
        <f t="shared" si="72"/>
        <v>-1</v>
      </c>
      <c r="S177" s="1">
        <f t="shared" si="73"/>
        <v>-1</v>
      </c>
    </row>
    <row r="178" spans="1:19">
      <c r="A178" t="s">
        <v>79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f t="shared" si="62"/>
        <v>-0.47099999999999997</v>
      </c>
      <c r="I178" s="2">
        <f t="shared" si="63"/>
        <v>-0.379</v>
      </c>
      <c r="J178" s="2">
        <f t="shared" si="64"/>
        <v>-0.20200000000000001</v>
      </c>
      <c r="K178" s="2">
        <f t="shared" si="65"/>
        <v>-7.1185883783579498E-2</v>
      </c>
      <c r="L178" s="2">
        <f t="shared" si="66"/>
        <v>-1.51306484795731E-2</v>
      </c>
      <c r="M178" s="4">
        <f t="shared" si="67"/>
        <v>-0.17799999999999999</v>
      </c>
      <c r="N178" s="1">
        <f t="shared" si="68"/>
        <v>-1</v>
      </c>
      <c r="O178" s="1">
        <f t="shared" si="69"/>
        <v>-1</v>
      </c>
      <c r="P178" s="1">
        <f t="shared" si="70"/>
        <v>-1</v>
      </c>
      <c r="Q178" s="1">
        <f t="shared" si="71"/>
        <v>-1</v>
      </c>
      <c r="R178" s="1">
        <f t="shared" si="72"/>
        <v>-1</v>
      </c>
      <c r="S178" s="1">
        <f t="shared" si="73"/>
        <v>-1</v>
      </c>
    </row>
    <row r="179" spans="1:19">
      <c r="A179" t="s">
        <v>78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f t="shared" si="62"/>
        <v>-0.47099999999999997</v>
      </c>
      <c r="I179" s="2">
        <f t="shared" si="63"/>
        <v>-0.379</v>
      </c>
      <c r="J179" s="2">
        <f t="shared" si="64"/>
        <v>-0.20200000000000001</v>
      </c>
      <c r="K179" s="2">
        <f t="shared" si="65"/>
        <v>-7.1185883783579498E-2</v>
      </c>
      <c r="L179" s="2">
        <f t="shared" si="66"/>
        <v>-1.51306484795731E-2</v>
      </c>
      <c r="M179" s="4">
        <f t="shared" si="67"/>
        <v>-0.17799999999999999</v>
      </c>
      <c r="N179" s="1">
        <f t="shared" si="68"/>
        <v>-1</v>
      </c>
      <c r="O179" s="1">
        <f t="shared" si="69"/>
        <v>-1</v>
      </c>
      <c r="P179" s="1">
        <f t="shared" si="70"/>
        <v>-1</v>
      </c>
      <c r="Q179" s="1">
        <f t="shared" si="71"/>
        <v>-1</v>
      </c>
      <c r="R179" s="1">
        <f t="shared" si="72"/>
        <v>-1</v>
      </c>
      <c r="S179" s="1">
        <f t="shared" si="73"/>
        <v>-1</v>
      </c>
    </row>
    <row r="180" spans="1:19">
      <c r="A180" t="s">
        <v>83</v>
      </c>
      <c r="B180" s="2">
        <v>3.0000000000000001E-3</v>
      </c>
      <c r="C180" s="2">
        <v>7.0000000000000001E-3</v>
      </c>
      <c r="D180" s="2">
        <v>1E-3</v>
      </c>
      <c r="E180" s="2">
        <v>0</v>
      </c>
      <c r="F180" s="2">
        <v>0</v>
      </c>
      <c r="G180" s="2">
        <v>0</v>
      </c>
      <c r="H180" s="2">
        <f t="shared" si="62"/>
        <v>-0.46799999999999997</v>
      </c>
      <c r="I180" s="2">
        <f t="shared" si="63"/>
        <v>-0.372</v>
      </c>
      <c r="J180" s="2">
        <f t="shared" si="64"/>
        <v>-0.20100000000000001</v>
      </c>
      <c r="K180" s="2">
        <f t="shared" si="65"/>
        <v>-7.1185883783579498E-2</v>
      </c>
      <c r="L180" s="2">
        <f t="shared" si="66"/>
        <v>-1.51306484795731E-2</v>
      </c>
      <c r="M180" s="4">
        <f t="shared" si="67"/>
        <v>-0.17799999999999999</v>
      </c>
      <c r="N180" s="1">
        <f t="shared" si="68"/>
        <v>-0.99363057324840764</v>
      </c>
      <c r="O180" s="1">
        <f t="shared" si="69"/>
        <v>-0.98153034300791553</v>
      </c>
      <c r="P180" s="1">
        <f t="shared" si="70"/>
        <v>-0.99504950495049505</v>
      </c>
      <c r="Q180" s="1">
        <f t="shared" si="71"/>
        <v>-1</v>
      </c>
      <c r="R180" s="1">
        <f t="shared" si="72"/>
        <v>-1</v>
      </c>
      <c r="S180" s="1">
        <f t="shared" si="73"/>
        <v>-1</v>
      </c>
    </row>
    <row r="181" spans="1:19">
      <c r="A181" t="s">
        <v>82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f t="shared" si="62"/>
        <v>-0.47099999999999997</v>
      </c>
      <c r="I181" s="2">
        <f t="shared" si="63"/>
        <v>-0.379</v>
      </c>
      <c r="J181" s="2">
        <f t="shared" si="64"/>
        <v>-0.20200000000000001</v>
      </c>
      <c r="K181" s="2">
        <f t="shared" si="65"/>
        <v>-7.1185883783579498E-2</v>
      </c>
      <c r="L181" s="2">
        <f t="shared" si="66"/>
        <v>-1.51306484795731E-2</v>
      </c>
      <c r="M181" s="4">
        <f t="shared" si="67"/>
        <v>-0.17799999999999999</v>
      </c>
      <c r="N181" s="1">
        <f t="shared" si="68"/>
        <v>-1</v>
      </c>
      <c r="O181" s="1">
        <f t="shared" si="69"/>
        <v>-1</v>
      </c>
      <c r="P181" s="1">
        <f t="shared" si="70"/>
        <v>-1</v>
      </c>
      <c r="Q181" s="1">
        <f t="shared" si="71"/>
        <v>-1</v>
      </c>
      <c r="R181" s="1">
        <f t="shared" si="72"/>
        <v>-1</v>
      </c>
      <c r="S181" s="1">
        <f t="shared" si="73"/>
        <v>-1</v>
      </c>
    </row>
    <row r="182" spans="1:19">
      <c r="A182" t="s">
        <v>87</v>
      </c>
      <c r="B182" s="2">
        <v>3.0000000000000001E-3</v>
      </c>
      <c r="C182" s="2">
        <v>7.0000000000000001E-3</v>
      </c>
      <c r="D182" s="2">
        <v>1E-3</v>
      </c>
      <c r="E182" s="2">
        <v>0</v>
      </c>
      <c r="F182" s="2">
        <v>0</v>
      </c>
      <c r="G182" s="2">
        <v>0</v>
      </c>
      <c r="H182" s="2">
        <f t="shared" si="62"/>
        <v>-0.46799999999999997</v>
      </c>
      <c r="I182" s="2">
        <f t="shared" si="63"/>
        <v>-0.372</v>
      </c>
      <c r="J182" s="2">
        <f t="shared" si="64"/>
        <v>-0.20100000000000001</v>
      </c>
      <c r="K182" s="2">
        <f t="shared" si="65"/>
        <v>-7.1185883783579498E-2</v>
      </c>
      <c r="L182" s="2">
        <f t="shared" si="66"/>
        <v>-1.51306484795731E-2</v>
      </c>
      <c r="M182" s="4">
        <f t="shared" si="67"/>
        <v>-0.17799999999999999</v>
      </c>
      <c r="N182" s="1">
        <f t="shared" si="68"/>
        <v>-0.99363057324840764</v>
      </c>
      <c r="O182" s="1">
        <f t="shared" si="69"/>
        <v>-0.98153034300791553</v>
      </c>
      <c r="P182" s="1">
        <f t="shared" si="70"/>
        <v>-0.99504950495049505</v>
      </c>
      <c r="Q182" s="1">
        <f t="shared" si="71"/>
        <v>-1</v>
      </c>
      <c r="R182" s="1">
        <f t="shared" si="72"/>
        <v>-1</v>
      </c>
      <c r="S182" s="1">
        <f t="shared" si="73"/>
        <v>-1</v>
      </c>
    </row>
    <row r="183" spans="1:19">
      <c r="A183" t="s">
        <v>86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f t="shared" si="62"/>
        <v>-0.47099999999999997</v>
      </c>
      <c r="I183" s="2">
        <f t="shared" si="63"/>
        <v>-0.379</v>
      </c>
      <c r="J183" s="2">
        <f t="shared" si="64"/>
        <v>-0.20200000000000001</v>
      </c>
      <c r="K183" s="2">
        <f t="shared" si="65"/>
        <v>-7.1185883783579498E-2</v>
      </c>
      <c r="L183" s="2">
        <f t="shared" si="66"/>
        <v>-1.51306484795731E-2</v>
      </c>
      <c r="M183" s="4">
        <f t="shared" si="67"/>
        <v>-0.17799999999999999</v>
      </c>
      <c r="N183" s="1">
        <f t="shared" si="68"/>
        <v>-1</v>
      </c>
      <c r="O183" s="1">
        <f t="shared" si="69"/>
        <v>-1</v>
      </c>
      <c r="P183" s="1">
        <f t="shared" si="70"/>
        <v>-1</v>
      </c>
      <c r="Q183" s="1">
        <f t="shared" si="71"/>
        <v>-1</v>
      </c>
      <c r="R183" s="1">
        <f t="shared" si="72"/>
        <v>-1</v>
      </c>
      <c r="S183" s="1">
        <f t="shared" si="73"/>
        <v>-1</v>
      </c>
    </row>
    <row r="184" spans="1:19">
      <c r="A184" t="s">
        <v>91</v>
      </c>
      <c r="B184" s="2">
        <v>3.0000000000000001E-3</v>
      </c>
      <c r="C184" s="2">
        <v>7.0000000000000001E-3</v>
      </c>
      <c r="D184" s="2">
        <v>1E-3</v>
      </c>
      <c r="E184" s="2">
        <v>0</v>
      </c>
      <c r="F184" s="2">
        <v>0</v>
      </c>
      <c r="G184" s="2">
        <v>0</v>
      </c>
      <c r="H184" s="2">
        <f t="shared" si="62"/>
        <v>-0.46799999999999997</v>
      </c>
      <c r="I184" s="2">
        <f t="shared" si="63"/>
        <v>-0.372</v>
      </c>
      <c r="J184" s="2">
        <f t="shared" si="64"/>
        <v>-0.20100000000000001</v>
      </c>
      <c r="K184" s="2">
        <f t="shared" si="65"/>
        <v>-7.1185883783579498E-2</v>
      </c>
      <c r="L184" s="2">
        <f t="shared" si="66"/>
        <v>-1.51306484795731E-2</v>
      </c>
      <c r="M184" s="4">
        <f t="shared" si="67"/>
        <v>-0.17799999999999999</v>
      </c>
      <c r="N184" s="1">
        <f t="shared" si="68"/>
        <v>-0.99363057324840764</v>
      </c>
      <c r="O184" s="1">
        <f t="shared" si="69"/>
        <v>-0.98153034300791553</v>
      </c>
      <c r="P184" s="1">
        <f t="shared" si="70"/>
        <v>-0.99504950495049505</v>
      </c>
      <c r="Q184" s="1">
        <f t="shared" si="71"/>
        <v>-1</v>
      </c>
      <c r="R184" s="1">
        <f t="shared" si="72"/>
        <v>-1</v>
      </c>
      <c r="S184" s="1">
        <f t="shared" si="73"/>
        <v>-1</v>
      </c>
    </row>
    <row r="185" spans="1:19">
      <c r="A185" t="s">
        <v>90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f t="shared" si="62"/>
        <v>-0.47099999999999997</v>
      </c>
      <c r="I185" s="2">
        <f t="shared" si="63"/>
        <v>-0.379</v>
      </c>
      <c r="J185" s="2">
        <f t="shared" si="64"/>
        <v>-0.20200000000000001</v>
      </c>
      <c r="K185" s="2">
        <f t="shared" si="65"/>
        <v>-7.1185883783579498E-2</v>
      </c>
      <c r="L185" s="2">
        <f t="shared" si="66"/>
        <v>-1.51306484795731E-2</v>
      </c>
      <c r="M185" s="4">
        <f t="shared" si="67"/>
        <v>-0.17799999999999999</v>
      </c>
      <c r="N185" s="1">
        <f t="shared" si="68"/>
        <v>-1</v>
      </c>
      <c r="O185" s="1">
        <f t="shared" si="69"/>
        <v>-1</v>
      </c>
      <c r="P185" s="1">
        <f t="shared" si="70"/>
        <v>-1</v>
      </c>
      <c r="Q185" s="1">
        <f t="shared" si="71"/>
        <v>-1</v>
      </c>
      <c r="R185" s="1">
        <f t="shared" si="72"/>
        <v>-1</v>
      </c>
      <c r="S185" s="1">
        <f t="shared" si="73"/>
        <v>-1</v>
      </c>
    </row>
    <row r="186" spans="1:19">
      <c r="A186" t="s">
        <v>95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f t="shared" si="62"/>
        <v>-0.47099999999999997</v>
      </c>
      <c r="I186" s="2">
        <f t="shared" si="63"/>
        <v>-0.379</v>
      </c>
      <c r="J186" s="2">
        <f t="shared" si="64"/>
        <v>-0.20200000000000001</v>
      </c>
      <c r="K186" s="2">
        <f t="shared" si="65"/>
        <v>-7.1185883783579498E-2</v>
      </c>
      <c r="L186" s="2">
        <f t="shared" si="66"/>
        <v>-1.51306484795731E-2</v>
      </c>
      <c r="M186" s="4">
        <f t="shared" si="67"/>
        <v>-0.17799999999999999</v>
      </c>
      <c r="N186" s="1">
        <f t="shared" si="68"/>
        <v>-1</v>
      </c>
      <c r="O186" s="1">
        <f t="shared" si="69"/>
        <v>-1</v>
      </c>
      <c r="P186" s="1">
        <f t="shared" si="70"/>
        <v>-1</v>
      </c>
      <c r="Q186" s="1">
        <f t="shared" si="71"/>
        <v>-1</v>
      </c>
      <c r="R186" s="1">
        <f t="shared" si="72"/>
        <v>-1</v>
      </c>
      <c r="S186" s="1">
        <f t="shared" si="73"/>
        <v>-1</v>
      </c>
    </row>
    <row r="187" spans="1:19">
      <c r="A187" t="s">
        <v>94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f t="shared" si="62"/>
        <v>-0.47099999999999997</v>
      </c>
      <c r="I187" s="2">
        <f t="shared" si="63"/>
        <v>-0.379</v>
      </c>
      <c r="J187" s="2">
        <f t="shared" si="64"/>
        <v>-0.20200000000000001</v>
      </c>
      <c r="K187" s="2">
        <f t="shared" si="65"/>
        <v>-7.1185883783579498E-2</v>
      </c>
      <c r="L187" s="2">
        <f t="shared" si="66"/>
        <v>-1.51306484795731E-2</v>
      </c>
      <c r="M187" s="4">
        <f t="shared" si="67"/>
        <v>-0.17799999999999999</v>
      </c>
      <c r="N187" s="1">
        <f t="shared" si="68"/>
        <v>-1</v>
      </c>
      <c r="O187" s="1">
        <f t="shared" si="69"/>
        <v>-1</v>
      </c>
      <c r="P187" s="1">
        <f t="shared" si="70"/>
        <v>-1</v>
      </c>
      <c r="Q187" s="1">
        <f t="shared" si="71"/>
        <v>-1</v>
      </c>
      <c r="R187" s="1">
        <f t="shared" si="72"/>
        <v>-1</v>
      </c>
      <c r="S187" s="1">
        <f t="shared" si="73"/>
        <v>-1</v>
      </c>
    </row>
    <row r="188" spans="1:19">
      <c r="A188" t="s">
        <v>99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f t="shared" si="62"/>
        <v>-0.47099999999999997</v>
      </c>
      <c r="I188" s="2">
        <f t="shared" si="63"/>
        <v>-0.379</v>
      </c>
      <c r="J188" s="2">
        <f t="shared" si="64"/>
        <v>-0.20200000000000001</v>
      </c>
      <c r="K188" s="2">
        <f t="shared" si="65"/>
        <v>-7.1185883783579498E-2</v>
      </c>
      <c r="L188" s="2">
        <f t="shared" si="66"/>
        <v>-1.51306484795731E-2</v>
      </c>
      <c r="M188" s="4">
        <f t="shared" si="67"/>
        <v>-0.17799999999999999</v>
      </c>
      <c r="N188" s="1">
        <f t="shared" si="68"/>
        <v>-1</v>
      </c>
      <c r="O188" s="1">
        <f t="shared" si="69"/>
        <v>-1</v>
      </c>
      <c r="P188" s="1">
        <f t="shared" si="70"/>
        <v>-1</v>
      </c>
      <c r="Q188" s="1">
        <f t="shared" si="71"/>
        <v>-1</v>
      </c>
      <c r="R188" s="1">
        <f t="shared" si="72"/>
        <v>-1</v>
      </c>
      <c r="S188" s="1">
        <f t="shared" si="73"/>
        <v>-1</v>
      </c>
    </row>
    <row r="189" spans="1:19">
      <c r="A189" t="s">
        <v>98</v>
      </c>
      <c r="B189" s="2">
        <v>3.0000000000000001E-3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f t="shared" si="62"/>
        <v>-0.46799999999999997</v>
      </c>
      <c r="I189" s="2">
        <f t="shared" si="63"/>
        <v>-0.379</v>
      </c>
      <c r="J189" s="2">
        <f t="shared" si="64"/>
        <v>-0.20200000000000001</v>
      </c>
      <c r="K189" s="2">
        <f t="shared" si="65"/>
        <v>-7.1185883783579498E-2</v>
      </c>
      <c r="L189" s="2">
        <f t="shared" si="66"/>
        <v>-1.51306484795731E-2</v>
      </c>
      <c r="M189" s="4">
        <f t="shared" si="67"/>
        <v>-0.17799999999999999</v>
      </c>
      <c r="N189" s="1">
        <f t="shared" si="68"/>
        <v>-0.99363057324840764</v>
      </c>
      <c r="O189" s="1">
        <f t="shared" si="69"/>
        <v>-1</v>
      </c>
      <c r="P189" s="1">
        <f t="shared" si="70"/>
        <v>-1</v>
      </c>
      <c r="Q189" s="1">
        <f t="shared" si="71"/>
        <v>-1</v>
      </c>
      <c r="R189" s="1">
        <f t="shared" si="72"/>
        <v>-1</v>
      </c>
      <c r="S189" s="1">
        <f t="shared" si="73"/>
        <v>-1</v>
      </c>
    </row>
    <row r="190" spans="1:19">
      <c r="A190" t="s">
        <v>103</v>
      </c>
      <c r="B190" s="2">
        <v>2E-3</v>
      </c>
      <c r="C190" s="2">
        <v>1E-3</v>
      </c>
      <c r="D190" s="2">
        <v>0</v>
      </c>
      <c r="E190" s="2">
        <v>0</v>
      </c>
      <c r="F190" s="2">
        <v>0</v>
      </c>
      <c r="G190" s="2">
        <v>0</v>
      </c>
      <c r="H190" s="2">
        <f t="shared" si="62"/>
        <v>-0.46899999999999997</v>
      </c>
      <c r="I190" s="2">
        <f t="shared" si="63"/>
        <v>-0.378</v>
      </c>
      <c r="J190" s="2">
        <f t="shared" si="64"/>
        <v>-0.20200000000000001</v>
      </c>
      <c r="K190" s="2">
        <f t="shared" si="65"/>
        <v>-7.1185883783579498E-2</v>
      </c>
      <c r="L190" s="2">
        <f t="shared" si="66"/>
        <v>-1.51306484795731E-2</v>
      </c>
      <c r="M190" s="4">
        <f t="shared" si="67"/>
        <v>-0.17799999999999999</v>
      </c>
      <c r="N190" s="1">
        <f t="shared" si="68"/>
        <v>-0.99575371549893843</v>
      </c>
      <c r="O190" s="1">
        <f t="shared" si="69"/>
        <v>-0.99736147757255933</v>
      </c>
      <c r="P190" s="1">
        <f t="shared" si="70"/>
        <v>-1</v>
      </c>
      <c r="Q190" s="1">
        <f t="shared" si="71"/>
        <v>-1</v>
      </c>
      <c r="R190" s="1">
        <f t="shared" si="72"/>
        <v>-1</v>
      </c>
      <c r="S190" s="1">
        <f t="shared" si="73"/>
        <v>-1</v>
      </c>
    </row>
    <row r="191" spans="1:19">
      <c r="A191" t="s">
        <v>102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f t="shared" si="62"/>
        <v>-0.47099999999999997</v>
      </c>
      <c r="I191" s="2">
        <f t="shared" si="63"/>
        <v>-0.379</v>
      </c>
      <c r="J191" s="2">
        <f t="shared" si="64"/>
        <v>-0.20200000000000001</v>
      </c>
      <c r="K191" s="2">
        <f t="shared" si="65"/>
        <v>-7.1185883783579498E-2</v>
      </c>
      <c r="L191" s="2">
        <f t="shared" si="66"/>
        <v>-1.51306484795731E-2</v>
      </c>
      <c r="M191" s="4">
        <f t="shared" si="67"/>
        <v>-0.17799999999999999</v>
      </c>
      <c r="N191" s="1">
        <f t="shared" si="68"/>
        <v>-1</v>
      </c>
      <c r="O191" s="1">
        <f t="shared" si="69"/>
        <v>-1</v>
      </c>
      <c r="P191" s="1">
        <f t="shared" si="70"/>
        <v>-1</v>
      </c>
      <c r="Q191" s="1">
        <f t="shared" si="71"/>
        <v>-1</v>
      </c>
      <c r="R191" s="1">
        <f t="shared" si="72"/>
        <v>-1</v>
      </c>
      <c r="S191" s="1">
        <f t="shared" si="73"/>
        <v>-1</v>
      </c>
    </row>
    <row r="192" spans="1:19">
      <c r="A192" t="s">
        <v>107</v>
      </c>
      <c r="B192" s="2">
        <v>2E-3</v>
      </c>
      <c r="C192" s="2">
        <v>1E-3</v>
      </c>
      <c r="D192" s="2">
        <v>0</v>
      </c>
      <c r="E192" s="2">
        <v>0</v>
      </c>
      <c r="F192" s="2">
        <v>0</v>
      </c>
      <c r="G192" s="2">
        <v>0</v>
      </c>
      <c r="H192" s="2">
        <f t="shared" si="62"/>
        <v>-0.46899999999999997</v>
      </c>
      <c r="I192" s="2">
        <f t="shared" si="63"/>
        <v>-0.378</v>
      </c>
      <c r="J192" s="2">
        <f t="shared" si="64"/>
        <v>-0.20200000000000001</v>
      </c>
      <c r="K192" s="2">
        <f t="shared" si="65"/>
        <v>-7.1185883783579498E-2</v>
      </c>
      <c r="L192" s="2">
        <f t="shared" si="66"/>
        <v>-1.51306484795731E-2</v>
      </c>
      <c r="M192" s="4">
        <f t="shared" si="67"/>
        <v>-0.17799999999999999</v>
      </c>
      <c r="N192" s="1">
        <f t="shared" si="68"/>
        <v>-0.99575371549893843</v>
      </c>
      <c r="O192" s="1">
        <f t="shared" si="69"/>
        <v>-0.99736147757255933</v>
      </c>
      <c r="P192" s="1">
        <f t="shared" si="70"/>
        <v>-1</v>
      </c>
      <c r="Q192" s="1">
        <f t="shared" si="71"/>
        <v>-1</v>
      </c>
      <c r="R192" s="1">
        <f t="shared" si="72"/>
        <v>-1</v>
      </c>
      <c r="S192" s="1">
        <f t="shared" si="73"/>
        <v>-1</v>
      </c>
    </row>
    <row r="193" spans="1:19">
      <c r="A193" t="s">
        <v>106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f t="shared" si="62"/>
        <v>-0.47099999999999997</v>
      </c>
      <c r="I193" s="2">
        <f t="shared" si="63"/>
        <v>-0.379</v>
      </c>
      <c r="J193" s="2">
        <f t="shared" si="64"/>
        <v>-0.20200000000000001</v>
      </c>
      <c r="K193" s="2">
        <f t="shared" si="65"/>
        <v>-7.1185883783579498E-2</v>
      </c>
      <c r="L193" s="2">
        <f t="shared" si="66"/>
        <v>-1.51306484795731E-2</v>
      </c>
      <c r="M193" s="4">
        <f t="shared" si="67"/>
        <v>-0.17799999999999999</v>
      </c>
      <c r="N193" s="1">
        <f t="shared" si="68"/>
        <v>-1</v>
      </c>
      <c r="O193" s="1">
        <f t="shared" si="69"/>
        <v>-1</v>
      </c>
      <c r="P193" s="1">
        <f t="shared" si="70"/>
        <v>-1</v>
      </c>
      <c r="Q193" s="1">
        <f t="shared" si="71"/>
        <v>-1</v>
      </c>
      <c r="R193" s="1">
        <f t="shared" si="72"/>
        <v>-1</v>
      </c>
      <c r="S193" s="1">
        <f t="shared" si="73"/>
        <v>-1</v>
      </c>
    </row>
  </sheetData>
  <autoFilter ref="A1:S144">
    <sortState ref="A2:S144">
      <sortCondition ref="A80"/>
    </sortState>
  </autoFilter>
  <sortState ref="A2:S193">
    <sortCondition descending="1" ref="F2:F193"/>
    <sortCondition descending="1" ref="G2:G19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3"/>
  <sheetViews>
    <sheetView workbookViewId="0">
      <selection activeCell="A2" sqref="A2"/>
    </sheetView>
  </sheetViews>
  <sheetFormatPr defaultRowHeight="13.8"/>
  <cols>
    <col min="1" max="1" width="31.296875" bestFit="1" customWidth="1"/>
    <col min="2" max="3" width="9.796875" style="2" bestFit="1" customWidth="1"/>
    <col min="4" max="4" width="12.3984375" style="2" bestFit="1" customWidth="1"/>
    <col min="5" max="6" width="12.3984375" style="2" customWidth="1"/>
    <col min="7" max="7" width="11.09765625" style="2" bestFit="1" customWidth="1"/>
    <col min="8" max="8" width="7.59765625" bestFit="1" customWidth="1"/>
    <col min="9" max="9" width="9.3984375" bestFit="1" customWidth="1"/>
    <col min="10" max="10" width="12" bestFit="1" customWidth="1"/>
    <col min="11" max="11" width="7.8984375" bestFit="1" customWidth="1"/>
    <col min="12" max="13" width="7.8984375" customWidth="1"/>
    <col min="14" max="14" width="8.59765625" bestFit="1" customWidth="1"/>
    <col min="15" max="15" width="10.3984375" bestFit="1" customWidth="1"/>
    <col min="16" max="16" width="13.09765625" bestFit="1" customWidth="1"/>
    <col min="17" max="17" width="8.8984375" bestFit="1" customWidth="1"/>
    <col min="18" max="18" width="10.59765625" customWidth="1"/>
  </cols>
  <sheetData>
    <row r="1" spans="1:27">
      <c r="A1" t="s">
        <v>0</v>
      </c>
      <c r="B1" s="2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4" t="s">
        <v>2</v>
      </c>
      <c r="H1" s="2" t="str">
        <f>CONCATENATE("r",B1)</f>
        <v>rBox-F1</v>
      </c>
      <c r="I1" s="2" t="str">
        <f t="shared" ref="I1:K1" si="0">CONCATENATE("r",C1)</f>
        <v>rB-mAP50</v>
      </c>
      <c r="J1" s="2" t="str">
        <f t="shared" si="0"/>
        <v>rB-mAP50-95</v>
      </c>
      <c r="K1" s="2" t="str">
        <f t="shared" si="0"/>
        <v>rM-mAP50</v>
      </c>
      <c r="L1" s="2" t="str">
        <f t="shared" ref="L1" si="1">CONCATENATE("r",F1)</f>
        <v>rM-mAP50-95</v>
      </c>
      <c r="M1" s="4" t="str">
        <f t="shared" ref="M1" si="2">CONCATENATE("r",G1)</f>
        <v>rMask-F1</v>
      </c>
      <c r="N1" t="str">
        <f>CONCATENATE("d",B1)</f>
        <v>dBox-F1</v>
      </c>
      <c r="O1" t="str">
        <f t="shared" ref="O1:R1" si="3">CONCATENATE("d",C1)</f>
        <v>dB-mAP50</v>
      </c>
      <c r="P1" t="str">
        <f t="shared" si="3"/>
        <v>dB-mAP50-95</v>
      </c>
      <c r="Q1" t="str">
        <f t="shared" si="3"/>
        <v>dM-mAP50</v>
      </c>
      <c r="R1" t="str">
        <f t="shared" si="3"/>
        <v>dM-mAP50-95</v>
      </c>
      <c r="S1" t="str">
        <f>CONCATENATE("d",G1)</f>
        <v>dMask-F1</v>
      </c>
      <c r="V1" s="2" t="s">
        <v>1</v>
      </c>
      <c r="W1" s="2" t="s">
        <v>147</v>
      </c>
      <c r="X1" s="2" t="s">
        <v>148</v>
      </c>
      <c r="Y1" s="2" t="s">
        <v>149</v>
      </c>
      <c r="Z1" s="2" t="s">
        <v>150</v>
      </c>
      <c r="AA1" s="2" t="s">
        <v>2</v>
      </c>
    </row>
    <row r="2" spans="1:27">
      <c r="A2" s="10" t="s">
        <v>45</v>
      </c>
      <c r="B2" s="7">
        <v>0.81</v>
      </c>
      <c r="C2" s="7">
        <v>0.79500000000000004</v>
      </c>
      <c r="D2" s="7">
        <v>0.57199999999999995</v>
      </c>
      <c r="E2" s="7">
        <v>0.77</v>
      </c>
      <c r="F2" s="7">
        <v>0.51</v>
      </c>
      <c r="G2" s="8">
        <v>0.78900000000000003</v>
      </c>
      <c r="H2" s="2">
        <f t="shared" ref="H2:H33" si="4">B2-V$2</f>
        <v>-2.6999999999999913E-2</v>
      </c>
      <c r="I2" s="2">
        <f t="shared" ref="I2:I33" si="5">C2-W$2</f>
        <v>-2.8999999999999915E-2</v>
      </c>
      <c r="J2" s="2">
        <f t="shared" ref="J2:J33" si="6">D2-X$2</f>
        <v>-1.100000000000001E-2</v>
      </c>
      <c r="K2" s="2">
        <f t="shared" ref="K2:K33" si="7">E2-Y$2</f>
        <v>-1.8160471554781954E-2</v>
      </c>
      <c r="L2" s="2">
        <f t="shared" ref="L2:L33" si="8">F2-Z$2</f>
        <v>7.4056995892479993E-2</v>
      </c>
      <c r="M2" s="4">
        <f t="shared" ref="M2:M33" si="9">G2-AA$2</f>
        <v>-9.000000000000008E-3</v>
      </c>
      <c r="N2" s="1">
        <f t="shared" ref="N2:N33" si="10">(B2-V$2)/V$2</f>
        <v>-3.2258064516128927E-2</v>
      </c>
      <c r="O2" s="1">
        <f t="shared" ref="O2:O33" si="11">(C2-W$2)/W$2</f>
        <v>-3.5194174757281455E-2</v>
      </c>
      <c r="P2" s="1">
        <f t="shared" ref="P2:P33" si="12">(D2-X$2)/X$2</f>
        <v>-1.8867924528301903E-2</v>
      </c>
      <c r="Q2" s="1">
        <f t="shared" ref="Q2:Q33" si="13">(E2-Y$2)/Y$2</f>
        <v>-2.304159141469922E-2</v>
      </c>
      <c r="R2" s="1">
        <f t="shared" ref="R2:R33" si="14">(F2-Z$2)/Z$2</f>
        <v>0.16987770234802241</v>
      </c>
      <c r="S2" s="1">
        <f t="shared" ref="S2:S33" si="15">(G2-AA$2)/AA$2</f>
        <v>-1.1278195488721814E-2</v>
      </c>
      <c r="T2" s="3"/>
      <c r="U2" t="s">
        <v>146</v>
      </c>
      <c r="V2">
        <v>0.83699999999999997</v>
      </c>
      <c r="W2">
        <v>0.82399999999999995</v>
      </c>
      <c r="X2">
        <v>0.58299999999999996</v>
      </c>
      <c r="Y2" s="2">
        <v>0.78816047155478197</v>
      </c>
      <c r="Z2" s="2">
        <v>0.43594300410752002</v>
      </c>
      <c r="AA2">
        <v>0.79800000000000004</v>
      </c>
    </row>
    <row r="3" spans="1:27">
      <c r="A3" t="s">
        <v>53</v>
      </c>
      <c r="B3" s="7">
        <v>0.81</v>
      </c>
      <c r="C3" s="7">
        <v>0.79500000000000004</v>
      </c>
      <c r="D3" s="7">
        <v>0.57199999999999995</v>
      </c>
      <c r="E3" s="7">
        <v>0.77300000000000002</v>
      </c>
      <c r="F3" s="7">
        <v>0.505</v>
      </c>
      <c r="G3" s="8">
        <v>0.79100000000000004</v>
      </c>
      <c r="H3" s="2">
        <f t="shared" si="4"/>
        <v>-2.6999999999999913E-2</v>
      </c>
      <c r="I3" s="2">
        <f t="shared" si="5"/>
        <v>-2.8999999999999915E-2</v>
      </c>
      <c r="J3" s="2">
        <f t="shared" si="6"/>
        <v>-1.100000000000001E-2</v>
      </c>
      <c r="K3" s="2">
        <f t="shared" si="7"/>
        <v>-1.5160471554781951E-2</v>
      </c>
      <c r="L3" s="2">
        <f t="shared" si="8"/>
        <v>6.9056995892479989E-2</v>
      </c>
      <c r="M3" s="4">
        <f t="shared" si="9"/>
        <v>-7.0000000000000062E-3</v>
      </c>
      <c r="N3" s="1">
        <f t="shared" si="10"/>
        <v>-3.2258064516128927E-2</v>
      </c>
      <c r="O3" s="1">
        <f t="shared" si="11"/>
        <v>-3.5194174757281455E-2</v>
      </c>
      <c r="P3" s="1">
        <f t="shared" si="12"/>
        <v>-1.8867924528301903E-2</v>
      </c>
      <c r="Q3" s="1">
        <f t="shared" si="13"/>
        <v>-1.9235259952678566E-2</v>
      </c>
      <c r="R3" s="1">
        <f t="shared" si="14"/>
        <v>0.1584083131093163</v>
      </c>
      <c r="S3" s="1">
        <f t="shared" si="15"/>
        <v>-8.7719298245614117E-3</v>
      </c>
      <c r="T3" s="3"/>
    </row>
    <row r="4" spans="1:27">
      <c r="A4" t="s">
        <v>179</v>
      </c>
      <c r="B4" s="7">
        <v>0.81075321494182473</v>
      </c>
      <c r="C4" s="7">
        <v>0.79300000000000004</v>
      </c>
      <c r="D4" s="7">
        <v>0.56899999999999995</v>
      </c>
      <c r="E4" s="7">
        <v>0.76900000000000002</v>
      </c>
      <c r="F4" s="7">
        <v>0.505</v>
      </c>
      <c r="G4" s="8">
        <v>0.78694021397105096</v>
      </c>
      <c r="H4" s="2">
        <f t="shared" si="4"/>
        <v>-2.6246785058175237E-2</v>
      </c>
      <c r="I4" s="2">
        <f t="shared" si="5"/>
        <v>-3.0999999999999917E-2</v>
      </c>
      <c r="J4" s="2">
        <f t="shared" si="6"/>
        <v>-1.4000000000000012E-2</v>
      </c>
      <c r="K4" s="2">
        <f t="shared" si="7"/>
        <v>-1.9160471554781955E-2</v>
      </c>
      <c r="L4" s="2">
        <f t="shared" si="8"/>
        <v>6.9056995892479989E-2</v>
      </c>
      <c r="M4" s="4">
        <f t="shared" si="9"/>
        <v>-1.1059786028949081E-2</v>
      </c>
      <c r="N4" s="1">
        <f t="shared" si="10"/>
        <v>-3.1358166138799569E-2</v>
      </c>
      <c r="O4" s="1">
        <f t="shared" si="11"/>
        <v>-3.7621359223300871E-2</v>
      </c>
      <c r="P4" s="1">
        <f t="shared" si="12"/>
        <v>-2.4013722126929697E-2</v>
      </c>
      <c r="Q4" s="1">
        <f t="shared" si="13"/>
        <v>-2.4310368568706105E-2</v>
      </c>
      <c r="R4" s="1">
        <f t="shared" si="14"/>
        <v>0.1584083131093163</v>
      </c>
      <c r="S4" s="1">
        <f t="shared" si="15"/>
        <v>-1.3859380988657995E-2</v>
      </c>
      <c r="T4" s="3"/>
    </row>
    <row r="5" spans="1:27">
      <c r="A5" t="s">
        <v>200</v>
      </c>
      <c r="B5" s="7">
        <v>0.80520024645717803</v>
      </c>
      <c r="C5" s="7">
        <v>0.79200000000000004</v>
      </c>
      <c r="D5" s="7">
        <v>0.56699999999999995</v>
      </c>
      <c r="E5" s="7">
        <v>0.76500000000000001</v>
      </c>
      <c r="F5" s="7">
        <v>0.504</v>
      </c>
      <c r="G5" s="8">
        <v>0.78230234029095513</v>
      </c>
      <c r="H5" s="2">
        <f t="shared" si="4"/>
        <v>-3.179975354282194E-2</v>
      </c>
      <c r="I5" s="2">
        <f t="shared" si="5"/>
        <v>-3.1999999999999917E-2</v>
      </c>
      <c r="J5" s="2">
        <f t="shared" si="6"/>
        <v>-1.6000000000000014E-2</v>
      </c>
      <c r="K5" s="2">
        <f t="shared" si="7"/>
        <v>-2.3160471554781958E-2</v>
      </c>
      <c r="L5" s="2">
        <f t="shared" si="8"/>
        <v>6.8056995892479988E-2</v>
      </c>
      <c r="M5" s="4">
        <f t="shared" si="9"/>
        <v>-1.5697659709044909E-2</v>
      </c>
      <c r="N5" s="1">
        <f t="shared" si="10"/>
        <v>-3.7992537088198254E-2</v>
      </c>
      <c r="O5" s="1">
        <f t="shared" si="11"/>
        <v>-3.8834951456310579E-2</v>
      </c>
      <c r="P5" s="1">
        <f t="shared" si="12"/>
        <v>-2.7444253859348226E-2</v>
      </c>
      <c r="Q5" s="1">
        <f t="shared" si="13"/>
        <v>-2.9385477184733649E-2</v>
      </c>
      <c r="R5" s="1">
        <f t="shared" si="14"/>
        <v>0.15611443526157506</v>
      </c>
      <c r="S5" s="1">
        <f t="shared" si="15"/>
        <v>-1.9671252768226701E-2</v>
      </c>
      <c r="T5" s="3"/>
    </row>
    <row r="6" spans="1:27">
      <c r="A6" t="s">
        <v>186</v>
      </c>
      <c r="B6" s="7">
        <v>0.80509999999999993</v>
      </c>
      <c r="C6" s="7">
        <v>0.79400000000000004</v>
      </c>
      <c r="D6" s="7">
        <v>0.56899999999999995</v>
      </c>
      <c r="E6" s="7">
        <v>0.77</v>
      </c>
      <c r="F6" s="7">
        <v>0.503</v>
      </c>
      <c r="G6" s="8">
        <v>0.78446725440806042</v>
      </c>
      <c r="H6" s="2">
        <f t="shared" si="4"/>
        <v>-3.1900000000000039E-2</v>
      </c>
      <c r="I6" s="2">
        <f t="shared" si="5"/>
        <v>-2.9999999999999916E-2</v>
      </c>
      <c r="J6" s="2">
        <f t="shared" si="6"/>
        <v>-1.4000000000000012E-2</v>
      </c>
      <c r="K6" s="2">
        <f t="shared" si="7"/>
        <v>-1.8160471554781954E-2</v>
      </c>
      <c r="L6" s="2">
        <f t="shared" si="8"/>
        <v>6.7056995892479987E-2</v>
      </c>
      <c r="M6" s="4">
        <f t="shared" si="9"/>
        <v>-1.3532745591939621E-2</v>
      </c>
      <c r="N6" s="1">
        <f t="shared" si="10"/>
        <v>-3.8112305854241385E-2</v>
      </c>
      <c r="O6" s="1">
        <f t="shared" si="11"/>
        <v>-3.6407766990291163E-2</v>
      </c>
      <c r="P6" s="1">
        <f t="shared" si="12"/>
        <v>-2.4013722126929697E-2</v>
      </c>
      <c r="Q6" s="1">
        <f t="shared" si="13"/>
        <v>-2.304159141469922E-2</v>
      </c>
      <c r="R6" s="1">
        <f t="shared" si="14"/>
        <v>0.15382055741383385</v>
      </c>
      <c r="S6" s="1">
        <f t="shared" si="15"/>
        <v>-1.6958327809448146E-2</v>
      </c>
      <c r="T6" s="3"/>
    </row>
    <row r="7" spans="1:27">
      <c r="A7" t="s">
        <v>49</v>
      </c>
      <c r="B7" s="7">
        <v>0.81</v>
      </c>
      <c r="C7" s="7">
        <v>0.79900000000000004</v>
      </c>
      <c r="D7" s="7">
        <v>0.57199999999999995</v>
      </c>
      <c r="E7" s="7">
        <v>0.77</v>
      </c>
      <c r="F7" s="7">
        <v>0.502</v>
      </c>
      <c r="G7" s="8">
        <v>0.78900000000000003</v>
      </c>
      <c r="H7" s="2">
        <f t="shared" si="4"/>
        <v>-2.6999999999999913E-2</v>
      </c>
      <c r="I7" s="2">
        <f t="shared" si="5"/>
        <v>-2.4999999999999911E-2</v>
      </c>
      <c r="J7" s="2">
        <f t="shared" si="6"/>
        <v>-1.100000000000001E-2</v>
      </c>
      <c r="K7" s="2">
        <f t="shared" si="7"/>
        <v>-1.8160471554781954E-2</v>
      </c>
      <c r="L7" s="2">
        <f t="shared" si="8"/>
        <v>6.6056995892479986E-2</v>
      </c>
      <c r="M7" s="4">
        <f t="shared" si="9"/>
        <v>-9.000000000000008E-3</v>
      </c>
      <c r="N7" s="1">
        <f t="shared" si="10"/>
        <v>-3.2258064516128927E-2</v>
      </c>
      <c r="O7" s="1">
        <f t="shared" si="11"/>
        <v>-3.0339805825242611E-2</v>
      </c>
      <c r="P7" s="1">
        <f t="shared" si="12"/>
        <v>-1.8867924528301903E-2</v>
      </c>
      <c r="Q7" s="1">
        <f t="shared" si="13"/>
        <v>-2.304159141469922E-2</v>
      </c>
      <c r="R7" s="1">
        <f t="shared" si="14"/>
        <v>0.15152667956609261</v>
      </c>
      <c r="S7" s="1">
        <f t="shared" si="15"/>
        <v>-1.1278195488721814E-2</v>
      </c>
      <c r="T7" s="3"/>
    </row>
    <row r="8" spans="1:27">
      <c r="A8" t="s">
        <v>9</v>
      </c>
      <c r="B8" s="7">
        <v>0.80900000000000005</v>
      </c>
      <c r="C8" s="7">
        <v>0.79500000000000004</v>
      </c>
      <c r="D8" s="7">
        <v>0.56799999999999995</v>
      </c>
      <c r="E8" s="7">
        <v>0.77</v>
      </c>
      <c r="F8" s="7">
        <v>0.501</v>
      </c>
      <c r="G8" s="8">
        <v>0.79100000000000004</v>
      </c>
      <c r="H8" s="2">
        <f t="shared" si="4"/>
        <v>-2.7999999999999914E-2</v>
      </c>
      <c r="I8" s="2">
        <f t="shared" si="5"/>
        <v>-2.8999999999999915E-2</v>
      </c>
      <c r="J8" s="2">
        <f t="shared" si="6"/>
        <v>-1.5000000000000013E-2</v>
      </c>
      <c r="K8" s="2">
        <f t="shared" si="7"/>
        <v>-1.8160471554781954E-2</v>
      </c>
      <c r="L8" s="2">
        <f t="shared" si="8"/>
        <v>6.5056995892479985E-2</v>
      </c>
      <c r="M8" s="4">
        <f t="shared" si="9"/>
        <v>-7.0000000000000062E-3</v>
      </c>
      <c r="N8" s="1">
        <f t="shared" si="10"/>
        <v>-3.3452807646355935E-2</v>
      </c>
      <c r="O8" s="1">
        <f t="shared" si="11"/>
        <v>-3.5194174757281455E-2</v>
      </c>
      <c r="P8" s="1">
        <f t="shared" si="12"/>
        <v>-2.5728987993138962E-2</v>
      </c>
      <c r="Q8" s="1">
        <f t="shared" si="13"/>
        <v>-2.304159141469922E-2</v>
      </c>
      <c r="R8" s="1">
        <f t="shared" si="14"/>
        <v>0.1492328017183514</v>
      </c>
      <c r="S8" s="1">
        <f t="shared" si="15"/>
        <v>-8.7719298245614117E-3</v>
      </c>
      <c r="T8" s="3"/>
    </row>
    <row r="9" spans="1:27">
      <c r="A9" t="s">
        <v>113</v>
      </c>
      <c r="B9" s="7">
        <v>0.79400000000000004</v>
      </c>
      <c r="C9" s="7">
        <v>0.78200000000000003</v>
      </c>
      <c r="D9" s="7">
        <v>0.56100000000000005</v>
      </c>
      <c r="E9" s="7">
        <v>0.754</v>
      </c>
      <c r="F9" s="7">
        <v>0.499</v>
      </c>
      <c r="G9" s="8">
        <v>0.77200000000000002</v>
      </c>
      <c r="H9" s="2">
        <f t="shared" si="4"/>
        <v>-4.2999999999999927E-2</v>
      </c>
      <c r="I9" s="2">
        <f t="shared" si="5"/>
        <v>-4.1999999999999926E-2</v>
      </c>
      <c r="J9" s="2">
        <f t="shared" si="6"/>
        <v>-2.1999999999999909E-2</v>
      </c>
      <c r="K9" s="2">
        <f t="shared" si="7"/>
        <v>-3.4160471554781968E-2</v>
      </c>
      <c r="L9" s="2">
        <f t="shared" si="8"/>
        <v>6.3056995892479983E-2</v>
      </c>
      <c r="M9" s="4">
        <f t="shared" si="9"/>
        <v>-2.6000000000000023E-2</v>
      </c>
      <c r="N9" s="1">
        <f t="shared" si="10"/>
        <v>-5.137395459976097E-2</v>
      </c>
      <c r="O9" s="1">
        <f t="shared" si="11"/>
        <v>-5.0970873786407682E-2</v>
      </c>
      <c r="P9" s="1">
        <f t="shared" si="12"/>
        <v>-3.7735849056603619E-2</v>
      </c>
      <c r="Q9" s="1">
        <f t="shared" si="13"/>
        <v>-4.3342025878809386E-2</v>
      </c>
      <c r="R9" s="1">
        <f t="shared" si="14"/>
        <v>0.14464504602286896</v>
      </c>
      <c r="S9" s="1">
        <f t="shared" si="15"/>
        <v>-3.2581453634085239E-2</v>
      </c>
      <c r="T9" s="3"/>
    </row>
    <row r="10" spans="1:27">
      <c r="A10" t="s">
        <v>125</v>
      </c>
      <c r="B10" s="7">
        <v>0.79400000000000004</v>
      </c>
      <c r="C10" s="7">
        <v>0.78200000000000003</v>
      </c>
      <c r="D10" s="7">
        <v>0.56100000000000005</v>
      </c>
      <c r="E10" s="7">
        <v>0.754</v>
      </c>
      <c r="F10" s="7">
        <v>0.499</v>
      </c>
      <c r="G10" s="8">
        <v>0.77200000000000002</v>
      </c>
      <c r="H10" s="2">
        <f t="shared" si="4"/>
        <v>-4.2999999999999927E-2</v>
      </c>
      <c r="I10" s="2">
        <f t="shared" si="5"/>
        <v>-4.1999999999999926E-2</v>
      </c>
      <c r="J10" s="2">
        <f t="shared" si="6"/>
        <v>-2.1999999999999909E-2</v>
      </c>
      <c r="K10" s="2">
        <f t="shared" si="7"/>
        <v>-3.4160471554781968E-2</v>
      </c>
      <c r="L10" s="2">
        <f t="shared" si="8"/>
        <v>6.3056995892479983E-2</v>
      </c>
      <c r="M10" s="4">
        <f t="shared" si="9"/>
        <v>-2.6000000000000023E-2</v>
      </c>
      <c r="N10" s="1">
        <f t="shared" si="10"/>
        <v>-5.137395459976097E-2</v>
      </c>
      <c r="O10" s="1">
        <f t="shared" si="11"/>
        <v>-5.0970873786407682E-2</v>
      </c>
      <c r="P10" s="1">
        <f t="shared" si="12"/>
        <v>-3.7735849056603619E-2</v>
      </c>
      <c r="Q10" s="1">
        <f t="shared" si="13"/>
        <v>-4.3342025878809386E-2</v>
      </c>
      <c r="R10" s="1">
        <f t="shared" si="14"/>
        <v>0.14464504602286896</v>
      </c>
      <c r="S10" s="1">
        <f t="shared" si="15"/>
        <v>-3.2581453634085239E-2</v>
      </c>
      <c r="T10" s="3"/>
    </row>
    <row r="11" spans="1:27">
      <c r="A11" t="s">
        <v>137</v>
      </c>
      <c r="B11" s="7">
        <v>0.79400000000000004</v>
      </c>
      <c r="C11" s="7">
        <v>0.78200000000000003</v>
      </c>
      <c r="D11" s="7">
        <v>0.56100000000000005</v>
      </c>
      <c r="E11" s="7">
        <v>0.754</v>
      </c>
      <c r="F11" s="7">
        <v>0.499</v>
      </c>
      <c r="G11" s="8">
        <v>0.77200000000000002</v>
      </c>
      <c r="H11" s="2">
        <f t="shared" si="4"/>
        <v>-4.2999999999999927E-2</v>
      </c>
      <c r="I11" s="2">
        <f t="shared" si="5"/>
        <v>-4.1999999999999926E-2</v>
      </c>
      <c r="J11" s="2">
        <f t="shared" si="6"/>
        <v>-2.1999999999999909E-2</v>
      </c>
      <c r="K11" s="2">
        <f t="shared" si="7"/>
        <v>-3.4160471554781968E-2</v>
      </c>
      <c r="L11" s="2">
        <f t="shared" si="8"/>
        <v>6.3056995892479983E-2</v>
      </c>
      <c r="M11" s="4">
        <f t="shared" si="9"/>
        <v>-2.6000000000000023E-2</v>
      </c>
      <c r="N11" s="1">
        <f t="shared" si="10"/>
        <v>-5.137395459976097E-2</v>
      </c>
      <c r="O11" s="1">
        <f t="shared" si="11"/>
        <v>-5.0970873786407682E-2</v>
      </c>
      <c r="P11" s="1">
        <f t="shared" si="12"/>
        <v>-3.7735849056603619E-2</v>
      </c>
      <c r="Q11" s="1">
        <f t="shared" si="13"/>
        <v>-4.3342025878809386E-2</v>
      </c>
      <c r="R11" s="1">
        <f t="shared" si="14"/>
        <v>0.14464504602286896</v>
      </c>
      <c r="S11" s="1">
        <f t="shared" si="15"/>
        <v>-3.2581453634085239E-2</v>
      </c>
      <c r="T11" s="3"/>
    </row>
    <row r="12" spans="1:27">
      <c r="A12" t="s">
        <v>133</v>
      </c>
      <c r="B12" s="7">
        <v>0.80800000000000005</v>
      </c>
      <c r="C12" s="7">
        <v>0.79300000000000004</v>
      </c>
      <c r="D12" s="7">
        <v>0.56499999999999995</v>
      </c>
      <c r="E12" s="7">
        <v>0.76700000000000002</v>
      </c>
      <c r="F12" s="7">
        <v>0.498</v>
      </c>
      <c r="G12" s="8">
        <v>0.78600000000000003</v>
      </c>
      <c r="H12" s="2">
        <f t="shared" si="4"/>
        <v>-2.8999999999999915E-2</v>
      </c>
      <c r="I12" s="2">
        <f t="shared" si="5"/>
        <v>-3.0999999999999917E-2</v>
      </c>
      <c r="J12" s="2">
        <f t="shared" si="6"/>
        <v>-1.8000000000000016E-2</v>
      </c>
      <c r="K12" s="2">
        <f t="shared" si="7"/>
        <v>-2.1160471554781957E-2</v>
      </c>
      <c r="L12" s="2">
        <f t="shared" si="8"/>
        <v>6.2056995892479982E-2</v>
      </c>
      <c r="M12" s="4">
        <f t="shared" si="9"/>
        <v>-1.2000000000000011E-2</v>
      </c>
      <c r="N12" s="1">
        <f t="shared" si="10"/>
        <v>-3.4647550776582936E-2</v>
      </c>
      <c r="O12" s="1">
        <f t="shared" si="11"/>
        <v>-3.7621359223300871E-2</v>
      </c>
      <c r="P12" s="1">
        <f t="shared" si="12"/>
        <v>-3.0874785591766752E-2</v>
      </c>
      <c r="Q12" s="1">
        <f t="shared" si="13"/>
        <v>-2.6847922876719877E-2</v>
      </c>
      <c r="R12" s="1">
        <f t="shared" si="14"/>
        <v>0.14235116817512775</v>
      </c>
      <c r="S12" s="1">
        <f t="shared" si="15"/>
        <v>-1.5037593984962419E-2</v>
      </c>
      <c r="T12" s="3"/>
    </row>
    <row r="13" spans="1:27">
      <c r="A13" t="s">
        <v>127</v>
      </c>
      <c r="B13" s="7">
        <v>0.80300000000000005</v>
      </c>
      <c r="C13" s="7">
        <v>0.79300000000000004</v>
      </c>
      <c r="D13" s="7">
        <v>0.56499999999999995</v>
      </c>
      <c r="E13" s="7">
        <v>0.76700000000000002</v>
      </c>
      <c r="F13" s="7">
        <v>0.495</v>
      </c>
      <c r="G13" s="8">
        <v>0.78700000000000003</v>
      </c>
      <c r="H13" s="2">
        <f t="shared" si="4"/>
        <v>-3.3999999999999919E-2</v>
      </c>
      <c r="I13" s="2">
        <f t="shared" si="5"/>
        <v>-3.0999999999999917E-2</v>
      </c>
      <c r="J13" s="2">
        <f t="shared" si="6"/>
        <v>-1.8000000000000016E-2</v>
      </c>
      <c r="K13" s="2">
        <f t="shared" si="7"/>
        <v>-2.1160471554781957E-2</v>
      </c>
      <c r="L13" s="2">
        <f t="shared" si="8"/>
        <v>5.905699589247998E-2</v>
      </c>
      <c r="M13" s="4">
        <f t="shared" si="9"/>
        <v>-1.100000000000001E-2</v>
      </c>
      <c r="N13" s="1">
        <f t="shared" si="10"/>
        <v>-4.0621266427717947E-2</v>
      </c>
      <c r="O13" s="1">
        <f t="shared" si="11"/>
        <v>-3.7621359223300871E-2</v>
      </c>
      <c r="P13" s="1">
        <f t="shared" si="12"/>
        <v>-3.0874785591766752E-2</v>
      </c>
      <c r="Q13" s="1">
        <f t="shared" si="13"/>
        <v>-2.6847922876719877E-2</v>
      </c>
      <c r="R13" s="1">
        <f t="shared" si="14"/>
        <v>0.13546953463190406</v>
      </c>
      <c r="S13" s="1">
        <f t="shared" si="15"/>
        <v>-1.3784461152882217E-2</v>
      </c>
      <c r="T13" s="3"/>
    </row>
    <row r="14" spans="1:27">
      <c r="A14" t="s">
        <v>119</v>
      </c>
      <c r="B14" s="7">
        <v>0.79500000000000004</v>
      </c>
      <c r="C14" s="7">
        <v>0.77900000000000003</v>
      </c>
      <c r="D14" s="7">
        <v>0.55800000000000005</v>
      </c>
      <c r="E14" s="7">
        <v>0.75</v>
      </c>
      <c r="F14" s="7">
        <v>0.495</v>
      </c>
      <c r="G14" s="8">
        <v>0.77100000000000002</v>
      </c>
      <c r="H14" s="2">
        <f t="shared" si="4"/>
        <v>-4.1999999999999926E-2</v>
      </c>
      <c r="I14" s="2">
        <f t="shared" si="5"/>
        <v>-4.4999999999999929E-2</v>
      </c>
      <c r="J14" s="2">
        <f t="shared" si="6"/>
        <v>-2.4999999999999911E-2</v>
      </c>
      <c r="K14" s="2">
        <f t="shared" si="7"/>
        <v>-3.8160471554781972E-2</v>
      </c>
      <c r="L14" s="2">
        <f t="shared" si="8"/>
        <v>5.905699589247998E-2</v>
      </c>
      <c r="M14" s="4">
        <f t="shared" si="9"/>
        <v>-2.7000000000000024E-2</v>
      </c>
      <c r="N14" s="1">
        <f t="shared" si="10"/>
        <v>-5.0179211469533962E-2</v>
      </c>
      <c r="O14" s="1">
        <f t="shared" si="11"/>
        <v>-5.4611650485436813E-2</v>
      </c>
      <c r="P14" s="1">
        <f t="shared" si="12"/>
        <v>-4.2881646655231413E-2</v>
      </c>
      <c r="Q14" s="1">
        <f t="shared" si="13"/>
        <v>-4.8417134494836929E-2</v>
      </c>
      <c r="R14" s="1">
        <f t="shared" si="14"/>
        <v>0.13546953463190406</v>
      </c>
      <c r="S14" s="1">
        <f t="shared" si="15"/>
        <v>-3.3834586466165439E-2</v>
      </c>
      <c r="T14" s="3"/>
    </row>
    <row r="15" spans="1:27">
      <c r="A15" t="s">
        <v>131</v>
      </c>
      <c r="B15" s="7">
        <v>0.79500000000000004</v>
      </c>
      <c r="C15" s="7">
        <v>0.77900000000000003</v>
      </c>
      <c r="D15" s="7">
        <v>0.55800000000000005</v>
      </c>
      <c r="E15" s="7">
        <v>0.75</v>
      </c>
      <c r="F15" s="7">
        <v>0.495</v>
      </c>
      <c r="G15" s="8">
        <v>0.77100000000000002</v>
      </c>
      <c r="H15" s="2">
        <f t="shared" si="4"/>
        <v>-4.1999999999999926E-2</v>
      </c>
      <c r="I15" s="2">
        <f t="shared" si="5"/>
        <v>-4.4999999999999929E-2</v>
      </c>
      <c r="J15" s="2">
        <f t="shared" si="6"/>
        <v>-2.4999999999999911E-2</v>
      </c>
      <c r="K15" s="2">
        <f t="shared" si="7"/>
        <v>-3.8160471554781972E-2</v>
      </c>
      <c r="L15" s="2">
        <f t="shared" si="8"/>
        <v>5.905699589247998E-2</v>
      </c>
      <c r="M15" s="4">
        <f t="shared" si="9"/>
        <v>-2.7000000000000024E-2</v>
      </c>
      <c r="N15" s="1">
        <f t="shared" si="10"/>
        <v>-5.0179211469533962E-2</v>
      </c>
      <c r="O15" s="1">
        <f t="shared" si="11"/>
        <v>-5.4611650485436813E-2</v>
      </c>
      <c r="P15" s="1">
        <f t="shared" si="12"/>
        <v>-4.2881646655231413E-2</v>
      </c>
      <c r="Q15" s="1">
        <f t="shared" si="13"/>
        <v>-4.8417134494836929E-2</v>
      </c>
      <c r="R15" s="1">
        <f t="shared" si="14"/>
        <v>0.13546953463190406</v>
      </c>
      <c r="S15" s="1">
        <f t="shared" si="15"/>
        <v>-3.3834586466165439E-2</v>
      </c>
      <c r="T15" s="3"/>
    </row>
    <row r="16" spans="1:27">
      <c r="A16" t="s">
        <v>143</v>
      </c>
      <c r="B16" s="7">
        <v>0.79500000000000004</v>
      </c>
      <c r="C16" s="7">
        <v>0.77900000000000003</v>
      </c>
      <c r="D16" s="7">
        <v>0.55800000000000005</v>
      </c>
      <c r="E16" s="7">
        <v>0.75</v>
      </c>
      <c r="F16" s="7">
        <v>0.495</v>
      </c>
      <c r="G16" s="8">
        <v>0.77100000000000002</v>
      </c>
      <c r="H16" s="2">
        <f t="shared" si="4"/>
        <v>-4.1999999999999926E-2</v>
      </c>
      <c r="I16" s="2">
        <f t="shared" si="5"/>
        <v>-4.4999999999999929E-2</v>
      </c>
      <c r="J16" s="2">
        <f t="shared" si="6"/>
        <v>-2.4999999999999911E-2</v>
      </c>
      <c r="K16" s="2">
        <f t="shared" si="7"/>
        <v>-3.8160471554781972E-2</v>
      </c>
      <c r="L16" s="2">
        <f t="shared" si="8"/>
        <v>5.905699589247998E-2</v>
      </c>
      <c r="M16" s="4">
        <f t="shared" si="9"/>
        <v>-2.7000000000000024E-2</v>
      </c>
      <c r="N16" s="1">
        <f t="shared" si="10"/>
        <v>-5.0179211469533962E-2</v>
      </c>
      <c r="O16" s="1">
        <f t="shared" si="11"/>
        <v>-5.4611650485436813E-2</v>
      </c>
      <c r="P16" s="1">
        <f t="shared" si="12"/>
        <v>-4.2881646655231413E-2</v>
      </c>
      <c r="Q16" s="1">
        <f t="shared" si="13"/>
        <v>-4.8417134494836929E-2</v>
      </c>
      <c r="R16" s="1">
        <f t="shared" si="14"/>
        <v>0.13546953463190406</v>
      </c>
      <c r="S16" s="1">
        <f t="shared" si="15"/>
        <v>-3.3834586466165439E-2</v>
      </c>
      <c r="T16" s="3"/>
    </row>
    <row r="17" spans="1:20">
      <c r="A17" t="s">
        <v>207</v>
      </c>
      <c r="B17" s="7">
        <v>0.80140470297029709</v>
      </c>
      <c r="C17" s="7">
        <v>0.79100000000000004</v>
      </c>
      <c r="D17" s="7">
        <v>0.56399999999999995</v>
      </c>
      <c r="E17" s="7">
        <v>0.76700000000000002</v>
      </c>
      <c r="F17" s="7">
        <v>0.49399999999999999</v>
      </c>
      <c r="G17" s="8">
        <v>0.78148542458808612</v>
      </c>
      <c r="H17" s="2">
        <f t="shared" si="4"/>
        <v>-3.5595297029702877E-2</v>
      </c>
      <c r="I17" s="2">
        <f t="shared" si="5"/>
        <v>-3.2999999999999918E-2</v>
      </c>
      <c r="J17" s="2">
        <f t="shared" si="6"/>
        <v>-1.9000000000000017E-2</v>
      </c>
      <c r="K17" s="2">
        <f t="shared" si="7"/>
        <v>-2.1160471554781957E-2</v>
      </c>
      <c r="L17" s="2">
        <f t="shared" si="8"/>
        <v>5.8056995892479979E-2</v>
      </c>
      <c r="M17" s="4">
        <f t="shared" si="9"/>
        <v>-1.6514575411913923E-2</v>
      </c>
      <c r="N17" s="1">
        <f t="shared" si="10"/>
        <v>-4.2527236594627094E-2</v>
      </c>
      <c r="O17" s="1">
        <f t="shared" si="11"/>
        <v>-4.0048543689320294E-2</v>
      </c>
      <c r="P17" s="1">
        <f t="shared" si="12"/>
        <v>-3.259005145797602E-2</v>
      </c>
      <c r="Q17" s="1">
        <f t="shared" si="13"/>
        <v>-2.6847922876719877E-2</v>
      </c>
      <c r="R17" s="1">
        <f t="shared" si="14"/>
        <v>0.13317565678416285</v>
      </c>
      <c r="S17" s="1">
        <f t="shared" si="15"/>
        <v>-2.0694956656533738E-2</v>
      </c>
      <c r="T17" s="3"/>
    </row>
    <row r="18" spans="1:20">
      <c r="A18" t="s">
        <v>76</v>
      </c>
      <c r="B18" s="7">
        <v>0.79200000000000004</v>
      </c>
      <c r="C18" s="7">
        <v>0.77900000000000003</v>
      </c>
      <c r="D18" s="7">
        <v>0.55800000000000005</v>
      </c>
      <c r="E18" s="7">
        <v>0.749</v>
      </c>
      <c r="F18" s="7">
        <v>0.49199999999999999</v>
      </c>
      <c r="G18" s="8">
        <v>0.76400000000000001</v>
      </c>
      <c r="H18" s="2">
        <f t="shared" si="4"/>
        <v>-4.4999999999999929E-2</v>
      </c>
      <c r="I18" s="2">
        <f t="shared" si="5"/>
        <v>-4.4999999999999929E-2</v>
      </c>
      <c r="J18" s="2">
        <f t="shared" si="6"/>
        <v>-2.4999999999999911E-2</v>
      </c>
      <c r="K18" s="2">
        <f t="shared" si="7"/>
        <v>-3.9160471554781973E-2</v>
      </c>
      <c r="L18" s="2">
        <f t="shared" si="8"/>
        <v>5.6056995892479977E-2</v>
      </c>
      <c r="M18" s="4">
        <f t="shared" si="9"/>
        <v>-3.400000000000003E-2</v>
      </c>
      <c r="N18" s="1">
        <f t="shared" si="10"/>
        <v>-5.3763440860214971E-2</v>
      </c>
      <c r="O18" s="1">
        <f t="shared" si="11"/>
        <v>-5.4611650485436813E-2</v>
      </c>
      <c r="P18" s="1">
        <f t="shared" si="12"/>
        <v>-4.2881646655231413E-2</v>
      </c>
      <c r="Q18" s="1">
        <f t="shared" si="13"/>
        <v>-4.9685911648843811E-2</v>
      </c>
      <c r="R18" s="1">
        <f t="shared" si="14"/>
        <v>0.1285879010886804</v>
      </c>
      <c r="S18" s="1">
        <f t="shared" si="15"/>
        <v>-4.2606516290726849E-2</v>
      </c>
      <c r="T18" s="3"/>
    </row>
    <row r="19" spans="1:20">
      <c r="A19" t="s">
        <v>214</v>
      </c>
      <c r="B19" s="7">
        <v>0.80017380509000624</v>
      </c>
      <c r="C19" s="7">
        <v>0.78900000000000003</v>
      </c>
      <c r="D19" s="7">
        <v>0.56000000000000005</v>
      </c>
      <c r="E19" s="7">
        <v>0.76300000000000001</v>
      </c>
      <c r="F19" s="7">
        <v>0.49099999999999999</v>
      </c>
      <c r="G19" s="8">
        <v>0.77925761421319795</v>
      </c>
      <c r="H19" s="2">
        <f t="shared" si="4"/>
        <v>-3.6826194909993726E-2</v>
      </c>
      <c r="I19" s="2">
        <f t="shared" si="5"/>
        <v>-3.499999999999992E-2</v>
      </c>
      <c r="J19" s="2">
        <f t="shared" si="6"/>
        <v>-2.2999999999999909E-2</v>
      </c>
      <c r="K19" s="2">
        <f t="shared" si="7"/>
        <v>-2.516047155478196E-2</v>
      </c>
      <c r="L19" s="2">
        <f t="shared" si="8"/>
        <v>5.5056995892479976E-2</v>
      </c>
      <c r="M19" s="4">
        <f t="shared" si="9"/>
        <v>-1.8742385786802096E-2</v>
      </c>
      <c r="N19" s="1">
        <f t="shared" si="10"/>
        <v>-4.3997843381115564E-2</v>
      </c>
      <c r="O19" s="1">
        <f t="shared" si="11"/>
        <v>-4.2475728155339711E-2</v>
      </c>
      <c r="P19" s="1">
        <f t="shared" si="12"/>
        <v>-3.9451114922812884E-2</v>
      </c>
      <c r="Q19" s="1">
        <f t="shared" si="13"/>
        <v>-3.1923031492747417E-2</v>
      </c>
      <c r="R19" s="1">
        <f t="shared" si="14"/>
        <v>0.12629402324093919</v>
      </c>
      <c r="S19" s="1">
        <f t="shared" si="15"/>
        <v>-2.3486698980955005E-2</v>
      </c>
      <c r="T19" s="3"/>
    </row>
    <row r="20" spans="1:20">
      <c r="A20" t="s">
        <v>139</v>
      </c>
      <c r="B20" s="7">
        <v>0.80400000000000005</v>
      </c>
      <c r="C20" s="7">
        <v>0.79400000000000004</v>
      </c>
      <c r="D20" s="7">
        <v>0.55800000000000005</v>
      </c>
      <c r="E20" s="7">
        <v>0.76500000000000001</v>
      </c>
      <c r="F20" s="7">
        <v>0.48699999999999999</v>
      </c>
      <c r="G20" s="8">
        <v>0.78400000000000003</v>
      </c>
      <c r="H20" s="2">
        <f t="shared" si="4"/>
        <v>-3.2999999999999918E-2</v>
      </c>
      <c r="I20" s="2">
        <f t="shared" si="5"/>
        <v>-2.9999999999999916E-2</v>
      </c>
      <c r="J20" s="2">
        <f t="shared" si="6"/>
        <v>-2.4999999999999911E-2</v>
      </c>
      <c r="K20" s="2">
        <f t="shared" si="7"/>
        <v>-2.3160471554781958E-2</v>
      </c>
      <c r="L20" s="2">
        <f t="shared" si="8"/>
        <v>5.1056995892479973E-2</v>
      </c>
      <c r="M20" s="4">
        <f t="shared" si="9"/>
        <v>-1.4000000000000012E-2</v>
      </c>
      <c r="N20" s="1">
        <f t="shared" si="10"/>
        <v>-3.9426523297490947E-2</v>
      </c>
      <c r="O20" s="1">
        <f t="shared" si="11"/>
        <v>-3.6407766990291163E-2</v>
      </c>
      <c r="P20" s="1">
        <f t="shared" si="12"/>
        <v>-4.2881646655231413E-2</v>
      </c>
      <c r="Q20" s="1">
        <f t="shared" si="13"/>
        <v>-2.9385477184733649E-2</v>
      </c>
      <c r="R20" s="1">
        <f t="shared" si="14"/>
        <v>0.11711851184997429</v>
      </c>
      <c r="S20" s="1">
        <f t="shared" si="15"/>
        <v>-1.7543859649122823E-2</v>
      </c>
      <c r="T20" s="3"/>
    </row>
    <row r="21" spans="1:20">
      <c r="A21" t="s">
        <v>172</v>
      </c>
      <c r="B21" s="7">
        <v>0.80425618811881194</v>
      </c>
      <c r="C21" s="7">
        <v>0.79400000000000004</v>
      </c>
      <c r="D21" s="7">
        <v>0.55800000000000005</v>
      </c>
      <c r="E21" s="7">
        <v>0.76500000000000001</v>
      </c>
      <c r="F21" s="7">
        <v>0.48699999999999999</v>
      </c>
      <c r="G21" s="8">
        <v>0.78367339218158893</v>
      </c>
      <c r="H21" s="2">
        <f t="shared" si="4"/>
        <v>-3.2743811881188023E-2</v>
      </c>
      <c r="I21" s="2">
        <f t="shared" si="5"/>
        <v>-2.9999999999999916E-2</v>
      </c>
      <c r="J21" s="2">
        <f t="shared" si="6"/>
        <v>-2.4999999999999911E-2</v>
      </c>
      <c r="K21" s="2">
        <f t="shared" si="7"/>
        <v>-2.3160471554781958E-2</v>
      </c>
      <c r="L21" s="2">
        <f t="shared" si="8"/>
        <v>5.1056995892479973E-2</v>
      </c>
      <c r="M21" s="4">
        <f t="shared" si="9"/>
        <v>-1.4326607818411108E-2</v>
      </c>
      <c r="N21" s="1">
        <f t="shared" si="10"/>
        <v>-3.9120444302494652E-2</v>
      </c>
      <c r="O21" s="1">
        <f t="shared" si="11"/>
        <v>-3.6407766990291163E-2</v>
      </c>
      <c r="P21" s="1">
        <f t="shared" si="12"/>
        <v>-4.2881646655231413E-2</v>
      </c>
      <c r="Q21" s="1">
        <f t="shared" si="13"/>
        <v>-2.9385477184733649E-2</v>
      </c>
      <c r="R21" s="1">
        <f t="shared" si="14"/>
        <v>0.11711851184997429</v>
      </c>
      <c r="S21" s="1">
        <f t="shared" si="15"/>
        <v>-1.7953142629587852E-2</v>
      </c>
      <c r="T21" s="3"/>
    </row>
    <row r="22" spans="1:20">
      <c r="A22" t="s">
        <v>145</v>
      </c>
      <c r="B22" s="7">
        <v>0.80500000000000005</v>
      </c>
      <c r="C22" s="7">
        <v>0.79400000000000004</v>
      </c>
      <c r="D22" s="7">
        <v>0.55800000000000005</v>
      </c>
      <c r="E22" s="7">
        <v>0.76500000000000001</v>
      </c>
      <c r="F22" s="7">
        <v>0.48599999999999999</v>
      </c>
      <c r="G22" s="8">
        <v>0.78300000000000003</v>
      </c>
      <c r="H22" s="2">
        <f t="shared" si="4"/>
        <v>-3.1999999999999917E-2</v>
      </c>
      <c r="I22" s="2">
        <f t="shared" si="5"/>
        <v>-2.9999999999999916E-2</v>
      </c>
      <c r="J22" s="2">
        <f t="shared" si="6"/>
        <v>-2.4999999999999911E-2</v>
      </c>
      <c r="K22" s="2">
        <f t="shared" si="7"/>
        <v>-2.3160471554781958E-2</v>
      </c>
      <c r="L22" s="2">
        <f t="shared" si="8"/>
        <v>5.0056995892479972E-2</v>
      </c>
      <c r="M22" s="4">
        <f t="shared" si="9"/>
        <v>-1.5000000000000013E-2</v>
      </c>
      <c r="N22" s="1">
        <f t="shared" si="10"/>
        <v>-3.8231780167263939E-2</v>
      </c>
      <c r="O22" s="1">
        <f t="shared" si="11"/>
        <v>-3.6407766990291163E-2</v>
      </c>
      <c r="P22" s="1">
        <f t="shared" si="12"/>
        <v>-4.2881646655231413E-2</v>
      </c>
      <c r="Q22" s="1">
        <f t="shared" si="13"/>
        <v>-2.9385477184733649E-2</v>
      </c>
      <c r="R22" s="1">
        <f t="shared" si="14"/>
        <v>0.11482463400223307</v>
      </c>
      <c r="S22" s="1">
        <f t="shared" si="15"/>
        <v>-1.8796992481203024E-2</v>
      </c>
      <c r="T22" s="3"/>
    </row>
    <row r="23" spans="1:20">
      <c r="A23" t="s">
        <v>104</v>
      </c>
      <c r="B23" s="7">
        <v>0.78700000000000003</v>
      </c>
      <c r="C23" s="7">
        <v>0.77700000000000002</v>
      </c>
      <c r="D23" s="7">
        <v>0.55200000000000005</v>
      </c>
      <c r="E23" s="7">
        <v>0.746</v>
      </c>
      <c r="F23" s="7">
        <v>0.48399999999999999</v>
      </c>
      <c r="G23" s="8">
        <v>0.75600000000000001</v>
      </c>
      <c r="H23" s="2">
        <f t="shared" si="4"/>
        <v>-4.9999999999999933E-2</v>
      </c>
      <c r="I23" s="2">
        <f t="shared" si="5"/>
        <v>-4.6999999999999931E-2</v>
      </c>
      <c r="J23" s="2">
        <f t="shared" si="6"/>
        <v>-3.0999999999999917E-2</v>
      </c>
      <c r="K23" s="2">
        <f t="shared" si="7"/>
        <v>-4.2160471554781975E-2</v>
      </c>
      <c r="L23" s="2">
        <f t="shared" si="8"/>
        <v>4.805699589247997E-2</v>
      </c>
      <c r="M23" s="4">
        <f t="shared" si="9"/>
        <v>-4.2000000000000037E-2</v>
      </c>
      <c r="N23" s="1">
        <f t="shared" si="10"/>
        <v>-5.9737156511349983E-2</v>
      </c>
      <c r="O23" s="1">
        <f t="shared" si="11"/>
        <v>-5.703883495145623E-2</v>
      </c>
      <c r="P23" s="1">
        <f t="shared" si="12"/>
        <v>-5.3173241852486994E-2</v>
      </c>
      <c r="Q23" s="1">
        <f t="shared" si="13"/>
        <v>-5.3492243110864465E-2</v>
      </c>
      <c r="R23" s="1">
        <f t="shared" si="14"/>
        <v>0.11023687830675062</v>
      </c>
      <c r="S23" s="1">
        <f t="shared" si="15"/>
        <v>-5.2631578947368467E-2</v>
      </c>
      <c r="T23" s="3"/>
    </row>
    <row r="24" spans="1:20">
      <c r="A24" t="s">
        <v>80</v>
      </c>
      <c r="B24" s="7">
        <v>0.78600000000000003</v>
      </c>
      <c r="C24" s="7">
        <v>0.77800000000000002</v>
      </c>
      <c r="D24" s="7">
        <v>0.55200000000000005</v>
      </c>
      <c r="E24" s="7">
        <v>0.746</v>
      </c>
      <c r="F24" s="7">
        <v>0.48299999999999998</v>
      </c>
      <c r="G24" s="8">
        <v>0.75900000000000001</v>
      </c>
      <c r="H24" s="2">
        <f t="shared" si="4"/>
        <v>-5.0999999999999934E-2</v>
      </c>
      <c r="I24" s="2">
        <f t="shared" si="5"/>
        <v>-4.599999999999993E-2</v>
      </c>
      <c r="J24" s="2">
        <f t="shared" si="6"/>
        <v>-3.0999999999999917E-2</v>
      </c>
      <c r="K24" s="2">
        <f t="shared" si="7"/>
        <v>-4.2160471554781975E-2</v>
      </c>
      <c r="L24" s="2">
        <f t="shared" si="8"/>
        <v>4.7056995892479969E-2</v>
      </c>
      <c r="M24" s="4">
        <f t="shared" si="9"/>
        <v>-3.9000000000000035E-2</v>
      </c>
      <c r="N24" s="1">
        <f t="shared" si="10"/>
        <v>-6.0931899641576984E-2</v>
      </c>
      <c r="O24" s="1">
        <f t="shared" si="11"/>
        <v>-5.5825242718446522E-2</v>
      </c>
      <c r="P24" s="1">
        <f t="shared" si="12"/>
        <v>-5.3173241852486994E-2</v>
      </c>
      <c r="Q24" s="1">
        <f t="shared" si="13"/>
        <v>-5.3492243110864465E-2</v>
      </c>
      <c r="R24" s="1">
        <f t="shared" si="14"/>
        <v>0.1079430004590094</v>
      </c>
      <c r="S24" s="1">
        <f t="shared" si="15"/>
        <v>-4.8872180451127858E-2</v>
      </c>
      <c r="T24" s="3"/>
    </row>
    <row r="25" spans="1:20">
      <c r="A25" t="s">
        <v>73</v>
      </c>
      <c r="B25" s="7">
        <v>0.81200000000000006</v>
      </c>
      <c r="C25" s="7">
        <v>0.79700000000000004</v>
      </c>
      <c r="D25" s="7">
        <v>0.56200000000000006</v>
      </c>
      <c r="E25" s="7">
        <v>0.76941738078039101</v>
      </c>
      <c r="F25" s="7">
        <v>0.48286467843200498</v>
      </c>
      <c r="G25" s="8">
        <v>0.79</v>
      </c>
      <c r="H25" s="2">
        <f t="shared" si="4"/>
        <v>-2.4999999999999911E-2</v>
      </c>
      <c r="I25" s="2">
        <f t="shared" si="5"/>
        <v>-2.6999999999999913E-2</v>
      </c>
      <c r="J25" s="2">
        <f t="shared" si="6"/>
        <v>-2.0999999999999908E-2</v>
      </c>
      <c r="K25" s="2">
        <f t="shared" si="7"/>
        <v>-1.8743090774390958E-2</v>
      </c>
      <c r="L25" s="2">
        <f t="shared" si="8"/>
        <v>4.6921674324484963E-2</v>
      </c>
      <c r="M25" s="4">
        <f t="shared" si="9"/>
        <v>-8.0000000000000071E-3</v>
      </c>
      <c r="N25" s="1">
        <f t="shared" si="10"/>
        <v>-2.9868578255674925E-2</v>
      </c>
      <c r="O25" s="1">
        <f t="shared" si="11"/>
        <v>-3.2766990291262031E-2</v>
      </c>
      <c r="P25" s="1">
        <f t="shared" si="12"/>
        <v>-3.6020583190394355E-2</v>
      </c>
      <c r="Q25" s="1">
        <f t="shared" si="13"/>
        <v>-2.3780805370024444E-2</v>
      </c>
      <c r="R25" s="1">
        <f t="shared" si="14"/>
        <v>0.10763258931186405</v>
      </c>
      <c r="S25" s="1">
        <f t="shared" si="15"/>
        <v>-1.0025062656641612E-2</v>
      </c>
      <c r="T25" s="3"/>
    </row>
    <row r="26" spans="1:20">
      <c r="A26" t="s">
        <v>108</v>
      </c>
      <c r="B26" s="7">
        <v>0.78200000000000003</v>
      </c>
      <c r="C26" s="7">
        <v>0.77800000000000002</v>
      </c>
      <c r="D26" s="7">
        <v>0.55200000000000005</v>
      </c>
      <c r="E26" s="7">
        <v>0.74099999999999999</v>
      </c>
      <c r="F26" s="7">
        <v>0.48199999999999998</v>
      </c>
      <c r="G26" s="8">
        <v>0.749</v>
      </c>
      <c r="H26" s="2">
        <f t="shared" si="4"/>
        <v>-5.4999999999999938E-2</v>
      </c>
      <c r="I26" s="2">
        <f t="shared" si="5"/>
        <v>-4.599999999999993E-2</v>
      </c>
      <c r="J26" s="2">
        <f t="shared" si="6"/>
        <v>-3.0999999999999917E-2</v>
      </c>
      <c r="K26" s="2">
        <f t="shared" si="7"/>
        <v>-4.716047155478198E-2</v>
      </c>
      <c r="L26" s="2">
        <f t="shared" si="8"/>
        <v>4.6056995892479968E-2</v>
      </c>
      <c r="M26" s="4">
        <f t="shared" si="9"/>
        <v>-4.9000000000000044E-2</v>
      </c>
      <c r="N26" s="1">
        <f t="shared" si="10"/>
        <v>-6.5710872162484987E-2</v>
      </c>
      <c r="O26" s="1">
        <f t="shared" si="11"/>
        <v>-5.5825242718446522E-2</v>
      </c>
      <c r="P26" s="1">
        <f t="shared" si="12"/>
        <v>-5.3173241852486994E-2</v>
      </c>
      <c r="Q26" s="1">
        <f t="shared" si="13"/>
        <v>-5.9836128880898891E-2</v>
      </c>
      <c r="R26" s="1">
        <f t="shared" si="14"/>
        <v>0.10564912261126817</v>
      </c>
      <c r="S26" s="1">
        <f t="shared" si="15"/>
        <v>-6.1403508771929877E-2</v>
      </c>
      <c r="T26" s="3"/>
    </row>
    <row r="27" spans="1:20">
      <c r="A27" t="s">
        <v>57</v>
      </c>
      <c r="B27" s="7">
        <v>0.81</v>
      </c>
      <c r="C27" s="7">
        <v>0.79700000000000004</v>
      </c>
      <c r="D27" s="7">
        <v>0.56000000000000005</v>
      </c>
      <c r="E27" s="7">
        <v>0.76848270725795198</v>
      </c>
      <c r="F27" s="7">
        <v>0.48025052913229799</v>
      </c>
      <c r="G27" s="8">
        <v>0.78700000000000003</v>
      </c>
      <c r="H27" s="2">
        <f t="shared" si="4"/>
        <v>-2.6999999999999913E-2</v>
      </c>
      <c r="I27" s="2">
        <f t="shared" si="5"/>
        <v>-2.6999999999999913E-2</v>
      </c>
      <c r="J27" s="2">
        <f t="shared" si="6"/>
        <v>-2.2999999999999909E-2</v>
      </c>
      <c r="K27" s="2">
        <f t="shared" si="7"/>
        <v>-1.9677764296829992E-2</v>
      </c>
      <c r="L27" s="2">
        <f t="shared" si="8"/>
        <v>4.4307525024777972E-2</v>
      </c>
      <c r="M27" s="4">
        <f t="shared" si="9"/>
        <v>-1.100000000000001E-2</v>
      </c>
      <c r="N27" s="1">
        <f t="shared" si="10"/>
        <v>-3.2258064516128927E-2</v>
      </c>
      <c r="O27" s="1">
        <f t="shared" si="11"/>
        <v>-3.2766990291262031E-2</v>
      </c>
      <c r="P27" s="1">
        <f t="shared" si="12"/>
        <v>-3.9451114922812884E-2</v>
      </c>
      <c r="Q27" s="1">
        <f t="shared" si="13"/>
        <v>-2.496669778175023E-2</v>
      </c>
      <c r="R27" s="1">
        <f t="shared" si="14"/>
        <v>0.10163605014257796</v>
      </c>
      <c r="S27" s="1">
        <f t="shared" si="15"/>
        <v>-1.3784461152882217E-2</v>
      </c>
      <c r="T27" s="3"/>
    </row>
    <row r="28" spans="1:20">
      <c r="A28" t="s">
        <v>193</v>
      </c>
      <c r="B28" s="7">
        <v>0.80768569674647028</v>
      </c>
      <c r="C28" s="7">
        <v>0.79500000000000004</v>
      </c>
      <c r="D28" s="7">
        <v>0.56000000000000005</v>
      </c>
      <c r="E28" s="7">
        <v>0.77100000000000002</v>
      </c>
      <c r="F28" s="7">
        <v>0.48</v>
      </c>
      <c r="G28" s="8">
        <v>0.78957901311680201</v>
      </c>
      <c r="H28" s="2">
        <f t="shared" si="4"/>
        <v>-2.9314303253529683E-2</v>
      </c>
      <c r="I28" s="2">
        <f t="shared" si="5"/>
        <v>-2.8999999999999915E-2</v>
      </c>
      <c r="J28" s="2">
        <f t="shared" si="6"/>
        <v>-2.2999999999999909E-2</v>
      </c>
      <c r="K28" s="2">
        <f t="shared" si="7"/>
        <v>-1.7160471554781953E-2</v>
      </c>
      <c r="L28" s="2">
        <f t="shared" si="8"/>
        <v>4.4056995892479967E-2</v>
      </c>
      <c r="M28" s="4">
        <f t="shared" si="9"/>
        <v>-8.4209868831980339E-3</v>
      </c>
      <c r="N28" s="1">
        <f t="shared" si="10"/>
        <v>-3.5023062429545622E-2</v>
      </c>
      <c r="O28" s="1">
        <f t="shared" si="11"/>
        <v>-3.5194174757281455E-2</v>
      </c>
      <c r="P28" s="1">
        <f t="shared" si="12"/>
        <v>-3.9451114922812884E-2</v>
      </c>
      <c r="Q28" s="1">
        <f t="shared" si="13"/>
        <v>-2.1772814260692337E-2</v>
      </c>
      <c r="R28" s="1">
        <f t="shared" si="14"/>
        <v>0.10106136691578572</v>
      </c>
      <c r="S28" s="1">
        <f t="shared" si="15"/>
        <v>-1.0552615141852172E-2</v>
      </c>
      <c r="T28" s="3"/>
    </row>
    <row r="29" spans="1:20">
      <c r="A29" t="s">
        <v>71</v>
      </c>
      <c r="B29" s="7">
        <v>0.78800000000000003</v>
      </c>
      <c r="C29" s="7">
        <v>0.77600000000000002</v>
      </c>
      <c r="D29" s="7">
        <v>0.55000000000000004</v>
      </c>
      <c r="E29" s="7">
        <v>0.74148774565766096</v>
      </c>
      <c r="F29" s="7">
        <v>0.47680858160332701</v>
      </c>
      <c r="G29" s="8">
        <v>0.76200000000000001</v>
      </c>
      <c r="H29" s="2">
        <f t="shared" si="4"/>
        <v>-4.8999999999999932E-2</v>
      </c>
      <c r="I29" s="2">
        <f t="shared" si="5"/>
        <v>-4.7999999999999932E-2</v>
      </c>
      <c r="J29" s="2">
        <f t="shared" si="6"/>
        <v>-3.2999999999999918E-2</v>
      </c>
      <c r="K29" s="2">
        <f t="shared" si="7"/>
        <v>-4.6672725897121015E-2</v>
      </c>
      <c r="L29" s="2">
        <f t="shared" si="8"/>
        <v>4.0865577495806993E-2</v>
      </c>
      <c r="M29" s="4">
        <f t="shared" si="9"/>
        <v>-3.6000000000000032E-2</v>
      </c>
      <c r="N29" s="1">
        <f t="shared" si="10"/>
        <v>-5.8542413381122982E-2</v>
      </c>
      <c r="O29" s="1">
        <f t="shared" si="11"/>
        <v>-5.8252427184465938E-2</v>
      </c>
      <c r="P29" s="1">
        <f t="shared" si="12"/>
        <v>-5.6603773584905523E-2</v>
      </c>
      <c r="Q29" s="1">
        <f t="shared" si="13"/>
        <v>-5.9217288333492595E-2</v>
      </c>
      <c r="R29" s="1">
        <f t="shared" si="14"/>
        <v>9.3740642952783795E-2</v>
      </c>
      <c r="S29" s="1">
        <f t="shared" si="15"/>
        <v>-4.5112781954887257E-2</v>
      </c>
      <c r="T29" s="3"/>
    </row>
    <row r="30" spans="1:20">
      <c r="A30" t="s">
        <v>84</v>
      </c>
      <c r="B30" s="7">
        <v>0.78200000000000003</v>
      </c>
      <c r="C30" s="7">
        <v>0.76</v>
      </c>
      <c r="D30" s="7">
        <v>0.53900000000000003</v>
      </c>
      <c r="E30" s="7">
        <v>0.73499999999999999</v>
      </c>
      <c r="F30" s="7">
        <v>0.47599999999999998</v>
      </c>
      <c r="G30" s="8">
        <v>0.755</v>
      </c>
      <c r="H30" s="2">
        <f t="shared" si="4"/>
        <v>-5.4999999999999938E-2</v>
      </c>
      <c r="I30" s="2">
        <f t="shared" si="5"/>
        <v>-6.3999999999999946E-2</v>
      </c>
      <c r="J30" s="2">
        <f t="shared" si="6"/>
        <v>-4.3999999999999928E-2</v>
      </c>
      <c r="K30" s="2">
        <f t="shared" si="7"/>
        <v>-5.3160471554781985E-2</v>
      </c>
      <c r="L30" s="2">
        <f t="shared" si="8"/>
        <v>4.0056995892479963E-2</v>
      </c>
      <c r="M30" s="4">
        <f t="shared" si="9"/>
        <v>-4.3000000000000038E-2</v>
      </c>
      <c r="N30" s="1">
        <f t="shared" si="10"/>
        <v>-6.5710872162484987E-2</v>
      </c>
      <c r="O30" s="1">
        <f t="shared" si="11"/>
        <v>-7.7669902912621297E-2</v>
      </c>
      <c r="P30" s="1">
        <f t="shared" si="12"/>
        <v>-7.5471698113207433E-2</v>
      </c>
      <c r="Q30" s="1">
        <f t="shared" si="13"/>
        <v>-6.7448791804940206E-2</v>
      </c>
      <c r="R30" s="1">
        <f t="shared" si="14"/>
        <v>9.1885855524820842E-2</v>
      </c>
      <c r="S30" s="1">
        <f t="shared" si="15"/>
        <v>-5.3884711779448667E-2</v>
      </c>
      <c r="T30" s="3"/>
    </row>
    <row r="31" spans="1:20">
      <c r="A31" t="s">
        <v>65</v>
      </c>
      <c r="B31" s="7">
        <v>0.80300000000000005</v>
      </c>
      <c r="C31" s="7">
        <v>0.79300000000000004</v>
      </c>
      <c r="D31" s="7">
        <v>0.55400000000000005</v>
      </c>
      <c r="E31" s="7">
        <v>0.76617075065795104</v>
      </c>
      <c r="F31" s="7">
        <v>0.473076501969657</v>
      </c>
      <c r="G31" s="8">
        <v>0.78300000000000003</v>
      </c>
      <c r="H31" s="2">
        <f t="shared" si="4"/>
        <v>-3.3999999999999919E-2</v>
      </c>
      <c r="I31" s="2">
        <f t="shared" si="5"/>
        <v>-3.0999999999999917E-2</v>
      </c>
      <c r="J31" s="2">
        <f t="shared" si="6"/>
        <v>-2.8999999999999915E-2</v>
      </c>
      <c r="K31" s="2">
        <f t="shared" si="7"/>
        <v>-2.1989720896830933E-2</v>
      </c>
      <c r="L31" s="2">
        <f t="shared" si="8"/>
        <v>3.7133497862136988E-2</v>
      </c>
      <c r="M31" s="4">
        <f t="shared" si="9"/>
        <v>-1.5000000000000013E-2</v>
      </c>
      <c r="N31" s="1">
        <f t="shared" si="10"/>
        <v>-4.0621266427717947E-2</v>
      </c>
      <c r="O31" s="1">
        <f t="shared" si="11"/>
        <v>-3.7621359223300871E-2</v>
      </c>
      <c r="P31" s="1">
        <f t="shared" si="12"/>
        <v>-4.9742710120068465E-2</v>
      </c>
      <c r="Q31" s="1">
        <f t="shared" si="13"/>
        <v>-2.7900055496886858E-2</v>
      </c>
      <c r="R31" s="1">
        <f t="shared" si="14"/>
        <v>8.5179708155102007E-2</v>
      </c>
      <c r="S31" s="1">
        <f t="shared" si="15"/>
        <v>-1.8796992481203024E-2</v>
      </c>
      <c r="T31" s="3"/>
    </row>
    <row r="32" spans="1:20">
      <c r="A32" t="s">
        <v>88</v>
      </c>
      <c r="B32" s="7">
        <v>0.78100000000000003</v>
      </c>
      <c r="C32" s="7">
        <v>0.76200000000000001</v>
      </c>
      <c r="D32" s="7">
        <v>0.53900000000000003</v>
      </c>
      <c r="E32" s="7">
        <v>0.73899999999999999</v>
      </c>
      <c r="F32" s="7">
        <v>0.47199999999999998</v>
      </c>
      <c r="G32" s="8">
        <v>0.76</v>
      </c>
      <c r="H32" s="2">
        <f t="shared" si="4"/>
        <v>-5.5999999999999939E-2</v>
      </c>
      <c r="I32" s="2">
        <f t="shared" si="5"/>
        <v>-6.1999999999999944E-2</v>
      </c>
      <c r="J32" s="2">
        <f t="shared" si="6"/>
        <v>-4.3999999999999928E-2</v>
      </c>
      <c r="K32" s="2">
        <f t="shared" si="7"/>
        <v>-4.9160471554781981E-2</v>
      </c>
      <c r="L32" s="2">
        <f t="shared" si="8"/>
        <v>3.6056995892479959E-2</v>
      </c>
      <c r="M32" s="4">
        <f t="shared" si="9"/>
        <v>-3.8000000000000034E-2</v>
      </c>
      <c r="N32" s="1">
        <f t="shared" si="10"/>
        <v>-6.6905615292711995E-2</v>
      </c>
      <c r="O32" s="1">
        <f t="shared" si="11"/>
        <v>-7.5242718446601881E-2</v>
      </c>
      <c r="P32" s="1">
        <f t="shared" si="12"/>
        <v>-7.5471698113207433E-2</v>
      </c>
      <c r="Q32" s="1">
        <f t="shared" si="13"/>
        <v>-6.2373683188912663E-2</v>
      </c>
      <c r="R32" s="1">
        <f t="shared" si="14"/>
        <v>8.2710344133855945E-2</v>
      </c>
      <c r="S32" s="1">
        <f t="shared" si="15"/>
        <v>-4.7619047619047658E-2</v>
      </c>
      <c r="T32" s="3"/>
    </row>
    <row r="33" spans="1:20">
      <c r="A33" t="s">
        <v>61</v>
      </c>
      <c r="B33" s="7">
        <v>0.80400000000000005</v>
      </c>
      <c r="C33" s="7">
        <v>0.79100000000000004</v>
      </c>
      <c r="D33" s="7">
        <v>0.55200000000000005</v>
      </c>
      <c r="E33" s="7">
        <v>0.76514295356953399</v>
      </c>
      <c r="F33" s="7">
        <v>0.47042134936108199</v>
      </c>
      <c r="G33" s="8">
        <v>0.78100000000000003</v>
      </c>
      <c r="H33" s="2">
        <f t="shared" si="4"/>
        <v>-3.2999999999999918E-2</v>
      </c>
      <c r="I33" s="2">
        <f t="shared" si="5"/>
        <v>-3.2999999999999918E-2</v>
      </c>
      <c r="J33" s="2">
        <f t="shared" si="6"/>
        <v>-3.0999999999999917E-2</v>
      </c>
      <c r="K33" s="2">
        <f t="shared" si="7"/>
        <v>-2.3017517985247982E-2</v>
      </c>
      <c r="L33" s="2">
        <f t="shared" si="8"/>
        <v>3.4478345253561971E-2</v>
      </c>
      <c r="M33" s="4">
        <f t="shared" si="9"/>
        <v>-1.7000000000000015E-2</v>
      </c>
      <c r="N33" s="1">
        <f t="shared" si="10"/>
        <v>-3.9426523297490947E-2</v>
      </c>
      <c r="O33" s="1">
        <f t="shared" si="11"/>
        <v>-4.0048543689320294E-2</v>
      </c>
      <c r="P33" s="1">
        <f t="shared" si="12"/>
        <v>-5.3173241852486994E-2</v>
      </c>
      <c r="Q33" s="1">
        <f t="shared" si="13"/>
        <v>-2.9204100961625203E-2</v>
      </c>
      <c r="R33" s="1">
        <f t="shared" si="14"/>
        <v>7.9089112403919457E-2</v>
      </c>
      <c r="S33" s="1">
        <f t="shared" si="15"/>
        <v>-2.1303258145363425E-2</v>
      </c>
      <c r="T33" s="3"/>
    </row>
    <row r="34" spans="1:20">
      <c r="A34" t="s">
        <v>47</v>
      </c>
      <c r="B34" s="7">
        <v>0.76900000000000002</v>
      </c>
      <c r="C34" s="7">
        <v>0.752</v>
      </c>
      <c r="D34" s="7">
        <v>0.52800000000000002</v>
      </c>
      <c r="E34" s="7">
        <v>0.72599999999999998</v>
      </c>
      <c r="F34" s="7">
        <v>0.46500000000000002</v>
      </c>
      <c r="G34" s="8">
        <v>0.74199999999999999</v>
      </c>
      <c r="H34" s="2">
        <f t="shared" ref="H34:H65" si="16">B34-V$2</f>
        <v>-6.7999999999999949E-2</v>
      </c>
      <c r="I34" s="2">
        <f t="shared" ref="I34:I65" si="17">C34-W$2</f>
        <v>-7.1999999999999953E-2</v>
      </c>
      <c r="J34" s="2">
        <f t="shared" ref="J34:J65" si="18">D34-X$2</f>
        <v>-5.4999999999999938E-2</v>
      </c>
      <c r="K34" s="2">
        <f t="shared" ref="K34:K65" si="19">E34-Y$2</f>
        <v>-6.2160471554781993E-2</v>
      </c>
      <c r="L34" s="2">
        <f t="shared" ref="L34:L65" si="20">F34-Z$2</f>
        <v>2.9056995892480009E-2</v>
      </c>
      <c r="M34" s="4">
        <f t="shared" ref="M34:M65" si="21">G34-AA$2</f>
        <v>-5.600000000000005E-2</v>
      </c>
      <c r="N34" s="1">
        <f t="shared" ref="N34:N65" si="22">(B34-V$2)/V$2</f>
        <v>-8.124253285543602E-2</v>
      </c>
      <c r="O34" s="1">
        <f t="shared" ref="O34:O65" si="23">(C34-W$2)/W$2</f>
        <v>-8.7378640776698976E-2</v>
      </c>
      <c r="P34" s="1">
        <f t="shared" ref="P34:P65" si="24">(D34-X$2)/X$2</f>
        <v>-9.433962264150933E-2</v>
      </c>
      <c r="Q34" s="1">
        <f t="shared" ref="Q34:Q65" si="25">(E34-Y$2)/Y$2</f>
        <v>-7.8867786191002168E-2</v>
      </c>
      <c r="R34" s="1">
        <f t="shared" ref="R34:R65" si="26">(F34-Z$2)/Z$2</f>
        <v>6.6653199199667529E-2</v>
      </c>
      <c r="S34" s="1">
        <f t="shared" ref="S34:S65" si="27">(G34-AA$2)/AA$2</f>
        <v>-7.0175438596491294E-2</v>
      </c>
      <c r="T34" s="3"/>
    </row>
    <row r="35" spans="1:20">
      <c r="A35" t="s">
        <v>96</v>
      </c>
      <c r="B35" s="7">
        <v>0.78400000000000003</v>
      </c>
      <c r="C35" s="7">
        <v>0.76100000000000001</v>
      </c>
      <c r="D35" s="7">
        <v>0.53</v>
      </c>
      <c r="E35" s="7">
        <v>0.73399999999999999</v>
      </c>
      <c r="F35" s="7">
        <v>0.46400000000000002</v>
      </c>
      <c r="G35" s="8">
        <v>0.75700000000000001</v>
      </c>
      <c r="H35" s="2">
        <f t="shared" si="16"/>
        <v>-5.2999999999999936E-2</v>
      </c>
      <c r="I35" s="2">
        <f t="shared" si="17"/>
        <v>-6.2999999999999945E-2</v>
      </c>
      <c r="J35" s="2">
        <f t="shared" si="18"/>
        <v>-5.2999999999999936E-2</v>
      </c>
      <c r="K35" s="2">
        <f t="shared" si="19"/>
        <v>-5.4160471554781986E-2</v>
      </c>
      <c r="L35" s="2">
        <f t="shared" si="20"/>
        <v>2.8056995892480008E-2</v>
      </c>
      <c r="M35" s="4">
        <f t="shared" si="21"/>
        <v>-4.1000000000000036E-2</v>
      </c>
      <c r="N35" s="1">
        <f t="shared" si="22"/>
        <v>-6.3321385902030985E-2</v>
      </c>
      <c r="O35" s="1">
        <f t="shared" si="23"/>
        <v>-7.6456310679611589E-2</v>
      </c>
      <c r="P35" s="1">
        <f t="shared" si="24"/>
        <v>-9.0909090909090801E-2</v>
      </c>
      <c r="Q35" s="1">
        <f t="shared" si="25"/>
        <v>-6.8717568958947095E-2</v>
      </c>
      <c r="R35" s="1">
        <f t="shared" si="26"/>
        <v>6.4359321351926305E-2</v>
      </c>
      <c r="S35" s="1">
        <f t="shared" si="27"/>
        <v>-5.1378446115288266E-2</v>
      </c>
      <c r="T35" s="3"/>
    </row>
    <row r="36" spans="1:20">
      <c r="A36" t="s">
        <v>100</v>
      </c>
      <c r="B36" s="7">
        <v>0.78400000000000003</v>
      </c>
      <c r="C36" s="7">
        <v>0.76100000000000001</v>
      </c>
      <c r="D36" s="7">
        <v>0.53</v>
      </c>
      <c r="E36" s="7">
        <v>0.73399999999999999</v>
      </c>
      <c r="F36" s="7">
        <v>0.46400000000000002</v>
      </c>
      <c r="G36" s="8">
        <v>0.75700000000000001</v>
      </c>
      <c r="H36" s="2">
        <f t="shared" si="16"/>
        <v>-5.2999999999999936E-2</v>
      </c>
      <c r="I36" s="2">
        <f t="shared" si="17"/>
        <v>-6.2999999999999945E-2</v>
      </c>
      <c r="J36" s="2">
        <f t="shared" si="18"/>
        <v>-5.2999999999999936E-2</v>
      </c>
      <c r="K36" s="2">
        <f t="shared" si="19"/>
        <v>-5.4160471554781986E-2</v>
      </c>
      <c r="L36" s="2">
        <f t="shared" si="20"/>
        <v>2.8056995892480008E-2</v>
      </c>
      <c r="M36" s="4">
        <f t="shared" si="21"/>
        <v>-4.1000000000000036E-2</v>
      </c>
      <c r="N36" s="1">
        <f t="shared" si="22"/>
        <v>-6.3321385902030985E-2</v>
      </c>
      <c r="O36" s="1">
        <f t="shared" si="23"/>
        <v>-7.6456310679611589E-2</v>
      </c>
      <c r="P36" s="1">
        <f t="shared" si="24"/>
        <v>-9.0909090909090801E-2</v>
      </c>
      <c r="Q36" s="1">
        <f t="shared" si="25"/>
        <v>-6.8717568958947095E-2</v>
      </c>
      <c r="R36" s="1">
        <f t="shared" si="26"/>
        <v>6.4359321351926305E-2</v>
      </c>
      <c r="S36" s="1">
        <f t="shared" si="27"/>
        <v>-5.1378446115288266E-2</v>
      </c>
      <c r="T36" s="3"/>
    </row>
    <row r="37" spans="1:20">
      <c r="A37" t="s">
        <v>69</v>
      </c>
      <c r="B37" s="7">
        <v>0.79800000000000004</v>
      </c>
      <c r="C37" s="7">
        <v>0.78600000000000003</v>
      </c>
      <c r="D37" s="7">
        <v>0.54300000000000004</v>
      </c>
      <c r="E37" s="7">
        <v>0.75655107354623197</v>
      </c>
      <c r="F37" s="7">
        <v>0.46184439276394901</v>
      </c>
      <c r="G37" s="8">
        <v>0.77500000000000002</v>
      </c>
      <c r="H37" s="2">
        <f t="shared" si="16"/>
        <v>-3.8999999999999924E-2</v>
      </c>
      <c r="I37" s="2">
        <f t="shared" si="17"/>
        <v>-3.7999999999999923E-2</v>
      </c>
      <c r="J37" s="2">
        <f t="shared" si="18"/>
        <v>-3.9999999999999925E-2</v>
      </c>
      <c r="K37" s="2">
        <f t="shared" si="19"/>
        <v>-3.1609398008550005E-2</v>
      </c>
      <c r="L37" s="2">
        <f t="shared" si="20"/>
        <v>2.5901388656428992E-2</v>
      </c>
      <c r="M37" s="4">
        <f t="shared" si="21"/>
        <v>-2.300000000000002E-2</v>
      </c>
      <c r="N37" s="1">
        <f t="shared" si="22"/>
        <v>-4.6594982078852959E-2</v>
      </c>
      <c r="O37" s="1">
        <f t="shared" si="23"/>
        <v>-4.6116504854368842E-2</v>
      </c>
      <c r="P37" s="1">
        <f t="shared" si="24"/>
        <v>-6.8610634648370375E-2</v>
      </c>
      <c r="Q37" s="1">
        <f t="shared" si="25"/>
        <v>-4.0105282045158945E-2</v>
      </c>
      <c r="R37" s="1">
        <f t="shared" si="26"/>
        <v>5.9414621664718198E-2</v>
      </c>
      <c r="S37" s="1">
        <f t="shared" si="27"/>
        <v>-2.8822055137844634E-2</v>
      </c>
      <c r="T37" s="3"/>
    </row>
    <row r="38" spans="1:20">
      <c r="A38" t="s">
        <v>92</v>
      </c>
      <c r="B38" s="7">
        <v>0.77200000000000002</v>
      </c>
      <c r="C38" s="7">
        <v>0.75600000000000001</v>
      </c>
      <c r="D38" s="7">
        <v>0.52600000000000002</v>
      </c>
      <c r="E38" s="7">
        <v>0.72099999999999997</v>
      </c>
      <c r="F38" s="7">
        <v>0.46</v>
      </c>
      <c r="G38" s="8">
        <v>0.749</v>
      </c>
      <c r="H38" s="2">
        <f t="shared" si="16"/>
        <v>-6.4999999999999947E-2</v>
      </c>
      <c r="I38" s="2">
        <f t="shared" si="17"/>
        <v>-6.7999999999999949E-2</v>
      </c>
      <c r="J38" s="2">
        <f t="shared" si="18"/>
        <v>-5.699999999999994E-2</v>
      </c>
      <c r="K38" s="2">
        <f t="shared" si="19"/>
        <v>-6.7160471554781997E-2</v>
      </c>
      <c r="L38" s="2">
        <f t="shared" si="20"/>
        <v>2.4056995892480004E-2</v>
      </c>
      <c r="M38" s="4">
        <f t="shared" si="21"/>
        <v>-4.9000000000000044E-2</v>
      </c>
      <c r="N38" s="1">
        <f t="shared" si="22"/>
        <v>-7.765830346475501E-2</v>
      </c>
      <c r="O38" s="1">
        <f t="shared" si="23"/>
        <v>-8.2524271844660144E-2</v>
      </c>
      <c r="P38" s="1">
        <f t="shared" si="24"/>
        <v>-9.7770154373927859E-2</v>
      </c>
      <c r="Q38" s="1">
        <f t="shared" si="25"/>
        <v>-8.52116719610366E-2</v>
      </c>
      <c r="R38" s="1">
        <f t="shared" si="26"/>
        <v>5.5183809960961408E-2</v>
      </c>
      <c r="S38" s="1">
        <f t="shared" si="27"/>
        <v>-6.1403508771929877E-2</v>
      </c>
      <c r="T38" s="3"/>
    </row>
    <row r="39" spans="1:20">
      <c r="A39" t="s">
        <v>189</v>
      </c>
      <c r="B39" s="7">
        <v>0.77072164948453603</v>
      </c>
      <c r="C39" s="7">
        <v>0.76200000000000001</v>
      </c>
      <c r="D39" s="7">
        <v>0.53</v>
      </c>
      <c r="E39" s="7">
        <v>0.72199999999999998</v>
      </c>
      <c r="F39" s="7">
        <v>0.46</v>
      </c>
      <c r="G39" s="8">
        <v>0.74348936170212776</v>
      </c>
      <c r="H39" s="2">
        <f t="shared" si="16"/>
        <v>-6.6278350515463935E-2</v>
      </c>
      <c r="I39" s="2">
        <f t="shared" si="17"/>
        <v>-6.1999999999999944E-2</v>
      </c>
      <c r="J39" s="2">
        <f t="shared" si="18"/>
        <v>-5.2999999999999936E-2</v>
      </c>
      <c r="K39" s="2">
        <f t="shared" si="19"/>
        <v>-6.6160471554781997E-2</v>
      </c>
      <c r="L39" s="2">
        <f t="shared" si="20"/>
        <v>2.4056995892480004E-2</v>
      </c>
      <c r="M39" s="4">
        <f t="shared" si="21"/>
        <v>-5.4510638297872283E-2</v>
      </c>
      <c r="N39" s="1">
        <f t="shared" si="22"/>
        <v>-7.9185603961127768E-2</v>
      </c>
      <c r="O39" s="1">
        <f t="shared" si="23"/>
        <v>-7.5242718446601881E-2</v>
      </c>
      <c r="P39" s="1">
        <f t="shared" si="24"/>
        <v>-9.0909090909090801E-2</v>
      </c>
      <c r="Q39" s="1">
        <f t="shared" si="25"/>
        <v>-8.3942894807029711E-2</v>
      </c>
      <c r="R39" s="1">
        <f t="shared" si="26"/>
        <v>5.5183809960961408E-2</v>
      </c>
      <c r="S39" s="1">
        <f t="shared" si="27"/>
        <v>-6.8309070548712131E-2</v>
      </c>
      <c r="T39" s="3"/>
    </row>
    <row r="40" spans="1:20">
      <c r="A40" t="s">
        <v>187</v>
      </c>
      <c r="B40" s="7">
        <v>0.77955994897959191</v>
      </c>
      <c r="C40" s="7">
        <v>0.75800000000000001</v>
      </c>
      <c r="D40" s="7">
        <v>0.53</v>
      </c>
      <c r="E40" s="7">
        <v>0.71799999999999997</v>
      </c>
      <c r="F40" s="7">
        <v>0.45800000000000002</v>
      </c>
      <c r="G40" s="8">
        <v>0.74738911022576349</v>
      </c>
      <c r="H40" s="2">
        <f t="shared" si="16"/>
        <v>-5.7440051020408056E-2</v>
      </c>
      <c r="I40" s="2">
        <f t="shared" si="17"/>
        <v>-6.5999999999999948E-2</v>
      </c>
      <c r="J40" s="2">
        <f t="shared" si="18"/>
        <v>-5.2999999999999936E-2</v>
      </c>
      <c r="K40" s="2">
        <f t="shared" si="19"/>
        <v>-7.0160471554782E-2</v>
      </c>
      <c r="L40" s="2">
        <f t="shared" si="20"/>
        <v>2.2056995892480002E-2</v>
      </c>
      <c r="M40" s="4">
        <f t="shared" si="21"/>
        <v>-5.0610889774236556E-2</v>
      </c>
      <c r="N40" s="1">
        <f t="shared" si="22"/>
        <v>-6.8626106356520972E-2</v>
      </c>
      <c r="O40" s="1">
        <f t="shared" si="23"/>
        <v>-8.0097087378640713E-2</v>
      </c>
      <c r="P40" s="1">
        <f t="shared" si="24"/>
        <v>-9.0909090909090801E-2</v>
      </c>
      <c r="Q40" s="1">
        <f t="shared" si="25"/>
        <v>-8.9018003423057254E-2</v>
      </c>
      <c r="R40" s="1">
        <f t="shared" si="26"/>
        <v>5.0596054265478967E-2</v>
      </c>
      <c r="S40" s="1">
        <f t="shared" si="27"/>
        <v>-6.3422167636887905E-2</v>
      </c>
      <c r="T40" s="3"/>
    </row>
    <row r="41" spans="1:20">
      <c r="A41" t="s">
        <v>55</v>
      </c>
      <c r="B41" s="7">
        <v>0.77500000000000002</v>
      </c>
      <c r="C41" s="7">
        <v>0.75800000000000001</v>
      </c>
      <c r="D41" s="7">
        <v>0.52900000000000003</v>
      </c>
      <c r="E41" s="7">
        <v>0.71748464071670404</v>
      </c>
      <c r="F41" s="7">
        <v>0.45734648356705998</v>
      </c>
      <c r="G41" s="8">
        <v>0.74199999999999999</v>
      </c>
      <c r="H41" s="2">
        <f t="shared" si="16"/>
        <v>-6.1999999999999944E-2</v>
      </c>
      <c r="I41" s="2">
        <f t="shared" si="17"/>
        <v>-6.5999999999999948E-2</v>
      </c>
      <c r="J41" s="2">
        <f t="shared" si="18"/>
        <v>-5.3999999999999937E-2</v>
      </c>
      <c r="K41" s="2">
        <f t="shared" si="19"/>
        <v>-7.0675830838077935E-2</v>
      </c>
      <c r="L41" s="2">
        <f t="shared" si="20"/>
        <v>2.1403479459539965E-2</v>
      </c>
      <c r="M41" s="4">
        <f t="shared" si="21"/>
        <v>-5.600000000000005E-2</v>
      </c>
      <c r="N41" s="1">
        <f t="shared" si="22"/>
        <v>-7.4074074074074014E-2</v>
      </c>
      <c r="O41" s="1">
        <f t="shared" si="23"/>
        <v>-8.0097087378640713E-2</v>
      </c>
      <c r="P41" s="1">
        <f t="shared" si="24"/>
        <v>-9.2624356775300065E-2</v>
      </c>
      <c r="Q41" s="1">
        <f t="shared" si="25"/>
        <v>-8.96718795078085E-2</v>
      </c>
      <c r="R41" s="1">
        <f t="shared" si="26"/>
        <v>4.9096967396822955E-2</v>
      </c>
      <c r="S41" s="1">
        <f t="shared" si="27"/>
        <v>-7.0175438596491294E-2</v>
      </c>
      <c r="T41" s="3"/>
    </row>
    <row r="42" spans="1:20">
      <c r="A42" t="s">
        <v>51</v>
      </c>
      <c r="B42" s="7">
        <v>0.76</v>
      </c>
      <c r="C42" s="7">
        <v>0.74199999999999999</v>
      </c>
      <c r="D42" s="7">
        <v>0.51500000000000001</v>
      </c>
      <c r="E42" s="7">
        <v>0.71099999999999997</v>
      </c>
      <c r="F42" s="7">
        <v>0.45600000000000002</v>
      </c>
      <c r="G42" s="8">
        <v>0.73299999999999998</v>
      </c>
      <c r="H42" s="2">
        <f t="shared" si="16"/>
        <v>-7.6999999999999957E-2</v>
      </c>
      <c r="I42" s="2">
        <f t="shared" si="17"/>
        <v>-8.1999999999999962E-2</v>
      </c>
      <c r="J42" s="2">
        <f t="shared" si="18"/>
        <v>-6.7999999999999949E-2</v>
      </c>
      <c r="K42" s="2">
        <f t="shared" si="19"/>
        <v>-7.7160471554782006E-2</v>
      </c>
      <c r="L42" s="2">
        <f t="shared" si="20"/>
        <v>2.0056995892480001E-2</v>
      </c>
      <c r="M42" s="4">
        <f t="shared" si="21"/>
        <v>-6.5000000000000058E-2</v>
      </c>
      <c r="N42" s="1">
        <f t="shared" si="22"/>
        <v>-9.1995221027479049E-2</v>
      </c>
      <c r="O42" s="1">
        <f t="shared" si="23"/>
        <v>-9.9514563106796072E-2</v>
      </c>
      <c r="P42" s="1">
        <f t="shared" si="24"/>
        <v>-0.11663807890222977</v>
      </c>
      <c r="Q42" s="1">
        <f t="shared" si="25"/>
        <v>-9.7899443501105451E-2</v>
      </c>
      <c r="R42" s="1">
        <f t="shared" si="26"/>
        <v>4.6008298569996518E-2</v>
      </c>
      <c r="S42" s="1">
        <f t="shared" si="27"/>
        <v>-8.1453634085213097E-2</v>
      </c>
      <c r="T42" s="3"/>
    </row>
    <row r="43" spans="1:20">
      <c r="A43" t="s">
        <v>59</v>
      </c>
      <c r="B43" s="7">
        <v>0.77</v>
      </c>
      <c r="C43" s="7">
        <v>0.75900000000000001</v>
      </c>
      <c r="D43" s="7">
        <v>0.52100000000000002</v>
      </c>
      <c r="E43" s="7">
        <v>0.72687609854120006</v>
      </c>
      <c r="F43" s="7">
        <v>0.45424820107410202</v>
      </c>
      <c r="G43" s="8">
        <v>0.751</v>
      </c>
      <c r="H43" s="2">
        <f t="shared" si="16"/>
        <v>-6.6999999999999948E-2</v>
      </c>
      <c r="I43" s="2">
        <f t="shared" si="17"/>
        <v>-6.4999999999999947E-2</v>
      </c>
      <c r="J43" s="2">
        <f t="shared" si="18"/>
        <v>-6.1999999999999944E-2</v>
      </c>
      <c r="K43" s="2">
        <f t="shared" si="19"/>
        <v>-6.1284373013581916E-2</v>
      </c>
      <c r="L43" s="2">
        <f t="shared" si="20"/>
        <v>1.8305196966582005E-2</v>
      </c>
      <c r="M43" s="4">
        <f t="shared" si="21"/>
        <v>-4.7000000000000042E-2</v>
      </c>
      <c r="N43" s="1">
        <f t="shared" si="22"/>
        <v>-8.0047789725209026E-2</v>
      </c>
      <c r="O43" s="1">
        <f t="shared" si="23"/>
        <v>-7.8883495145631005E-2</v>
      </c>
      <c r="P43" s="1">
        <f t="shared" si="24"/>
        <v>-0.10634648370497418</v>
      </c>
      <c r="Q43" s="1">
        <f t="shared" si="25"/>
        <v>-7.7756212377268749E-2</v>
      </c>
      <c r="R43" s="1">
        <f t="shared" si="26"/>
        <v>4.1989885820182246E-2</v>
      </c>
      <c r="S43" s="1">
        <f t="shared" si="27"/>
        <v>-5.8897243107769476E-2</v>
      </c>
      <c r="T43" s="3"/>
    </row>
    <row r="44" spans="1:20">
      <c r="A44" t="s">
        <v>135</v>
      </c>
      <c r="B44" s="7">
        <v>0.76300000000000001</v>
      </c>
      <c r="C44" s="7">
        <v>0.74399999999999999</v>
      </c>
      <c r="D44" s="7">
        <v>0.51200000000000001</v>
      </c>
      <c r="E44" s="7">
        <v>0.71399999999999997</v>
      </c>
      <c r="F44" s="7">
        <v>0.45400000000000001</v>
      </c>
      <c r="G44" s="8">
        <v>0.73699999999999999</v>
      </c>
      <c r="H44" s="2">
        <f t="shared" si="16"/>
        <v>-7.3999999999999955E-2</v>
      </c>
      <c r="I44" s="2">
        <f t="shared" si="17"/>
        <v>-7.999999999999996E-2</v>
      </c>
      <c r="J44" s="2">
        <f t="shared" si="18"/>
        <v>-7.0999999999999952E-2</v>
      </c>
      <c r="K44" s="2">
        <f t="shared" si="19"/>
        <v>-7.4160471554782004E-2</v>
      </c>
      <c r="L44" s="2">
        <f t="shared" si="20"/>
        <v>1.8056995892479999E-2</v>
      </c>
      <c r="M44" s="4">
        <f t="shared" si="21"/>
        <v>-6.1000000000000054E-2</v>
      </c>
      <c r="N44" s="1">
        <f t="shared" si="22"/>
        <v>-8.8410991636798039E-2</v>
      </c>
      <c r="O44" s="1">
        <f t="shared" si="23"/>
        <v>-9.7087378640776656E-2</v>
      </c>
      <c r="P44" s="1">
        <f t="shared" si="24"/>
        <v>-0.12178387650085756</v>
      </c>
      <c r="Q44" s="1">
        <f t="shared" si="25"/>
        <v>-9.4093112039084797E-2</v>
      </c>
      <c r="R44" s="1">
        <f t="shared" si="26"/>
        <v>4.1420542874514077E-2</v>
      </c>
      <c r="S44" s="1">
        <f t="shared" si="27"/>
        <v>-7.6441102756892296E-2</v>
      </c>
      <c r="T44" s="3"/>
    </row>
    <row r="45" spans="1:20">
      <c r="A45" t="s">
        <v>141</v>
      </c>
      <c r="B45" s="7">
        <v>0.77100000000000002</v>
      </c>
      <c r="C45" s="7">
        <v>0.74299999999999999</v>
      </c>
      <c r="D45" s="7">
        <v>0.51100000000000001</v>
      </c>
      <c r="E45" s="7">
        <v>0.71</v>
      </c>
      <c r="F45" s="7">
        <v>0.45200000000000001</v>
      </c>
      <c r="G45" s="8">
        <v>0.73899999999999999</v>
      </c>
      <c r="H45" s="2">
        <f t="shared" si="16"/>
        <v>-6.5999999999999948E-2</v>
      </c>
      <c r="I45" s="2">
        <f t="shared" si="17"/>
        <v>-8.0999999999999961E-2</v>
      </c>
      <c r="J45" s="2">
        <f t="shared" si="18"/>
        <v>-7.1999999999999953E-2</v>
      </c>
      <c r="K45" s="2">
        <f t="shared" si="19"/>
        <v>-7.8160471554782007E-2</v>
      </c>
      <c r="L45" s="2">
        <f t="shared" si="20"/>
        <v>1.6056995892479997E-2</v>
      </c>
      <c r="M45" s="4">
        <f t="shared" si="21"/>
        <v>-5.9000000000000052E-2</v>
      </c>
      <c r="N45" s="1">
        <f t="shared" si="22"/>
        <v>-7.8853046594982018E-2</v>
      </c>
      <c r="O45" s="1">
        <f t="shared" si="23"/>
        <v>-9.8300970873786364E-2</v>
      </c>
      <c r="P45" s="1">
        <f t="shared" si="24"/>
        <v>-0.12349914236706683</v>
      </c>
      <c r="Q45" s="1">
        <f t="shared" si="25"/>
        <v>-9.9168220655112341E-2</v>
      </c>
      <c r="R45" s="1">
        <f t="shared" si="26"/>
        <v>3.6832787179031629E-2</v>
      </c>
      <c r="S45" s="1">
        <f t="shared" si="27"/>
        <v>-7.3934837092731895E-2</v>
      </c>
      <c r="T45" s="3"/>
    </row>
    <row r="46" spans="1:20">
      <c r="A46" t="s">
        <v>63</v>
      </c>
      <c r="B46" s="7">
        <v>0.77200000000000002</v>
      </c>
      <c r="C46" s="7">
        <v>0.75600000000000001</v>
      </c>
      <c r="D46" s="7">
        <v>0.51900000000000002</v>
      </c>
      <c r="E46" s="7">
        <v>0.72260078869267197</v>
      </c>
      <c r="F46" s="7">
        <v>0.45185771094861898</v>
      </c>
      <c r="G46" s="8">
        <v>0.751</v>
      </c>
      <c r="H46" s="2">
        <f t="shared" si="16"/>
        <v>-6.4999999999999947E-2</v>
      </c>
      <c r="I46" s="2">
        <f t="shared" si="17"/>
        <v>-6.7999999999999949E-2</v>
      </c>
      <c r="J46" s="2">
        <f t="shared" si="18"/>
        <v>-6.3999999999999946E-2</v>
      </c>
      <c r="K46" s="2">
        <f t="shared" si="19"/>
        <v>-6.5559682862110003E-2</v>
      </c>
      <c r="L46" s="2">
        <f t="shared" si="20"/>
        <v>1.5914706841098969E-2</v>
      </c>
      <c r="M46" s="4">
        <f t="shared" si="21"/>
        <v>-4.7000000000000042E-2</v>
      </c>
      <c r="N46" s="1">
        <f t="shared" si="22"/>
        <v>-7.765830346475501E-2</v>
      </c>
      <c r="O46" s="1">
        <f t="shared" si="23"/>
        <v>-8.2524271844660144E-2</v>
      </c>
      <c r="P46" s="1">
        <f t="shared" si="24"/>
        <v>-0.10977701543739271</v>
      </c>
      <c r="Q46" s="1">
        <f t="shared" si="25"/>
        <v>-8.3180627839381821E-2</v>
      </c>
      <c r="R46" s="1">
        <f t="shared" si="26"/>
        <v>3.650639347609258E-2</v>
      </c>
      <c r="S46" s="1">
        <f t="shared" si="27"/>
        <v>-5.8897243107769476E-2</v>
      </c>
      <c r="T46" s="3"/>
    </row>
    <row r="47" spans="1:20">
      <c r="A47" t="s">
        <v>121</v>
      </c>
      <c r="B47" s="7">
        <v>0.80500000000000005</v>
      </c>
      <c r="C47" s="7">
        <v>0.78800000000000003</v>
      </c>
      <c r="D47" s="7">
        <v>0.54300000000000004</v>
      </c>
      <c r="E47" s="7">
        <v>0.75900000000000001</v>
      </c>
      <c r="F47" s="7">
        <v>0.45100000000000001</v>
      </c>
      <c r="G47" s="8">
        <v>0.78</v>
      </c>
      <c r="H47" s="2">
        <f t="shared" si="16"/>
        <v>-3.1999999999999917E-2</v>
      </c>
      <c r="I47" s="2">
        <f t="shared" si="17"/>
        <v>-3.5999999999999921E-2</v>
      </c>
      <c r="J47" s="2">
        <f t="shared" si="18"/>
        <v>-3.9999999999999925E-2</v>
      </c>
      <c r="K47" s="2">
        <f t="shared" si="19"/>
        <v>-2.9160471554781964E-2</v>
      </c>
      <c r="L47" s="2">
        <f t="shared" si="20"/>
        <v>1.5056995892479996E-2</v>
      </c>
      <c r="M47" s="4">
        <f t="shared" si="21"/>
        <v>-1.8000000000000016E-2</v>
      </c>
      <c r="N47" s="1">
        <f t="shared" si="22"/>
        <v>-3.8231780167263939E-2</v>
      </c>
      <c r="O47" s="1">
        <f t="shared" si="23"/>
        <v>-4.3689320388349419E-2</v>
      </c>
      <c r="P47" s="1">
        <f t="shared" si="24"/>
        <v>-6.8610634648370375E-2</v>
      </c>
      <c r="Q47" s="1">
        <f t="shared" si="25"/>
        <v>-3.699814010877496E-2</v>
      </c>
      <c r="R47" s="1">
        <f t="shared" si="26"/>
        <v>3.4538909331290411E-2</v>
      </c>
      <c r="S47" s="1">
        <f t="shared" si="27"/>
        <v>-2.2556390977443629E-2</v>
      </c>
      <c r="T47" s="3"/>
    </row>
    <row r="48" spans="1:20">
      <c r="A48" t="s">
        <v>142</v>
      </c>
      <c r="B48" s="7">
        <v>0.76400000000000001</v>
      </c>
      <c r="C48" s="7">
        <v>0.74199999999999999</v>
      </c>
      <c r="D48" s="7">
        <v>0.50700000000000001</v>
      </c>
      <c r="E48" s="7">
        <v>0.71099999999999997</v>
      </c>
      <c r="F48" s="7">
        <v>0.45100000000000001</v>
      </c>
      <c r="G48" s="8">
        <v>0.73</v>
      </c>
      <c r="H48" s="2">
        <f t="shared" si="16"/>
        <v>-7.2999999999999954E-2</v>
      </c>
      <c r="I48" s="2">
        <f t="shared" si="17"/>
        <v>-8.1999999999999962E-2</v>
      </c>
      <c r="J48" s="2">
        <f t="shared" si="18"/>
        <v>-7.5999999999999956E-2</v>
      </c>
      <c r="K48" s="2">
        <f t="shared" si="19"/>
        <v>-7.7160471554782006E-2</v>
      </c>
      <c r="L48" s="2">
        <f t="shared" si="20"/>
        <v>1.5056995892479996E-2</v>
      </c>
      <c r="M48" s="4">
        <f t="shared" si="21"/>
        <v>-6.800000000000006E-2</v>
      </c>
      <c r="N48" s="1">
        <f t="shared" si="22"/>
        <v>-8.7216248506571031E-2</v>
      </c>
      <c r="O48" s="1">
        <f t="shared" si="23"/>
        <v>-9.9514563106796072E-2</v>
      </c>
      <c r="P48" s="1">
        <f t="shared" si="24"/>
        <v>-0.13036020583190389</v>
      </c>
      <c r="Q48" s="1">
        <f t="shared" si="25"/>
        <v>-9.7899443501105451E-2</v>
      </c>
      <c r="R48" s="1">
        <f t="shared" si="26"/>
        <v>3.4538909331290411E-2</v>
      </c>
      <c r="S48" s="1">
        <f t="shared" si="27"/>
        <v>-8.5213032581453699E-2</v>
      </c>
      <c r="T48" s="3"/>
    </row>
    <row r="49" spans="1:20">
      <c r="A49" t="s">
        <v>115</v>
      </c>
      <c r="B49" s="7">
        <v>0.80400000000000005</v>
      </c>
      <c r="C49" s="7">
        <v>0.78800000000000003</v>
      </c>
      <c r="D49" s="7">
        <v>0.54300000000000004</v>
      </c>
      <c r="E49" s="7">
        <v>0.75800000000000001</v>
      </c>
      <c r="F49" s="7">
        <v>0.45</v>
      </c>
      <c r="G49" s="8">
        <v>0.78</v>
      </c>
      <c r="H49" s="2">
        <f t="shared" si="16"/>
        <v>-3.2999999999999918E-2</v>
      </c>
      <c r="I49" s="2">
        <f t="shared" si="17"/>
        <v>-3.5999999999999921E-2</v>
      </c>
      <c r="J49" s="2">
        <f t="shared" si="18"/>
        <v>-3.9999999999999925E-2</v>
      </c>
      <c r="K49" s="2">
        <f t="shared" si="19"/>
        <v>-3.0160471554781965E-2</v>
      </c>
      <c r="L49" s="2">
        <f t="shared" si="20"/>
        <v>1.4056995892479995E-2</v>
      </c>
      <c r="M49" s="4">
        <f t="shared" si="21"/>
        <v>-1.8000000000000016E-2</v>
      </c>
      <c r="N49" s="1">
        <f t="shared" si="22"/>
        <v>-3.9426523297490947E-2</v>
      </c>
      <c r="O49" s="1">
        <f t="shared" si="23"/>
        <v>-4.3689320388349419E-2</v>
      </c>
      <c r="P49" s="1">
        <f t="shared" si="24"/>
        <v>-6.8610634648370375E-2</v>
      </c>
      <c r="Q49" s="1">
        <f t="shared" si="25"/>
        <v>-3.8266917262781842E-2</v>
      </c>
      <c r="R49" s="1">
        <f t="shared" si="26"/>
        <v>3.2245031483549187E-2</v>
      </c>
      <c r="S49" s="1">
        <f t="shared" si="27"/>
        <v>-2.2556390977443629E-2</v>
      </c>
      <c r="T49" s="3"/>
    </row>
    <row r="50" spans="1:20">
      <c r="A50" t="s">
        <v>168</v>
      </c>
      <c r="B50" s="7">
        <v>0.77158536585365856</v>
      </c>
      <c r="C50" s="7">
        <v>0.75</v>
      </c>
      <c r="D50" s="7">
        <v>0.51200000000000001</v>
      </c>
      <c r="E50" s="7">
        <v>0.71699999999999997</v>
      </c>
      <c r="F50" s="7">
        <v>0.45</v>
      </c>
      <c r="G50" s="8">
        <v>0.73871466666666674</v>
      </c>
      <c r="H50" s="2">
        <f t="shared" si="16"/>
        <v>-6.541463414634141E-2</v>
      </c>
      <c r="I50" s="2">
        <f t="shared" si="17"/>
        <v>-7.3999999999999955E-2</v>
      </c>
      <c r="J50" s="2">
        <f t="shared" si="18"/>
        <v>-7.0999999999999952E-2</v>
      </c>
      <c r="K50" s="2">
        <f t="shared" si="19"/>
        <v>-7.1160471554782001E-2</v>
      </c>
      <c r="L50" s="2">
        <f t="shared" si="20"/>
        <v>1.4056995892479995E-2</v>
      </c>
      <c r="M50" s="4">
        <f t="shared" si="21"/>
        <v>-5.9285333333333301E-2</v>
      </c>
      <c r="N50" s="1">
        <f t="shared" si="22"/>
        <v>-7.8153684762654024E-2</v>
      </c>
      <c r="O50" s="1">
        <f t="shared" si="23"/>
        <v>-8.9805825242718393E-2</v>
      </c>
      <c r="P50" s="1">
        <f t="shared" si="24"/>
        <v>-0.12178387650085756</v>
      </c>
      <c r="Q50" s="1">
        <f t="shared" si="25"/>
        <v>-9.0286780577064144E-2</v>
      </c>
      <c r="R50" s="1">
        <f t="shared" si="26"/>
        <v>3.2245031483549187E-2</v>
      </c>
      <c r="S50" s="1">
        <f t="shared" si="27"/>
        <v>-7.4292397660818674E-2</v>
      </c>
      <c r="T50" s="3"/>
    </row>
    <row r="51" spans="1:20">
      <c r="A51" t="s">
        <v>136</v>
      </c>
      <c r="B51" s="7">
        <v>0.76700000000000002</v>
      </c>
      <c r="C51" s="7">
        <v>0.74299999999999999</v>
      </c>
      <c r="D51" s="7">
        <v>0.50900000000000001</v>
      </c>
      <c r="E51" s="7">
        <v>0.71</v>
      </c>
      <c r="F51" s="7">
        <v>0.44900000000000001</v>
      </c>
      <c r="G51" s="8">
        <v>0.73499999999999999</v>
      </c>
      <c r="H51" s="2">
        <f t="shared" si="16"/>
        <v>-6.9999999999999951E-2</v>
      </c>
      <c r="I51" s="2">
        <f t="shared" si="17"/>
        <v>-8.0999999999999961E-2</v>
      </c>
      <c r="J51" s="2">
        <f t="shared" si="18"/>
        <v>-7.3999999999999955E-2</v>
      </c>
      <c r="K51" s="2">
        <f t="shared" si="19"/>
        <v>-7.8160471554782007E-2</v>
      </c>
      <c r="L51" s="2">
        <f t="shared" si="20"/>
        <v>1.3056995892479994E-2</v>
      </c>
      <c r="M51" s="4">
        <f t="shared" si="21"/>
        <v>-6.3000000000000056E-2</v>
      </c>
      <c r="N51" s="1">
        <f t="shared" si="22"/>
        <v>-8.3632019115890036E-2</v>
      </c>
      <c r="O51" s="1">
        <f t="shared" si="23"/>
        <v>-9.8300970873786364E-2</v>
      </c>
      <c r="P51" s="1">
        <f t="shared" si="24"/>
        <v>-0.12692967409948536</v>
      </c>
      <c r="Q51" s="1">
        <f t="shared" si="25"/>
        <v>-9.9168220655112341E-2</v>
      </c>
      <c r="R51" s="1">
        <f t="shared" si="26"/>
        <v>2.9951153635807963E-2</v>
      </c>
      <c r="S51" s="1">
        <f t="shared" si="27"/>
        <v>-7.8947368421052697E-2</v>
      </c>
      <c r="T51" s="3"/>
    </row>
    <row r="52" spans="1:20">
      <c r="A52" t="s">
        <v>196</v>
      </c>
      <c r="B52" s="7">
        <v>0.75593175853018368</v>
      </c>
      <c r="C52" s="7">
        <v>0.73399999999999999</v>
      </c>
      <c r="D52" s="7">
        <v>0.503</v>
      </c>
      <c r="E52" s="7">
        <v>0.7</v>
      </c>
      <c r="F52" s="7">
        <v>0.442</v>
      </c>
      <c r="G52" s="8">
        <v>0.72219372442019103</v>
      </c>
      <c r="H52" s="2">
        <f t="shared" si="16"/>
        <v>-8.1068241469816282E-2</v>
      </c>
      <c r="I52" s="2">
        <f t="shared" si="17"/>
        <v>-8.9999999999999969E-2</v>
      </c>
      <c r="J52" s="2">
        <f t="shared" si="18"/>
        <v>-7.999999999999996E-2</v>
      </c>
      <c r="K52" s="2">
        <f t="shared" si="19"/>
        <v>-8.8160471554782016E-2</v>
      </c>
      <c r="L52" s="2">
        <f t="shared" si="20"/>
        <v>6.0569958924799883E-3</v>
      </c>
      <c r="M52" s="4">
        <f t="shared" si="21"/>
        <v>-7.5806275579809013E-2</v>
      </c>
      <c r="N52" s="1">
        <f t="shared" si="22"/>
        <v>-9.6855724575646701E-2</v>
      </c>
      <c r="O52" s="1">
        <f t="shared" si="23"/>
        <v>-0.10922330097087375</v>
      </c>
      <c r="P52" s="1">
        <f t="shared" si="24"/>
        <v>-0.13722126929674094</v>
      </c>
      <c r="Q52" s="1">
        <f t="shared" si="25"/>
        <v>-0.11185599219518119</v>
      </c>
      <c r="R52" s="1">
        <f t="shared" si="26"/>
        <v>1.3894008701619408E-2</v>
      </c>
      <c r="S52" s="1">
        <f t="shared" si="27"/>
        <v>-9.4995332806778202E-2</v>
      </c>
      <c r="T52" s="3"/>
    </row>
    <row r="53" spans="1:20">
      <c r="A53" t="s">
        <v>182</v>
      </c>
      <c r="B53" s="7">
        <v>0.75071070013210039</v>
      </c>
      <c r="C53" s="7">
        <v>0.73499999999999999</v>
      </c>
      <c r="D53" s="7">
        <v>0.497</v>
      </c>
      <c r="E53" s="7">
        <v>0.70299999999999996</v>
      </c>
      <c r="F53" s="7">
        <v>0.439</v>
      </c>
      <c r="G53" s="8">
        <v>0.71582987551867228</v>
      </c>
      <c r="H53" s="2">
        <f t="shared" si="16"/>
        <v>-8.6289299867899572E-2</v>
      </c>
      <c r="I53" s="2">
        <f t="shared" si="17"/>
        <v>-8.8999999999999968E-2</v>
      </c>
      <c r="J53" s="2">
        <f t="shared" si="18"/>
        <v>-8.5999999999999965E-2</v>
      </c>
      <c r="K53" s="2">
        <f t="shared" si="19"/>
        <v>-8.5160471554782013E-2</v>
      </c>
      <c r="L53" s="2">
        <f t="shared" si="20"/>
        <v>3.0569958924799856E-3</v>
      </c>
      <c r="M53" s="4">
        <f t="shared" si="21"/>
        <v>-8.2170124481327766E-2</v>
      </c>
      <c r="N53" s="1">
        <f t="shared" si="22"/>
        <v>-0.10309354822927069</v>
      </c>
      <c r="O53" s="1">
        <f t="shared" si="23"/>
        <v>-0.10800970873786404</v>
      </c>
      <c r="P53" s="1">
        <f t="shared" si="24"/>
        <v>-0.14751286449399653</v>
      </c>
      <c r="Q53" s="1">
        <f t="shared" si="25"/>
        <v>-0.10804966073316054</v>
      </c>
      <c r="R53" s="1">
        <f t="shared" si="26"/>
        <v>7.0123751583957405E-3</v>
      </c>
      <c r="S53" s="1">
        <f t="shared" si="27"/>
        <v>-0.10297008080366887</v>
      </c>
      <c r="T53" s="3"/>
    </row>
    <row r="54" spans="1:20">
      <c r="A54" t="s">
        <v>117</v>
      </c>
      <c r="B54" s="7">
        <v>0.75800000000000001</v>
      </c>
      <c r="C54" s="7">
        <v>0.74299999999999999</v>
      </c>
      <c r="D54" s="7">
        <v>0.502</v>
      </c>
      <c r="E54" s="7">
        <v>0.71099999999999997</v>
      </c>
      <c r="F54" s="7">
        <v>0.437</v>
      </c>
      <c r="G54" s="8">
        <v>0.72499999999999998</v>
      </c>
      <c r="H54" s="2">
        <f t="shared" si="16"/>
        <v>-7.8999999999999959E-2</v>
      </c>
      <c r="I54" s="2">
        <f t="shared" si="17"/>
        <v>-8.0999999999999961E-2</v>
      </c>
      <c r="J54" s="2">
        <f t="shared" si="18"/>
        <v>-8.0999999999999961E-2</v>
      </c>
      <c r="K54" s="2">
        <f t="shared" si="19"/>
        <v>-7.7160471554782006E-2</v>
      </c>
      <c r="L54" s="2">
        <f t="shared" si="20"/>
        <v>1.0569958924799838E-3</v>
      </c>
      <c r="M54" s="4">
        <f t="shared" si="21"/>
        <v>-7.3000000000000065E-2</v>
      </c>
      <c r="N54" s="1">
        <f t="shared" si="22"/>
        <v>-9.4384707287933051E-2</v>
      </c>
      <c r="O54" s="1">
        <f t="shared" si="23"/>
        <v>-9.8300970873786364E-2</v>
      </c>
      <c r="P54" s="1">
        <f t="shared" si="24"/>
        <v>-0.13893653516295021</v>
      </c>
      <c r="Q54" s="1">
        <f t="shared" si="25"/>
        <v>-9.7899443501105451E-2</v>
      </c>
      <c r="R54" s="1">
        <f t="shared" si="26"/>
        <v>2.4246194629132956E-3</v>
      </c>
      <c r="S54" s="1">
        <f t="shared" si="27"/>
        <v>-9.1478696741854715E-2</v>
      </c>
      <c r="T54" s="3"/>
    </row>
    <row r="55" spans="1:20">
      <c r="A55" t="s">
        <v>118</v>
      </c>
      <c r="B55" s="7">
        <v>0.75600000000000001</v>
      </c>
      <c r="C55" s="7">
        <v>0.746</v>
      </c>
      <c r="D55" s="7">
        <v>0.504</v>
      </c>
      <c r="E55" s="7">
        <v>0.71299999999999997</v>
      </c>
      <c r="F55" s="7">
        <v>0.436</v>
      </c>
      <c r="G55" s="8">
        <v>0.73199999999999998</v>
      </c>
      <c r="H55" s="2">
        <f t="shared" si="16"/>
        <v>-8.0999999999999961E-2</v>
      </c>
      <c r="I55" s="2">
        <f t="shared" si="17"/>
        <v>-7.7999999999999958E-2</v>
      </c>
      <c r="J55" s="2">
        <f t="shared" si="18"/>
        <v>-7.8999999999999959E-2</v>
      </c>
      <c r="K55" s="2">
        <f t="shared" si="19"/>
        <v>-7.5160471554782005E-2</v>
      </c>
      <c r="L55" s="2">
        <f t="shared" si="20"/>
        <v>5.6995892479982935E-5</v>
      </c>
      <c r="M55" s="4">
        <f t="shared" si="21"/>
        <v>-6.6000000000000059E-2</v>
      </c>
      <c r="N55" s="1">
        <f t="shared" si="22"/>
        <v>-9.6774193548387052E-2</v>
      </c>
      <c r="O55" s="1">
        <f t="shared" si="23"/>
        <v>-9.466019417475724E-2</v>
      </c>
      <c r="P55" s="1">
        <f t="shared" si="24"/>
        <v>-0.13550600343053168</v>
      </c>
      <c r="Q55" s="1">
        <f t="shared" si="25"/>
        <v>-9.5361889193091673E-2</v>
      </c>
      <c r="R55" s="1">
        <f t="shared" si="26"/>
        <v>1.3074161517207325E-4</v>
      </c>
      <c r="S55" s="1">
        <f t="shared" si="27"/>
        <v>-8.2706766917293298E-2</v>
      </c>
      <c r="T55" s="3"/>
    </row>
    <row r="56" spans="1:20">
      <c r="A56" t="s">
        <v>111</v>
      </c>
      <c r="B56" s="7">
        <v>0.76500000000000001</v>
      </c>
      <c r="C56" s="7">
        <v>0.753</v>
      </c>
      <c r="D56" s="7">
        <v>0.50600000000000001</v>
      </c>
      <c r="E56" s="7">
        <v>0.71319937063133698</v>
      </c>
      <c r="F56" s="7">
        <v>0.43557975010713201</v>
      </c>
      <c r="G56" s="8">
        <v>0.72299999999999998</v>
      </c>
      <c r="H56" s="2">
        <f t="shared" si="16"/>
        <v>-7.1999999999999953E-2</v>
      </c>
      <c r="I56" s="2">
        <f t="shared" si="17"/>
        <v>-7.0999999999999952E-2</v>
      </c>
      <c r="J56" s="2">
        <f t="shared" si="18"/>
        <v>-7.6999999999999957E-2</v>
      </c>
      <c r="K56" s="2">
        <f t="shared" si="19"/>
        <v>-7.496110092344499E-2</v>
      </c>
      <c r="L56" s="2">
        <f t="shared" si="20"/>
        <v>-3.6325400038800248E-4</v>
      </c>
      <c r="M56" s="4">
        <f t="shared" si="21"/>
        <v>-7.5000000000000067E-2</v>
      </c>
      <c r="N56" s="1">
        <f t="shared" si="22"/>
        <v>-8.6021505376344037E-2</v>
      </c>
      <c r="O56" s="1">
        <f t="shared" si="23"/>
        <v>-8.6165048543689268E-2</v>
      </c>
      <c r="P56" s="1">
        <f t="shared" si="24"/>
        <v>-0.13207547169811315</v>
      </c>
      <c r="Q56" s="1">
        <f t="shared" si="25"/>
        <v>-9.5108932290871348E-2</v>
      </c>
      <c r="R56" s="1">
        <f t="shared" si="26"/>
        <v>-8.3326030459341955E-4</v>
      </c>
      <c r="S56" s="1">
        <f t="shared" si="27"/>
        <v>-9.3984962406015116E-2</v>
      </c>
      <c r="T56" s="3"/>
    </row>
    <row r="57" spans="1:20">
      <c r="A57" t="s">
        <v>180</v>
      </c>
      <c r="B57" s="7">
        <v>0.74241282565130262</v>
      </c>
      <c r="C57" s="7">
        <v>0.73299999999999998</v>
      </c>
      <c r="D57" s="7">
        <v>0.499</v>
      </c>
      <c r="E57" s="7">
        <v>0.69199999999999995</v>
      </c>
      <c r="F57" s="7">
        <v>0.434</v>
      </c>
      <c r="G57" s="8">
        <v>0.71206652806652815</v>
      </c>
      <c r="H57" s="2">
        <f t="shared" si="16"/>
        <v>-9.4587174348697345E-2</v>
      </c>
      <c r="I57" s="2">
        <f t="shared" si="17"/>
        <v>-9.099999999999997E-2</v>
      </c>
      <c r="J57" s="2">
        <f t="shared" si="18"/>
        <v>-8.3999999999999964E-2</v>
      </c>
      <c r="K57" s="2">
        <f t="shared" si="19"/>
        <v>-9.6160471554782023E-2</v>
      </c>
      <c r="L57" s="2">
        <f t="shared" si="20"/>
        <v>-1.9430041075200188E-3</v>
      </c>
      <c r="M57" s="4">
        <f t="shared" si="21"/>
        <v>-8.5933471933471894E-2</v>
      </c>
      <c r="N57" s="1">
        <f t="shared" si="22"/>
        <v>-0.11300737676068978</v>
      </c>
      <c r="O57" s="1">
        <f t="shared" si="23"/>
        <v>-0.11043689320388346</v>
      </c>
      <c r="P57" s="1">
        <f t="shared" si="24"/>
        <v>-0.144082332761578</v>
      </c>
      <c r="Q57" s="1">
        <f t="shared" si="25"/>
        <v>-0.12200620942723626</v>
      </c>
      <c r="R57" s="1">
        <f t="shared" si="26"/>
        <v>-4.4570140803103717E-3</v>
      </c>
      <c r="S57" s="1">
        <f t="shared" si="27"/>
        <v>-0.10768605505447605</v>
      </c>
      <c r="T57" s="3"/>
    </row>
    <row r="58" spans="1:20">
      <c r="A58" t="s">
        <v>43</v>
      </c>
      <c r="B58" s="7">
        <v>0.73699999999999999</v>
      </c>
      <c r="C58" s="7">
        <v>0.72099999999999997</v>
      </c>
      <c r="D58" s="7">
        <v>0.48499999999999999</v>
      </c>
      <c r="E58" s="7">
        <v>0.68400000000000005</v>
      </c>
      <c r="F58" s="7">
        <v>0.43099999999999999</v>
      </c>
      <c r="G58" s="8">
        <v>0.71099999999999997</v>
      </c>
      <c r="H58" s="2">
        <f t="shared" si="16"/>
        <v>-9.9999999999999978E-2</v>
      </c>
      <c r="I58" s="2">
        <f t="shared" si="17"/>
        <v>-0.10299999999999998</v>
      </c>
      <c r="J58" s="2">
        <f t="shared" si="18"/>
        <v>-9.7999999999999976E-2</v>
      </c>
      <c r="K58" s="2">
        <f t="shared" si="19"/>
        <v>-0.10416047155478192</v>
      </c>
      <c r="L58" s="2">
        <f t="shared" si="20"/>
        <v>-4.9430041075200215E-3</v>
      </c>
      <c r="M58" s="4">
        <f t="shared" si="21"/>
        <v>-8.7000000000000077E-2</v>
      </c>
      <c r="N58" s="1">
        <f t="shared" si="22"/>
        <v>-0.1194743130227001</v>
      </c>
      <c r="O58" s="1">
        <f t="shared" si="23"/>
        <v>-0.12499999999999999</v>
      </c>
      <c r="P58" s="1">
        <f t="shared" si="24"/>
        <v>-0.16809605488850768</v>
      </c>
      <c r="Q58" s="1">
        <f t="shared" si="25"/>
        <v>-0.1321564266592912</v>
      </c>
      <c r="R58" s="1">
        <f t="shared" si="26"/>
        <v>-1.1338647623534039E-2</v>
      </c>
      <c r="S58" s="1">
        <f t="shared" si="27"/>
        <v>-0.10902255639097753</v>
      </c>
      <c r="T58" s="3"/>
    </row>
    <row r="59" spans="1:20">
      <c r="A59" t="s">
        <v>129</v>
      </c>
      <c r="B59" s="7">
        <v>0.75700000000000001</v>
      </c>
      <c r="C59" s="7">
        <v>0.73</v>
      </c>
      <c r="D59" s="7">
        <v>0.49299999999999999</v>
      </c>
      <c r="E59" s="7">
        <v>0.68799999999999994</v>
      </c>
      <c r="F59" s="7">
        <v>0.43</v>
      </c>
      <c r="G59" s="8">
        <v>0.72</v>
      </c>
      <c r="H59" s="2">
        <f t="shared" si="16"/>
        <v>-7.999999999999996E-2</v>
      </c>
      <c r="I59" s="2">
        <f t="shared" si="17"/>
        <v>-9.3999999999999972E-2</v>
      </c>
      <c r="J59" s="2">
        <f t="shared" si="18"/>
        <v>-8.9999999999999969E-2</v>
      </c>
      <c r="K59" s="2">
        <f t="shared" si="19"/>
        <v>-0.10016047155478203</v>
      </c>
      <c r="L59" s="2">
        <f t="shared" si="20"/>
        <v>-5.9430041075200224E-3</v>
      </c>
      <c r="M59" s="4">
        <f t="shared" si="21"/>
        <v>-7.8000000000000069E-2</v>
      </c>
      <c r="N59" s="1">
        <f t="shared" si="22"/>
        <v>-9.5579450418160058E-2</v>
      </c>
      <c r="O59" s="1">
        <f t="shared" si="23"/>
        <v>-0.1140776699029126</v>
      </c>
      <c r="P59" s="1">
        <f t="shared" si="24"/>
        <v>-0.15437392795883356</v>
      </c>
      <c r="Q59" s="1">
        <f t="shared" si="25"/>
        <v>-0.12708131804326381</v>
      </c>
      <c r="R59" s="1">
        <f t="shared" si="26"/>
        <v>-1.3632525471275261E-2</v>
      </c>
      <c r="S59" s="1">
        <f t="shared" si="27"/>
        <v>-9.7744360902255717E-2</v>
      </c>
      <c r="T59" s="3"/>
    </row>
    <row r="60" spans="1:20">
      <c r="A60" t="s">
        <v>67</v>
      </c>
      <c r="B60" s="7">
        <v>0.747</v>
      </c>
      <c r="C60" s="7">
        <v>0.73</v>
      </c>
      <c r="D60" s="7">
        <v>0.49299999999999999</v>
      </c>
      <c r="E60" s="7">
        <v>0.69429713111790203</v>
      </c>
      <c r="F60" s="7">
        <v>0.42910807706301501</v>
      </c>
      <c r="G60" s="8">
        <v>0.72699999999999998</v>
      </c>
      <c r="H60" s="2">
        <f t="shared" si="16"/>
        <v>-8.9999999999999969E-2</v>
      </c>
      <c r="I60" s="2">
        <f t="shared" si="17"/>
        <v>-9.3999999999999972E-2</v>
      </c>
      <c r="J60" s="2">
        <f t="shared" si="18"/>
        <v>-8.9999999999999969E-2</v>
      </c>
      <c r="K60" s="2">
        <f t="shared" si="19"/>
        <v>-9.3863340436879938E-2</v>
      </c>
      <c r="L60" s="2">
        <f t="shared" si="20"/>
        <v>-6.8349270445050014E-3</v>
      </c>
      <c r="M60" s="4">
        <f t="shared" si="21"/>
        <v>-7.1000000000000063E-2</v>
      </c>
      <c r="N60" s="1">
        <f t="shared" si="22"/>
        <v>-0.10752688172043008</v>
      </c>
      <c r="O60" s="1">
        <f t="shared" si="23"/>
        <v>-0.1140776699029126</v>
      </c>
      <c r="P60" s="1">
        <f t="shared" si="24"/>
        <v>-0.15437392795883356</v>
      </c>
      <c r="Q60" s="1">
        <f t="shared" si="25"/>
        <v>-0.1190916619450838</v>
      </c>
      <c r="R60" s="1">
        <f t="shared" si="26"/>
        <v>-1.5678487738317391E-2</v>
      </c>
      <c r="S60" s="1">
        <f t="shared" si="27"/>
        <v>-8.8972431077694314E-2</v>
      </c>
      <c r="T60" s="3"/>
    </row>
    <row r="61" spans="1:20">
      <c r="A61" t="s">
        <v>130</v>
      </c>
      <c r="B61" s="7">
        <v>0.753</v>
      </c>
      <c r="C61" s="7">
        <v>0.72899999999999998</v>
      </c>
      <c r="D61" s="7">
        <v>0.49099999999999999</v>
      </c>
      <c r="E61" s="7">
        <v>0.69299999999999995</v>
      </c>
      <c r="F61" s="7">
        <v>0.42799999999999999</v>
      </c>
      <c r="G61" s="8">
        <v>0.72599999999999998</v>
      </c>
      <c r="H61" s="2">
        <f t="shared" si="16"/>
        <v>-8.3999999999999964E-2</v>
      </c>
      <c r="I61" s="2">
        <f t="shared" si="17"/>
        <v>-9.4999999999999973E-2</v>
      </c>
      <c r="J61" s="2">
        <f t="shared" si="18"/>
        <v>-9.1999999999999971E-2</v>
      </c>
      <c r="K61" s="2">
        <f t="shared" si="19"/>
        <v>-9.5160471554782022E-2</v>
      </c>
      <c r="L61" s="2">
        <f t="shared" si="20"/>
        <v>-7.9430041075200242E-3</v>
      </c>
      <c r="M61" s="4">
        <f t="shared" si="21"/>
        <v>-7.2000000000000064E-2</v>
      </c>
      <c r="N61" s="1">
        <f t="shared" si="22"/>
        <v>-0.10035842293906806</v>
      </c>
      <c r="O61" s="1">
        <f t="shared" si="23"/>
        <v>-0.11529126213592231</v>
      </c>
      <c r="P61" s="1">
        <f t="shared" si="24"/>
        <v>-0.15780445969125209</v>
      </c>
      <c r="Q61" s="1">
        <f t="shared" si="25"/>
        <v>-0.12073743227322939</v>
      </c>
      <c r="R61" s="1">
        <f t="shared" si="26"/>
        <v>-1.8220281166757706E-2</v>
      </c>
      <c r="S61" s="1">
        <f t="shared" si="27"/>
        <v>-9.0225563909774514E-2</v>
      </c>
      <c r="T61" s="3"/>
    </row>
    <row r="62" spans="1:20">
      <c r="A62" t="s">
        <v>112</v>
      </c>
      <c r="B62" s="7">
        <v>0.76</v>
      </c>
      <c r="C62" s="7">
        <v>0.74099999999999999</v>
      </c>
      <c r="D62" s="7">
        <v>0.497</v>
      </c>
      <c r="E62" s="7">
        <v>0.70199999999999996</v>
      </c>
      <c r="F62" s="7">
        <v>0.42499999999999999</v>
      </c>
      <c r="G62" s="8">
        <v>0.72399999999999998</v>
      </c>
      <c r="H62" s="2">
        <f t="shared" si="16"/>
        <v>-7.6999999999999957E-2</v>
      </c>
      <c r="I62" s="2">
        <f t="shared" si="17"/>
        <v>-8.2999999999999963E-2</v>
      </c>
      <c r="J62" s="2">
        <f t="shared" si="18"/>
        <v>-8.5999999999999965E-2</v>
      </c>
      <c r="K62" s="2">
        <f t="shared" si="19"/>
        <v>-8.6160471554782014E-2</v>
      </c>
      <c r="L62" s="2">
        <f t="shared" si="20"/>
        <v>-1.0943004107520027E-2</v>
      </c>
      <c r="M62" s="4">
        <f t="shared" si="21"/>
        <v>-7.4000000000000066E-2</v>
      </c>
      <c r="N62" s="1">
        <f t="shared" si="22"/>
        <v>-9.1995221027479049E-2</v>
      </c>
      <c r="O62" s="1">
        <f t="shared" si="23"/>
        <v>-0.10072815533980578</v>
      </c>
      <c r="P62" s="1">
        <f t="shared" si="24"/>
        <v>-0.14751286449399653</v>
      </c>
      <c r="Q62" s="1">
        <f t="shared" si="25"/>
        <v>-0.10931843788716741</v>
      </c>
      <c r="R62" s="1">
        <f t="shared" si="26"/>
        <v>-2.5101914709981372E-2</v>
      </c>
      <c r="S62" s="1">
        <f t="shared" si="27"/>
        <v>-9.2731829573934915E-2</v>
      </c>
      <c r="T62" s="3"/>
    </row>
    <row r="63" spans="1:20">
      <c r="A63" t="s">
        <v>123</v>
      </c>
      <c r="B63" s="7">
        <v>0.751</v>
      </c>
      <c r="C63" s="7">
        <v>0.72699999999999998</v>
      </c>
      <c r="D63" s="7">
        <v>0.48399999999999999</v>
      </c>
      <c r="E63" s="7">
        <v>0.68700000000000006</v>
      </c>
      <c r="F63" s="7">
        <v>0.42499999999999999</v>
      </c>
      <c r="G63" s="8">
        <v>0.71399999999999997</v>
      </c>
      <c r="H63" s="2">
        <f t="shared" si="16"/>
        <v>-8.5999999999999965E-2</v>
      </c>
      <c r="I63" s="2">
        <f t="shared" si="17"/>
        <v>-9.6999999999999975E-2</v>
      </c>
      <c r="J63" s="2">
        <f t="shared" si="18"/>
        <v>-9.8999999999999977E-2</v>
      </c>
      <c r="K63" s="2">
        <f t="shared" si="19"/>
        <v>-0.10116047155478192</v>
      </c>
      <c r="L63" s="2">
        <f t="shared" si="20"/>
        <v>-1.0943004107520027E-2</v>
      </c>
      <c r="M63" s="4">
        <f t="shared" si="21"/>
        <v>-8.4000000000000075E-2</v>
      </c>
      <c r="N63" s="1">
        <f t="shared" si="22"/>
        <v>-0.10274790919952206</v>
      </c>
      <c r="O63" s="1">
        <f t="shared" si="23"/>
        <v>-0.11771844660194172</v>
      </c>
      <c r="P63" s="1">
        <f t="shared" si="24"/>
        <v>-0.16981132075471694</v>
      </c>
      <c r="Q63" s="1">
        <f t="shared" si="25"/>
        <v>-0.12835009519727056</v>
      </c>
      <c r="R63" s="1">
        <f t="shared" si="26"/>
        <v>-2.5101914709981372E-2</v>
      </c>
      <c r="S63" s="1">
        <f t="shared" si="27"/>
        <v>-0.10526315789473693</v>
      </c>
      <c r="T63" s="3"/>
    </row>
    <row r="64" spans="1:20">
      <c r="A64" t="s">
        <v>173</v>
      </c>
      <c r="B64" s="7">
        <v>0.73479703304113286</v>
      </c>
      <c r="C64" s="7">
        <v>0.71899999999999997</v>
      </c>
      <c r="D64" s="7">
        <v>0.48699999999999999</v>
      </c>
      <c r="E64" s="7">
        <v>0.68400000000000005</v>
      </c>
      <c r="F64" s="7">
        <v>0.42499999999999999</v>
      </c>
      <c r="G64" s="8">
        <v>0.70208988764044944</v>
      </c>
      <c r="H64" s="2">
        <f t="shared" si="16"/>
        <v>-0.1022029669588671</v>
      </c>
      <c r="I64" s="2">
        <f t="shared" si="17"/>
        <v>-0.10499999999999998</v>
      </c>
      <c r="J64" s="2">
        <f t="shared" si="18"/>
        <v>-9.5999999999999974E-2</v>
      </c>
      <c r="K64" s="2">
        <f t="shared" si="19"/>
        <v>-0.10416047155478192</v>
      </c>
      <c r="L64" s="2">
        <f t="shared" si="20"/>
        <v>-1.0943004107520027E-2</v>
      </c>
      <c r="M64" s="4">
        <f t="shared" si="21"/>
        <v>-9.5910112359550603E-2</v>
      </c>
      <c r="N64" s="1">
        <f t="shared" si="22"/>
        <v>-0.12210629266292367</v>
      </c>
      <c r="O64" s="1">
        <f t="shared" si="23"/>
        <v>-0.12742718446601942</v>
      </c>
      <c r="P64" s="1">
        <f t="shared" si="24"/>
        <v>-0.16466552315608915</v>
      </c>
      <c r="Q64" s="1">
        <f t="shared" si="25"/>
        <v>-0.1321564266592912</v>
      </c>
      <c r="R64" s="1">
        <f t="shared" si="26"/>
        <v>-2.5101914709981372E-2</v>
      </c>
      <c r="S64" s="1">
        <f t="shared" si="27"/>
        <v>-0.12018811072625388</v>
      </c>
      <c r="T64" s="3"/>
    </row>
    <row r="65" spans="1:20">
      <c r="A65" t="s">
        <v>175</v>
      </c>
      <c r="B65" s="7">
        <v>0.72950575490859859</v>
      </c>
      <c r="C65" s="7">
        <v>0.71899999999999997</v>
      </c>
      <c r="D65" s="7">
        <v>0.48099999999999998</v>
      </c>
      <c r="E65" s="7">
        <v>0.67800000000000005</v>
      </c>
      <c r="F65" s="7">
        <v>0.41699999999999998</v>
      </c>
      <c r="G65" s="8">
        <v>0.69848633496846524</v>
      </c>
      <c r="H65" s="2">
        <f t="shared" si="16"/>
        <v>-0.10749424509140137</v>
      </c>
      <c r="I65" s="2">
        <f t="shared" si="17"/>
        <v>-0.10499999999999998</v>
      </c>
      <c r="J65" s="2">
        <f t="shared" si="18"/>
        <v>-0.10199999999999998</v>
      </c>
      <c r="K65" s="2">
        <f t="shared" si="19"/>
        <v>-0.11016047155478192</v>
      </c>
      <c r="L65" s="2">
        <f t="shared" si="20"/>
        <v>-1.8943004107520034E-2</v>
      </c>
      <c r="M65" s="4">
        <f t="shared" si="21"/>
        <v>-9.9513665031534804E-2</v>
      </c>
      <c r="N65" s="1">
        <f t="shared" si="22"/>
        <v>-0.12842801086188935</v>
      </c>
      <c r="O65" s="1">
        <f t="shared" si="23"/>
        <v>-0.12742718446601942</v>
      </c>
      <c r="P65" s="1">
        <f t="shared" si="24"/>
        <v>-0.17495711835334474</v>
      </c>
      <c r="Q65" s="1">
        <f t="shared" si="25"/>
        <v>-0.13976908958333253</v>
      </c>
      <c r="R65" s="1">
        <f t="shared" si="26"/>
        <v>-4.3452937491911155E-2</v>
      </c>
      <c r="S65" s="1">
        <f t="shared" si="27"/>
        <v>-0.12470384089164761</v>
      </c>
      <c r="T65" s="3"/>
    </row>
    <row r="66" spans="1:20">
      <c r="A66" t="s">
        <v>166</v>
      </c>
      <c r="B66" s="7">
        <v>0.72593319700068171</v>
      </c>
      <c r="C66" s="7">
        <v>0.71499999999999997</v>
      </c>
      <c r="D66" s="7">
        <v>0.46400000000000002</v>
      </c>
      <c r="E66" s="7">
        <v>0.68700000000000006</v>
      </c>
      <c r="F66" s="7">
        <v>0.41499999999999998</v>
      </c>
      <c r="G66" s="8">
        <v>0.70730603747397636</v>
      </c>
      <c r="H66" s="2">
        <f t="shared" ref="H66:H97" si="28">B66-V$2</f>
        <v>-0.11106680299931826</v>
      </c>
      <c r="I66" s="2">
        <f t="shared" ref="I66:I97" si="29">C66-W$2</f>
        <v>-0.10899999999999999</v>
      </c>
      <c r="J66" s="2">
        <f t="shared" ref="J66:J97" si="30">D66-X$2</f>
        <v>-0.11899999999999994</v>
      </c>
      <c r="K66" s="2">
        <f t="shared" ref="K66:K97" si="31">E66-Y$2</f>
        <v>-0.10116047155478192</v>
      </c>
      <c r="L66" s="2">
        <f t="shared" ref="L66:L97" si="32">F66-Z$2</f>
        <v>-2.0943004107520036E-2</v>
      </c>
      <c r="M66" s="4">
        <f t="shared" ref="M66:M97" si="33">G66-AA$2</f>
        <v>-9.0693962526023686E-2</v>
      </c>
      <c r="N66" s="1">
        <f t="shared" ref="N66:N97" si="34">(B66-V$2)/V$2</f>
        <v>-0.13269629987971118</v>
      </c>
      <c r="O66" s="1">
        <f t="shared" ref="O66:O97" si="35">(C66-W$2)/W$2</f>
        <v>-0.13228155339805825</v>
      </c>
      <c r="P66" s="1">
        <f t="shared" ref="P66:P97" si="36">(D66-X$2)/X$2</f>
        <v>-0.20411663807890215</v>
      </c>
      <c r="Q66" s="1">
        <f t="shared" ref="Q66:Q97" si="37">(E66-Y$2)/Y$2</f>
        <v>-0.12835009519727056</v>
      </c>
      <c r="R66" s="1">
        <f t="shared" ref="R66:R97" si="38">(F66-Z$2)/Z$2</f>
        <v>-4.8040693187393596E-2</v>
      </c>
      <c r="S66" s="1">
        <f t="shared" ref="S66:S97" si="39">(G66-AA$2)/AA$2</f>
        <v>-0.11365158211281164</v>
      </c>
      <c r="T66" s="3"/>
    </row>
    <row r="67" spans="1:20">
      <c r="A67" t="s">
        <v>198</v>
      </c>
      <c r="B67" s="7">
        <v>0.71541984732824437</v>
      </c>
      <c r="C67" s="7">
        <v>0.69499999999999995</v>
      </c>
      <c r="D67" s="7">
        <v>0.44900000000000001</v>
      </c>
      <c r="E67" s="7">
        <v>0.66400000000000003</v>
      </c>
      <c r="F67" s="7">
        <v>0.41099999999999998</v>
      </c>
      <c r="G67" s="8">
        <v>0.69198435277382653</v>
      </c>
      <c r="H67" s="2">
        <f t="shared" si="28"/>
        <v>-0.12158015267175559</v>
      </c>
      <c r="I67" s="2">
        <f t="shared" si="29"/>
        <v>-0.129</v>
      </c>
      <c r="J67" s="2">
        <f t="shared" si="30"/>
        <v>-0.13399999999999995</v>
      </c>
      <c r="K67" s="2">
        <f t="shared" si="31"/>
        <v>-0.12416047155478194</v>
      </c>
      <c r="L67" s="2">
        <f t="shared" si="32"/>
        <v>-2.4943004107520039E-2</v>
      </c>
      <c r="M67" s="4">
        <f t="shared" si="33"/>
        <v>-0.10601564722617351</v>
      </c>
      <c r="N67" s="1">
        <f t="shared" si="34"/>
        <v>-0.14525705217652998</v>
      </c>
      <c r="O67" s="1">
        <f t="shared" si="35"/>
        <v>-0.15655339805825244</v>
      </c>
      <c r="P67" s="1">
        <f t="shared" si="36"/>
        <v>-0.22984562607204109</v>
      </c>
      <c r="Q67" s="1">
        <f t="shared" si="37"/>
        <v>-0.1575319697394289</v>
      </c>
      <c r="R67" s="1">
        <f t="shared" si="38"/>
        <v>-5.7216204578358486E-2</v>
      </c>
      <c r="S67" s="1">
        <f t="shared" si="39"/>
        <v>-0.13285168825335025</v>
      </c>
      <c r="T67" s="3"/>
    </row>
    <row r="68" spans="1:20">
      <c r="A68" t="s">
        <v>210</v>
      </c>
      <c r="B68" s="7">
        <v>0.72751362397820163</v>
      </c>
      <c r="C68" s="7">
        <v>0.71099999999999997</v>
      </c>
      <c r="D68" s="7">
        <v>0.47</v>
      </c>
      <c r="E68" s="7">
        <v>0.66800000000000004</v>
      </c>
      <c r="F68" s="7">
        <v>0.41</v>
      </c>
      <c r="G68" s="8">
        <v>0.69315751960085525</v>
      </c>
      <c r="H68" s="2">
        <f t="shared" si="28"/>
        <v>-0.10948637602179834</v>
      </c>
      <c r="I68" s="2">
        <f t="shared" si="29"/>
        <v>-0.11299999999999999</v>
      </c>
      <c r="J68" s="2">
        <f t="shared" si="30"/>
        <v>-0.11299999999999999</v>
      </c>
      <c r="K68" s="2">
        <f t="shared" si="31"/>
        <v>-0.12016047155478193</v>
      </c>
      <c r="L68" s="2">
        <f t="shared" si="32"/>
        <v>-2.594300410752004E-2</v>
      </c>
      <c r="M68" s="4">
        <f t="shared" si="33"/>
        <v>-0.10484248039914479</v>
      </c>
      <c r="N68" s="1">
        <f t="shared" si="34"/>
        <v>-0.13080809560549383</v>
      </c>
      <c r="O68" s="1">
        <f t="shared" si="35"/>
        <v>-0.13713592233009708</v>
      </c>
      <c r="P68" s="1">
        <f t="shared" si="36"/>
        <v>-0.19382504288164665</v>
      </c>
      <c r="Q68" s="1">
        <f t="shared" si="37"/>
        <v>-0.15245686112340137</v>
      </c>
      <c r="R68" s="1">
        <f t="shared" si="38"/>
        <v>-5.951008242609971E-2</v>
      </c>
      <c r="S68" s="1">
        <f t="shared" si="39"/>
        <v>-0.13138155438489321</v>
      </c>
      <c r="T68" s="3"/>
    </row>
    <row r="69" spans="1:20">
      <c r="A69" t="s">
        <v>194</v>
      </c>
      <c r="B69" s="7">
        <v>0.72391250854408751</v>
      </c>
      <c r="C69" s="7">
        <v>0.70299999999999996</v>
      </c>
      <c r="D69" s="7">
        <v>0.46500000000000002</v>
      </c>
      <c r="E69" s="7">
        <v>0.66300000000000003</v>
      </c>
      <c r="F69" s="7">
        <v>0.40699999999999997</v>
      </c>
      <c r="G69" s="8">
        <v>0.69351063829787241</v>
      </c>
      <c r="H69" s="2">
        <f t="shared" si="28"/>
        <v>-0.11308749145591246</v>
      </c>
      <c r="I69" s="2">
        <f t="shared" si="29"/>
        <v>-0.121</v>
      </c>
      <c r="J69" s="2">
        <f t="shared" si="30"/>
        <v>-0.11799999999999994</v>
      </c>
      <c r="K69" s="2">
        <f t="shared" si="31"/>
        <v>-0.12516047155478194</v>
      </c>
      <c r="L69" s="2">
        <f t="shared" si="32"/>
        <v>-2.8943004107520043E-2</v>
      </c>
      <c r="M69" s="4">
        <f t="shared" si="33"/>
        <v>-0.10448936170212764</v>
      </c>
      <c r="N69" s="1">
        <f t="shared" si="34"/>
        <v>-0.1351105035315561</v>
      </c>
      <c r="O69" s="1">
        <f t="shared" si="35"/>
        <v>-0.14684466019417475</v>
      </c>
      <c r="P69" s="1">
        <f t="shared" si="36"/>
        <v>-0.20240137221269289</v>
      </c>
      <c r="Q69" s="1">
        <f t="shared" si="37"/>
        <v>-0.15880074689343579</v>
      </c>
      <c r="R69" s="1">
        <f t="shared" si="38"/>
        <v>-6.6391715969323375E-2</v>
      </c>
      <c r="S69" s="1">
        <f t="shared" si="39"/>
        <v>-0.13093904975203963</v>
      </c>
      <c r="T69" s="3"/>
    </row>
    <row r="70" spans="1:20">
      <c r="A70" t="s">
        <v>177</v>
      </c>
      <c r="B70" s="7">
        <v>0.71262622036262202</v>
      </c>
      <c r="C70" s="7">
        <v>0.69099999999999995</v>
      </c>
      <c r="D70" s="7">
        <v>0.44400000000000001</v>
      </c>
      <c r="E70" s="7">
        <v>0.66100000000000003</v>
      </c>
      <c r="F70" s="7">
        <v>0.40400000000000003</v>
      </c>
      <c r="G70" s="8">
        <v>0.68809763101220389</v>
      </c>
      <c r="H70" s="2">
        <f t="shared" si="28"/>
        <v>-0.12437377963737795</v>
      </c>
      <c r="I70" s="2">
        <f t="shared" si="29"/>
        <v>-0.13300000000000001</v>
      </c>
      <c r="J70" s="2">
        <f t="shared" si="30"/>
        <v>-0.13899999999999996</v>
      </c>
      <c r="K70" s="2">
        <f t="shared" si="31"/>
        <v>-0.12716047155478194</v>
      </c>
      <c r="L70" s="2">
        <f t="shared" si="32"/>
        <v>-3.194300410751999E-2</v>
      </c>
      <c r="M70" s="4">
        <f t="shared" si="33"/>
        <v>-0.10990236898779615</v>
      </c>
      <c r="N70" s="1">
        <f t="shared" si="34"/>
        <v>-0.14859471880212419</v>
      </c>
      <c r="O70" s="1">
        <f t="shared" si="35"/>
        <v>-0.16140776699029127</v>
      </c>
      <c r="P70" s="1">
        <f t="shared" si="36"/>
        <v>-0.23842195540308742</v>
      </c>
      <c r="Q70" s="1">
        <f t="shared" si="37"/>
        <v>-0.16133830120144957</v>
      </c>
      <c r="R70" s="1">
        <f t="shared" si="38"/>
        <v>-7.3273349512546909E-2</v>
      </c>
      <c r="S70" s="1">
        <f t="shared" si="39"/>
        <v>-0.13772226690200018</v>
      </c>
      <c r="T70" s="3"/>
    </row>
    <row r="71" spans="1:20">
      <c r="A71" t="s">
        <v>191</v>
      </c>
      <c r="B71" s="7">
        <v>0.69836221590909087</v>
      </c>
      <c r="C71" s="7">
        <v>0.67800000000000005</v>
      </c>
      <c r="D71" s="7">
        <v>0.44500000000000001</v>
      </c>
      <c r="E71" s="7">
        <v>0.65</v>
      </c>
      <c r="F71" s="7">
        <v>0.40100000000000002</v>
      </c>
      <c r="G71" s="8">
        <v>0.67135526315789473</v>
      </c>
      <c r="H71" s="2">
        <f t="shared" si="28"/>
        <v>-0.1386377840909091</v>
      </c>
      <c r="I71" s="2">
        <f t="shared" si="29"/>
        <v>-0.14599999999999991</v>
      </c>
      <c r="J71" s="2">
        <f t="shared" si="30"/>
        <v>-0.13799999999999996</v>
      </c>
      <c r="K71" s="2">
        <f t="shared" si="31"/>
        <v>-0.13816047155478195</v>
      </c>
      <c r="L71" s="2">
        <f t="shared" si="32"/>
        <v>-3.4943004107519993E-2</v>
      </c>
      <c r="M71" s="4">
        <f t="shared" si="33"/>
        <v>-0.12664473684210531</v>
      </c>
      <c r="N71" s="1">
        <f t="shared" si="34"/>
        <v>-0.16563654013250789</v>
      </c>
      <c r="O71" s="1">
        <f t="shared" si="35"/>
        <v>-0.17718446601941737</v>
      </c>
      <c r="P71" s="1">
        <f t="shared" si="36"/>
        <v>-0.23670668953687815</v>
      </c>
      <c r="Q71" s="1">
        <f t="shared" si="37"/>
        <v>-0.1752948498955253</v>
      </c>
      <c r="R71" s="1">
        <f t="shared" si="38"/>
        <v>-8.0154983055770582E-2</v>
      </c>
      <c r="S71" s="1">
        <f t="shared" si="39"/>
        <v>-0.15870267774699912</v>
      </c>
      <c r="T71" s="3"/>
    </row>
    <row r="72" spans="1:20">
      <c r="A72" t="s">
        <v>212</v>
      </c>
      <c r="B72" s="7">
        <v>0.70309859154929577</v>
      </c>
      <c r="C72" s="7">
        <v>0.69599999999999995</v>
      </c>
      <c r="D72" s="7">
        <v>0.44700000000000001</v>
      </c>
      <c r="E72" s="7">
        <v>0.65400000000000003</v>
      </c>
      <c r="F72" s="7">
        <v>0.39900000000000002</v>
      </c>
      <c r="G72" s="8">
        <v>0.67339385065885793</v>
      </c>
      <c r="H72" s="2">
        <f t="shared" si="28"/>
        <v>-0.1339014084507042</v>
      </c>
      <c r="I72" s="2">
        <f t="shared" si="29"/>
        <v>-0.128</v>
      </c>
      <c r="J72" s="2">
        <f t="shared" si="30"/>
        <v>-0.13599999999999995</v>
      </c>
      <c r="K72" s="2">
        <f t="shared" si="31"/>
        <v>-0.13416047155478195</v>
      </c>
      <c r="L72" s="2">
        <f t="shared" si="32"/>
        <v>-3.6943004107519994E-2</v>
      </c>
      <c r="M72" s="4">
        <f t="shared" si="33"/>
        <v>-0.12460614934114211</v>
      </c>
      <c r="N72" s="1">
        <f t="shared" si="34"/>
        <v>-0.15997778787419856</v>
      </c>
      <c r="O72" s="1">
        <f t="shared" si="35"/>
        <v>-0.15533980582524273</v>
      </c>
      <c r="P72" s="1">
        <f t="shared" si="36"/>
        <v>-0.23327615780445962</v>
      </c>
      <c r="Q72" s="1">
        <f t="shared" si="37"/>
        <v>-0.17021974127949777</v>
      </c>
      <c r="R72" s="1">
        <f t="shared" si="38"/>
        <v>-8.474273875125303E-2</v>
      </c>
      <c r="S72" s="1">
        <f t="shared" si="39"/>
        <v>-0.15614805681847382</v>
      </c>
      <c r="T72" s="3"/>
    </row>
    <row r="73" spans="1:20">
      <c r="A73" t="s">
        <v>124</v>
      </c>
      <c r="B73" s="7">
        <v>0.72099999999999997</v>
      </c>
      <c r="C73" s="7">
        <v>0.70599999999999996</v>
      </c>
      <c r="D73" s="7">
        <v>0.45</v>
      </c>
      <c r="E73" s="7">
        <v>0.66800000000000004</v>
      </c>
      <c r="F73" s="7">
        <v>0.39500000000000002</v>
      </c>
      <c r="G73" s="8">
        <v>0.68799999999999994</v>
      </c>
      <c r="H73" s="2">
        <f t="shared" si="28"/>
        <v>-0.11599999999999999</v>
      </c>
      <c r="I73" s="2">
        <f t="shared" si="29"/>
        <v>-0.11799999999999999</v>
      </c>
      <c r="J73" s="2">
        <f t="shared" si="30"/>
        <v>-0.13299999999999995</v>
      </c>
      <c r="K73" s="2">
        <f t="shared" si="31"/>
        <v>-0.12016047155478193</v>
      </c>
      <c r="L73" s="2">
        <f t="shared" si="32"/>
        <v>-4.0943004107519998E-2</v>
      </c>
      <c r="M73" s="4">
        <f t="shared" si="33"/>
        <v>-0.1100000000000001</v>
      </c>
      <c r="N73" s="1">
        <f t="shared" si="34"/>
        <v>-0.13859020310633213</v>
      </c>
      <c r="O73" s="1">
        <f t="shared" si="35"/>
        <v>-0.14320388349514562</v>
      </c>
      <c r="P73" s="1">
        <f t="shared" si="36"/>
        <v>-0.22813036020583183</v>
      </c>
      <c r="Q73" s="1">
        <f t="shared" si="37"/>
        <v>-0.15245686112340137</v>
      </c>
      <c r="R73" s="1">
        <f t="shared" si="38"/>
        <v>-9.3918250142217913E-2</v>
      </c>
      <c r="S73" s="1">
        <f t="shared" si="39"/>
        <v>-0.13784461152882216</v>
      </c>
      <c r="T73" s="3"/>
    </row>
    <row r="74" spans="1:20">
      <c r="A74" t="s">
        <v>170</v>
      </c>
      <c r="B74" s="7">
        <v>0.69265384615384618</v>
      </c>
      <c r="C74" s="7">
        <v>0.67200000000000004</v>
      </c>
      <c r="D74" s="7">
        <v>0.42699999999999999</v>
      </c>
      <c r="E74" s="7">
        <v>0.64200000000000002</v>
      </c>
      <c r="F74" s="7">
        <v>0.38900000000000001</v>
      </c>
      <c r="G74" s="8">
        <v>0.66936857562408214</v>
      </c>
      <c r="H74" s="2">
        <f t="shared" si="28"/>
        <v>-0.14434615384615379</v>
      </c>
      <c r="I74" s="2">
        <f t="shared" si="29"/>
        <v>-0.15199999999999991</v>
      </c>
      <c r="J74" s="2">
        <f t="shared" si="30"/>
        <v>-0.15599999999999997</v>
      </c>
      <c r="K74" s="2">
        <f t="shared" si="31"/>
        <v>-0.14616047155478196</v>
      </c>
      <c r="L74" s="2">
        <f t="shared" si="32"/>
        <v>-4.6943004107520003E-2</v>
      </c>
      <c r="M74" s="4">
        <f t="shared" si="33"/>
        <v>-0.1286314243759179</v>
      </c>
      <c r="N74" s="1">
        <f t="shared" si="34"/>
        <v>-0.17245657568238207</v>
      </c>
      <c r="O74" s="1">
        <f t="shared" si="35"/>
        <v>-0.18446601941747565</v>
      </c>
      <c r="P74" s="1">
        <f t="shared" si="36"/>
        <v>-0.26758147512864489</v>
      </c>
      <c r="Q74" s="1">
        <f t="shared" si="37"/>
        <v>-0.18544506712758038</v>
      </c>
      <c r="R74" s="1">
        <f t="shared" si="38"/>
        <v>-0.10768151722866526</v>
      </c>
      <c r="S74" s="1">
        <f t="shared" si="39"/>
        <v>-0.16119226112270413</v>
      </c>
      <c r="T74" s="3"/>
    </row>
    <row r="75" spans="1:20">
      <c r="A75" t="s">
        <v>184</v>
      </c>
      <c r="B75" s="7">
        <v>0.69137535816618911</v>
      </c>
      <c r="C75" s="7">
        <v>0.66500000000000004</v>
      </c>
      <c r="D75" s="7">
        <v>0.41899999999999998</v>
      </c>
      <c r="E75" s="7">
        <v>0.63500000000000001</v>
      </c>
      <c r="F75" s="7">
        <v>0.38200000000000001</v>
      </c>
      <c r="G75" s="8">
        <v>0.66543976348854406</v>
      </c>
      <c r="H75" s="2">
        <f t="shared" si="28"/>
        <v>-0.14562464183381085</v>
      </c>
      <c r="I75" s="2">
        <f t="shared" si="29"/>
        <v>-0.15899999999999992</v>
      </c>
      <c r="J75" s="2">
        <f t="shared" si="30"/>
        <v>-0.16399999999999998</v>
      </c>
      <c r="K75" s="2">
        <f t="shared" si="31"/>
        <v>-0.15316047155478196</v>
      </c>
      <c r="L75" s="2">
        <f t="shared" si="32"/>
        <v>-5.394300410752001E-2</v>
      </c>
      <c r="M75" s="4">
        <f t="shared" si="33"/>
        <v>-0.13256023651145599</v>
      </c>
      <c r="N75" s="1">
        <f t="shared" si="34"/>
        <v>-0.17398404042271309</v>
      </c>
      <c r="O75" s="1">
        <f t="shared" si="35"/>
        <v>-0.1929611650485436</v>
      </c>
      <c r="P75" s="1">
        <f t="shared" si="36"/>
        <v>-0.281303602058319</v>
      </c>
      <c r="Q75" s="1">
        <f t="shared" si="37"/>
        <v>-0.19432650720562858</v>
      </c>
      <c r="R75" s="1">
        <f t="shared" si="38"/>
        <v>-0.12373866216285381</v>
      </c>
      <c r="S75" s="1">
        <f t="shared" si="39"/>
        <v>-0.16611558460082204</v>
      </c>
      <c r="T75" s="3"/>
    </row>
    <row r="76" spans="1:20">
      <c r="A76" t="s">
        <v>201</v>
      </c>
      <c r="B76" s="7">
        <v>0.70348732394366198</v>
      </c>
      <c r="C76" s="7">
        <v>0.68400000000000005</v>
      </c>
      <c r="D76" s="7">
        <v>0.438</v>
      </c>
      <c r="E76" s="7">
        <v>0.63800000000000001</v>
      </c>
      <c r="F76" s="7">
        <v>0.379</v>
      </c>
      <c r="G76" s="8">
        <v>0.66486329866270422</v>
      </c>
      <c r="H76" s="2">
        <f t="shared" si="28"/>
        <v>-0.13351267605633799</v>
      </c>
      <c r="I76" s="2">
        <f t="shared" si="29"/>
        <v>-0.1399999999999999</v>
      </c>
      <c r="J76" s="2">
        <f t="shared" si="30"/>
        <v>-0.14499999999999996</v>
      </c>
      <c r="K76" s="2">
        <f t="shared" si="31"/>
        <v>-0.15016047155478196</v>
      </c>
      <c r="L76" s="2">
        <f t="shared" si="32"/>
        <v>-5.6943004107520012E-2</v>
      </c>
      <c r="M76" s="4">
        <f t="shared" si="33"/>
        <v>-0.13313670133729583</v>
      </c>
      <c r="N76" s="1">
        <f t="shared" si="34"/>
        <v>-0.15951335251653284</v>
      </c>
      <c r="O76" s="1">
        <f t="shared" si="35"/>
        <v>-0.16990291262135912</v>
      </c>
      <c r="P76" s="1">
        <f t="shared" si="36"/>
        <v>-0.248713550600343</v>
      </c>
      <c r="Q76" s="1">
        <f t="shared" si="37"/>
        <v>-0.19052017574360794</v>
      </c>
      <c r="R76" s="1">
        <f t="shared" si="38"/>
        <v>-0.13062029570607747</v>
      </c>
      <c r="S76" s="1">
        <f t="shared" si="39"/>
        <v>-0.16683797160062133</v>
      </c>
      <c r="T76" s="3"/>
    </row>
    <row r="77" spans="1:20">
      <c r="A77" t="s">
        <v>203</v>
      </c>
      <c r="B77" s="7">
        <v>0.70403248587570633</v>
      </c>
      <c r="C77" s="7">
        <v>0.69099999999999995</v>
      </c>
      <c r="D77" s="7">
        <v>0.44</v>
      </c>
      <c r="E77" s="7">
        <v>0.63700000000000001</v>
      </c>
      <c r="F77" s="7">
        <v>0.376</v>
      </c>
      <c r="G77" s="8">
        <v>0.66187846961740426</v>
      </c>
      <c r="H77" s="2">
        <f t="shared" si="28"/>
        <v>-0.13296751412429364</v>
      </c>
      <c r="I77" s="2">
        <f t="shared" si="29"/>
        <v>-0.13300000000000001</v>
      </c>
      <c r="J77" s="2">
        <f t="shared" si="30"/>
        <v>-0.14299999999999996</v>
      </c>
      <c r="K77" s="2">
        <f t="shared" si="31"/>
        <v>-0.15116047155478196</v>
      </c>
      <c r="L77" s="2">
        <f t="shared" si="32"/>
        <v>-5.9943004107520015E-2</v>
      </c>
      <c r="M77" s="4">
        <f t="shared" si="33"/>
        <v>-0.13612153038259578</v>
      </c>
      <c r="N77" s="1">
        <f t="shared" si="34"/>
        <v>-0.15886202404336158</v>
      </c>
      <c r="O77" s="1">
        <f t="shared" si="35"/>
        <v>-0.16140776699029127</v>
      </c>
      <c r="P77" s="1">
        <f t="shared" si="36"/>
        <v>-0.24528301886792447</v>
      </c>
      <c r="Q77" s="1">
        <f t="shared" si="37"/>
        <v>-0.19178895289761483</v>
      </c>
      <c r="R77" s="1">
        <f t="shared" si="38"/>
        <v>-0.13750192924930113</v>
      </c>
      <c r="S77" s="1">
        <f t="shared" si="39"/>
        <v>-0.17057835887543329</v>
      </c>
      <c r="T77" s="3"/>
    </row>
    <row r="78" spans="1:20">
      <c r="A78" t="s">
        <v>205</v>
      </c>
      <c r="B78" s="7">
        <v>0.67706744868035185</v>
      </c>
      <c r="C78" s="7">
        <v>0.66800000000000004</v>
      </c>
      <c r="D78" s="7">
        <v>0.41499999999999998</v>
      </c>
      <c r="E78" s="7">
        <v>0.63100000000000001</v>
      </c>
      <c r="F78" s="7">
        <v>0.375</v>
      </c>
      <c r="G78" s="8">
        <v>0.64935262757044931</v>
      </c>
      <c r="H78" s="2">
        <f t="shared" si="28"/>
        <v>-0.15993255131964812</v>
      </c>
      <c r="I78" s="2">
        <f t="shared" si="29"/>
        <v>-0.15599999999999992</v>
      </c>
      <c r="J78" s="2">
        <f t="shared" si="30"/>
        <v>-0.16799999999999998</v>
      </c>
      <c r="K78" s="2">
        <f t="shared" si="31"/>
        <v>-0.15716047155478197</v>
      </c>
      <c r="L78" s="2">
        <f t="shared" si="32"/>
        <v>-6.0943004107520016E-2</v>
      </c>
      <c r="M78" s="4">
        <f t="shared" si="33"/>
        <v>-0.14864737242955073</v>
      </c>
      <c r="N78" s="1">
        <f t="shared" si="34"/>
        <v>-0.19107831698882691</v>
      </c>
      <c r="O78" s="1">
        <f t="shared" si="35"/>
        <v>-0.18932038834951448</v>
      </c>
      <c r="P78" s="1">
        <f t="shared" si="36"/>
        <v>-0.28816466552315606</v>
      </c>
      <c r="Q78" s="1">
        <f t="shared" si="37"/>
        <v>-0.19940161582165614</v>
      </c>
      <c r="R78" s="1">
        <f t="shared" si="38"/>
        <v>-0.13979580709704237</v>
      </c>
      <c r="S78" s="1">
        <f t="shared" si="39"/>
        <v>-0.1862749027939232</v>
      </c>
      <c r="T78" s="3"/>
    </row>
    <row r="79" spans="1:20">
      <c r="A79" t="s">
        <v>208</v>
      </c>
      <c r="B79" s="7">
        <v>0.66570839469808529</v>
      </c>
      <c r="C79" s="7">
        <v>0.65800000000000003</v>
      </c>
      <c r="D79" s="7">
        <v>0.41499999999999998</v>
      </c>
      <c r="E79" s="7">
        <v>0.61199999999999999</v>
      </c>
      <c r="F79" s="7">
        <v>0.35699999999999998</v>
      </c>
      <c r="G79" s="8">
        <v>0.62698363211223695</v>
      </c>
      <c r="H79" s="2">
        <f t="shared" si="28"/>
        <v>-0.17129160530191467</v>
      </c>
      <c r="I79" s="2">
        <f t="shared" si="29"/>
        <v>-0.16599999999999993</v>
      </c>
      <c r="J79" s="2">
        <f t="shared" si="30"/>
        <v>-0.16799999999999998</v>
      </c>
      <c r="K79" s="2">
        <f t="shared" si="31"/>
        <v>-0.17616047155478198</v>
      </c>
      <c r="L79" s="2">
        <f t="shared" si="32"/>
        <v>-7.8943004107520032E-2</v>
      </c>
      <c r="M79" s="4">
        <f t="shared" si="33"/>
        <v>-0.17101636788776309</v>
      </c>
      <c r="N79" s="1">
        <f t="shared" si="34"/>
        <v>-0.20464946870001754</v>
      </c>
      <c r="O79" s="1">
        <f t="shared" si="35"/>
        <v>-0.20145631067961156</v>
      </c>
      <c r="P79" s="1">
        <f t="shared" si="36"/>
        <v>-0.28816466552315606</v>
      </c>
      <c r="Q79" s="1">
        <f t="shared" si="37"/>
        <v>-0.22350838174778695</v>
      </c>
      <c r="R79" s="1">
        <f t="shared" si="38"/>
        <v>-0.18108560835638438</v>
      </c>
      <c r="S79" s="1">
        <f t="shared" si="39"/>
        <v>-0.214306225423262</v>
      </c>
      <c r="T79" s="3"/>
    </row>
    <row r="80" spans="1:20">
      <c r="A80" t="s">
        <v>81</v>
      </c>
      <c r="B80" s="7">
        <v>0.66600000000000004</v>
      </c>
      <c r="C80" s="7">
        <v>0.63100000000000001</v>
      </c>
      <c r="D80" s="7">
        <v>0.38100000000000001</v>
      </c>
      <c r="E80" s="7">
        <v>0.59</v>
      </c>
      <c r="F80" s="7">
        <v>0.33500000000000002</v>
      </c>
      <c r="G80" s="8">
        <v>0.63800000000000001</v>
      </c>
      <c r="H80" s="2">
        <f t="shared" si="28"/>
        <v>-0.17099999999999993</v>
      </c>
      <c r="I80" s="2">
        <f t="shared" si="29"/>
        <v>-0.19299999999999995</v>
      </c>
      <c r="J80" s="2">
        <f t="shared" si="30"/>
        <v>-0.20199999999999996</v>
      </c>
      <c r="K80" s="2">
        <f t="shared" si="31"/>
        <v>-0.198160471554782</v>
      </c>
      <c r="L80" s="2">
        <f t="shared" si="32"/>
        <v>-0.10094300410752</v>
      </c>
      <c r="M80" s="4">
        <f t="shared" si="33"/>
        <v>-0.16000000000000003</v>
      </c>
      <c r="N80" s="1">
        <f t="shared" si="34"/>
        <v>-0.20430107526881713</v>
      </c>
      <c r="O80" s="1">
        <f t="shared" si="35"/>
        <v>-0.23422330097087374</v>
      </c>
      <c r="P80" s="1">
        <f t="shared" si="36"/>
        <v>-0.34648370497427095</v>
      </c>
      <c r="Q80" s="1">
        <f t="shared" si="37"/>
        <v>-0.25142147913593843</v>
      </c>
      <c r="R80" s="1">
        <f t="shared" si="38"/>
        <v>-0.23155092100669114</v>
      </c>
      <c r="S80" s="1">
        <f t="shared" si="39"/>
        <v>-0.2005012531328321</v>
      </c>
      <c r="T80" s="3"/>
    </row>
    <row r="81" spans="1:20">
      <c r="A81" t="s">
        <v>23</v>
      </c>
      <c r="B81" s="7">
        <v>0.58099999999999996</v>
      </c>
      <c r="C81" s="7">
        <v>0.54</v>
      </c>
      <c r="D81" s="7">
        <v>0.36399999999999999</v>
      </c>
      <c r="E81" s="7">
        <v>0.51700000000000002</v>
      </c>
      <c r="F81" s="7">
        <v>0.32700000000000001</v>
      </c>
      <c r="G81" s="8">
        <v>0.56499999999999995</v>
      </c>
      <c r="H81" s="2">
        <f t="shared" si="28"/>
        <v>-0.25600000000000001</v>
      </c>
      <c r="I81" s="2">
        <f t="shared" si="29"/>
        <v>-0.28399999999999992</v>
      </c>
      <c r="J81" s="2">
        <f t="shared" si="30"/>
        <v>-0.21899999999999997</v>
      </c>
      <c r="K81" s="2">
        <f t="shared" si="31"/>
        <v>-0.27116047155478196</v>
      </c>
      <c r="L81" s="2">
        <f t="shared" si="32"/>
        <v>-0.10894300410752</v>
      </c>
      <c r="M81" s="4">
        <f t="shared" si="33"/>
        <v>-0.2330000000000001</v>
      </c>
      <c r="N81" s="1">
        <f t="shared" si="34"/>
        <v>-0.30585424133811234</v>
      </c>
      <c r="O81" s="1">
        <f t="shared" si="35"/>
        <v>-0.34466019417475718</v>
      </c>
      <c r="P81" s="1">
        <f t="shared" si="36"/>
        <v>-0.37564322469982847</v>
      </c>
      <c r="Q81" s="1">
        <f t="shared" si="37"/>
        <v>-0.34404221137844088</v>
      </c>
      <c r="R81" s="1">
        <f t="shared" si="38"/>
        <v>-0.24990194378862091</v>
      </c>
      <c r="S81" s="1">
        <f t="shared" si="39"/>
        <v>-0.29197994987468684</v>
      </c>
      <c r="T81" s="3"/>
    </row>
    <row r="82" spans="1:20">
      <c r="A82" t="s">
        <v>101</v>
      </c>
      <c r="B82" s="7">
        <v>0.64300000000000002</v>
      </c>
      <c r="C82" s="7">
        <v>0.61199999999999999</v>
      </c>
      <c r="D82" s="7">
        <v>0.36899999999999999</v>
      </c>
      <c r="E82" s="7">
        <v>0.56699999999999995</v>
      </c>
      <c r="F82" s="7">
        <v>0.31900000000000001</v>
      </c>
      <c r="G82" s="8">
        <v>0.60599999999999998</v>
      </c>
      <c r="H82" s="2">
        <f t="shared" si="28"/>
        <v>-0.19399999999999995</v>
      </c>
      <c r="I82" s="2">
        <f t="shared" si="29"/>
        <v>-0.21199999999999997</v>
      </c>
      <c r="J82" s="2">
        <f t="shared" si="30"/>
        <v>-0.21399999999999997</v>
      </c>
      <c r="K82" s="2">
        <f t="shared" si="31"/>
        <v>-0.22116047155478202</v>
      </c>
      <c r="L82" s="2">
        <f t="shared" si="32"/>
        <v>-0.11694300410752001</v>
      </c>
      <c r="M82" s="4">
        <f t="shared" si="33"/>
        <v>-0.19200000000000006</v>
      </c>
      <c r="N82" s="1">
        <f t="shared" si="34"/>
        <v>-0.23178016726403819</v>
      </c>
      <c r="O82" s="1">
        <f t="shared" si="35"/>
        <v>-0.25728155339805825</v>
      </c>
      <c r="P82" s="1">
        <f t="shared" si="36"/>
        <v>-0.36706689536878212</v>
      </c>
      <c r="Q82" s="1">
        <f t="shared" si="37"/>
        <v>-0.2806033536780968</v>
      </c>
      <c r="R82" s="1">
        <f t="shared" si="38"/>
        <v>-0.2682529665705507</v>
      </c>
      <c r="S82" s="1">
        <f t="shared" si="39"/>
        <v>-0.24060150375939857</v>
      </c>
      <c r="T82" s="3"/>
    </row>
    <row r="83" spans="1:20">
      <c r="A83" t="s">
        <v>8</v>
      </c>
      <c r="B83" s="7">
        <v>0.57499999999999996</v>
      </c>
      <c r="C83" s="7">
        <v>0.52900000000000003</v>
      </c>
      <c r="D83" s="7">
        <v>0.35399999999999998</v>
      </c>
      <c r="E83" s="7">
        <v>0.51</v>
      </c>
      <c r="F83" s="7">
        <v>0.31900000000000001</v>
      </c>
      <c r="G83" s="8">
        <v>0.56399999999999995</v>
      </c>
      <c r="H83" s="2">
        <f t="shared" si="28"/>
        <v>-0.26200000000000001</v>
      </c>
      <c r="I83" s="2">
        <f t="shared" si="29"/>
        <v>-0.29499999999999993</v>
      </c>
      <c r="J83" s="2">
        <f t="shared" si="30"/>
        <v>-0.22899999999999998</v>
      </c>
      <c r="K83" s="2">
        <f t="shared" si="31"/>
        <v>-0.27816047155478196</v>
      </c>
      <c r="L83" s="2">
        <f t="shared" si="32"/>
        <v>-0.11694300410752001</v>
      </c>
      <c r="M83" s="4">
        <f t="shared" si="33"/>
        <v>-0.2340000000000001</v>
      </c>
      <c r="N83" s="1">
        <f t="shared" si="34"/>
        <v>-0.31302270011947436</v>
      </c>
      <c r="O83" s="1">
        <f t="shared" si="35"/>
        <v>-0.35800970873786403</v>
      </c>
      <c r="P83" s="1">
        <f t="shared" si="36"/>
        <v>-0.39279588336192112</v>
      </c>
      <c r="Q83" s="1">
        <f t="shared" si="37"/>
        <v>-0.35292365145648907</v>
      </c>
      <c r="R83" s="1">
        <f t="shared" si="38"/>
        <v>-0.2682529665705507</v>
      </c>
      <c r="S83" s="1">
        <f t="shared" si="39"/>
        <v>-0.29323308270676701</v>
      </c>
      <c r="T83" s="3"/>
    </row>
    <row r="84" spans="1:20">
      <c r="A84" t="s">
        <v>17</v>
      </c>
      <c r="B84" s="7">
        <v>0.56699999999999995</v>
      </c>
      <c r="C84" s="7">
        <v>0.52900000000000003</v>
      </c>
      <c r="D84" s="7">
        <v>0.35599999999999998</v>
      </c>
      <c r="E84" s="7">
        <v>0.50800000000000001</v>
      </c>
      <c r="F84" s="7">
        <v>0.31900000000000001</v>
      </c>
      <c r="G84" s="8">
        <v>0.55900000000000005</v>
      </c>
      <c r="H84" s="2">
        <f t="shared" si="28"/>
        <v>-0.27</v>
      </c>
      <c r="I84" s="2">
        <f t="shared" si="29"/>
        <v>-0.29499999999999993</v>
      </c>
      <c r="J84" s="2">
        <f t="shared" si="30"/>
        <v>-0.22699999999999998</v>
      </c>
      <c r="K84" s="2">
        <f t="shared" si="31"/>
        <v>-0.28016047155478196</v>
      </c>
      <c r="L84" s="2">
        <f t="shared" si="32"/>
        <v>-0.11694300410752001</v>
      </c>
      <c r="M84" s="4">
        <f t="shared" si="33"/>
        <v>-0.23899999999999999</v>
      </c>
      <c r="N84" s="1">
        <f t="shared" si="34"/>
        <v>-0.32258064516129037</v>
      </c>
      <c r="O84" s="1">
        <f t="shared" si="35"/>
        <v>-0.35800970873786403</v>
      </c>
      <c r="P84" s="1">
        <f t="shared" si="36"/>
        <v>-0.38936535162950259</v>
      </c>
      <c r="Q84" s="1">
        <f t="shared" si="37"/>
        <v>-0.35546120576450285</v>
      </c>
      <c r="R84" s="1">
        <f t="shared" si="38"/>
        <v>-0.2682529665705507</v>
      </c>
      <c r="S84" s="1">
        <f t="shared" si="39"/>
        <v>-0.29949874686716788</v>
      </c>
      <c r="T84" s="3"/>
    </row>
    <row r="85" spans="1:20">
      <c r="A85" t="s">
        <v>10</v>
      </c>
      <c r="B85" s="7">
        <v>0.56699999999999995</v>
      </c>
      <c r="C85" s="7">
        <v>0.52900000000000003</v>
      </c>
      <c r="D85" s="7">
        <v>0.35599999999999998</v>
      </c>
      <c r="E85" s="7">
        <v>0.50800000000000001</v>
      </c>
      <c r="F85" s="7">
        <v>0.31900000000000001</v>
      </c>
      <c r="G85" s="8">
        <v>0.55900000000000005</v>
      </c>
      <c r="H85" s="2">
        <f t="shared" si="28"/>
        <v>-0.27</v>
      </c>
      <c r="I85" s="2">
        <f t="shared" si="29"/>
        <v>-0.29499999999999993</v>
      </c>
      <c r="J85" s="2">
        <f t="shared" si="30"/>
        <v>-0.22699999999999998</v>
      </c>
      <c r="K85" s="2">
        <f t="shared" si="31"/>
        <v>-0.28016047155478196</v>
      </c>
      <c r="L85" s="2">
        <f t="shared" si="32"/>
        <v>-0.11694300410752001</v>
      </c>
      <c r="M85" s="4">
        <f t="shared" si="33"/>
        <v>-0.23899999999999999</v>
      </c>
      <c r="N85" s="1">
        <f t="shared" si="34"/>
        <v>-0.32258064516129037</v>
      </c>
      <c r="O85" s="1">
        <f t="shared" si="35"/>
        <v>-0.35800970873786403</v>
      </c>
      <c r="P85" s="1">
        <f t="shared" si="36"/>
        <v>-0.38936535162950259</v>
      </c>
      <c r="Q85" s="1">
        <f t="shared" si="37"/>
        <v>-0.35546120576450285</v>
      </c>
      <c r="R85" s="1">
        <f t="shared" si="38"/>
        <v>-0.2682529665705507</v>
      </c>
      <c r="S85" s="1">
        <f t="shared" si="39"/>
        <v>-0.29949874686716788</v>
      </c>
      <c r="T85" s="3"/>
    </row>
    <row r="86" spans="1:20">
      <c r="A86" t="s">
        <v>77</v>
      </c>
      <c r="B86" s="7">
        <v>0.65700000000000003</v>
      </c>
      <c r="C86" s="7">
        <v>0.61899999999999999</v>
      </c>
      <c r="D86" s="7">
        <v>0.36699999999999999</v>
      </c>
      <c r="E86" s="7">
        <v>0.56499999999999995</v>
      </c>
      <c r="F86" s="7">
        <v>0.316</v>
      </c>
      <c r="G86" s="8">
        <v>0.628</v>
      </c>
      <c r="H86" s="2">
        <f t="shared" si="28"/>
        <v>-0.17999999999999994</v>
      </c>
      <c r="I86" s="2">
        <f t="shared" si="29"/>
        <v>-0.20499999999999996</v>
      </c>
      <c r="J86" s="2">
        <f t="shared" si="30"/>
        <v>-0.21599999999999997</v>
      </c>
      <c r="K86" s="2">
        <f t="shared" si="31"/>
        <v>-0.22316047155478203</v>
      </c>
      <c r="L86" s="2">
        <f t="shared" si="32"/>
        <v>-0.11994300410752001</v>
      </c>
      <c r="M86" s="4">
        <f t="shared" si="33"/>
        <v>-0.17000000000000004</v>
      </c>
      <c r="N86" s="1">
        <f t="shared" si="34"/>
        <v>-0.21505376344086016</v>
      </c>
      <c r="O86" s="1">
        <f t="shared" si="35"/>
        <v>-0.24878640776699026</v>
      </c>
      <c r="P86" s="1">
        <f t="shared" si="36"/>
        <v>-0.37049742710120065</v>
      </c>
      <c r="Q86" s="1">
        <f t="shared" si="37"/>
        <v>-0.28314090798611058</v>
      </c>
      <c r="R86" s="1">
        <f t="shared" si="38"/>
        <v>-0.27513460011377439</v>
      </c>
      <c r="S86" s="1">
        <f t="shared" si="39"/>
        <v>-0.21303258145363413</v>
      </c>
      <c r="T86" s="3"/>
    </row>
    <row r="87" spans="1:20">
      <c r="A87" t="s">
        <v>44</v>
      </c>
      <c r="B87" s="7">
        <v>0.56999999999999995</v>
      </c>
      <c r="C87" s="7">
        <v>0.52</v>
      </c>
      <c r="D87" s="7">
        <v>0.35199999999999998</v>
      </c>
      <c r="E87" s="7">
        <v>0.5</v>
      </c>
      <c r="F87" s="7">
        <v>0.314</v>
      </c>
      <c r="G87" s="8">
        <v>0.56299999999999994</v>
      </c>
      <c r="H87" s="2">
        <f t="shared" si="28"/>
        <v>-0.26700000000000002</v>
      </c>
      <c r="I87" s="2">
        <f t="shared" si="29"/>
        <v>-0.30399999999999994</v>
      </c>
      <c r="J87" s="2">
        <f t="shared" si="30"/>
        <v>-0.23099999999999998</v>
      </c>
      <c r="K87" s="2">
        <f t="shared" si="31"/>
        <v>-0.28816047155478197</v>
      </c>
      <c r="L87" s="2">
        <f t="shared" si="32"/>
        <v>-0.12194300410752001</v>
      </c>
      <c r="M87" s="4">
        <f t="shared" si="33"/>
        <v>-0.2350000000000001</v>
      </c>
      <c r="N87" s="1">
        <f t="shared" si="34"/>
        <v>-0.31899641577060933</v>
      </c>
      <c r="O87" s="1">
        <f t="shared" si="35"/>
        <v>-0.3689320388349514</v>
      </c>
      <c r="P87" s="1">
        <f t="shared" si="36"/>
        <v>-0.39622641509433965</v>
      </c>
      <c r="Q87" s="1">
        <f t="shared" si="37"/>
        <v>-0.36561142299655797</v>
      </c>
      <c r="R87" s="1">
        <f t="shared" si="38"/>
        <v>-0.27972235580925681</v>
      </c>
      <c r="S87" s="1">
        <f t="shared" si="39"/>
        <v>-0.29448621553884724</v>
      </c>
      <c r="T87" s="3"/>
    </row>
    <row r="88" spans="1:20">
      <c r="A88" t="s">
        <v>126</v>
      </c>
      <c r="B88" s="7">
        <v>0.56399999999999995</v>
      </c>
      <c r="C88" s="7">
        <v>0.51500000000000001</v>
      </c>
      <c r="D88" s="7">
        <v>0.34599999999999997</v>
      </c>
      <c r="E88" s="7">
        <v>0.495</v>
      </c>
      <c r="F88" s="7">
        <v>0.309</v>
      </c>
      <c r="G88" s="8">
        <v>0.55900000000000005</v>
      </c>
      <c r="H88" s="2">
        <f t="shared" si="28"/>
        <v>-0.27300000000000002</v>
      </c>
      <c r="I88" s="2">
        <f t="shared" si="29"/>
        <v>-0.30899999999999994</v>
      </c>
      <c r="J88" s="2">
        <f t="shared" si="30"/>
        <v>-0.23699999999999999</v>
      </c>
      <c r="K88" s="2">
        <f t="shared" si="31"/>
        <v>-0.29316047155478198</v>
      </c>
      <c r="L88" s="2">
        <f t="shared" si="32"/>
        <v>-0.12694300410752002</v>
      </c>
      <c r="M88" s="4">
        <f t="shared" si="33"/>
        <v>-0.23899999999999999</v>
      </c>
      <c r="N88" s="1">
        <f t="shared" si="34"/>
        <v>-0.32616487455197135</v>
      </c>
      <c r="O88" s="1">
        <f t="shared" si="35"/>
        <v>-0.37499999999999994</v>
      </c>
      <c r="P88" s="1">
        <f t="shared" si="36"/>
        <v>-0.40651801029159518</v>
      </c>
      <c r="Q88" s="1">
        <f t="shared" si="37"/>
        <v>-0.37195530876659239</v>
      </c>
      <c r="R88" s="1">
        <f t="shared" si="38"/>
        <v>-0.29119174504796291</v>
      </c>
      <c r="S88" s="1">
        <f t="shared" si="39"/>
        <v>-0.29949874686716788</v>
      </c>
      <c r="T88" s="3"/>
    </row>
    <row r="89" spans="1:20">
      <c r="A89" t="s">
        <v>29</v>
      </c>
      <c r="B89" s="7">
        <v>0.56399999999999995</v>
      </c>
      <c r="C89" s="7">
        <v>0.52300000000000002</v>
      </c>
      <c r="D89" s="7">
        <v>0.35</v>
      </c>
      <c r="E89" s="7">
        <v>0.504</v>
      </c>
      <c r="F89" s="7">
        <v>0.309</v>
      </c>
      <c r="G89" s="8">
        <v>0.55600000000000005</v>
      </c>
      <c r="H89" s="2">
        <f t="shared" si="28"/>
        <v>-0.27300000000000002</v>
      </c>
      <c r="I89" s="2">
        <f t="shared" si="29"/>
        <v>-0.30099999999999993</v>
      </c>
      <c r="J89" s="2">
        <f t="shared" si="30"/>
        <v>-0.23299999999999998</v>
      </c>
      <c r="K89" s="2">
        <f t="shared" si="31"/>
        <v>-0.28416047155478197</v>
      </c>
      <c r="L89" s="2">
        <f t="shared" si="32"/>
        <v>-0.12694300410752002</v>
      </c>
      <c r="M89" s="4">
        <f t="shared" si="33"/>
        <v>-0.24199999999999999</v>
      </c>
      <c r="N89" s="1">
        <f t="shared" si="34"/>
        <v>-0.32616487455197135</v>
      </c>
      <c r="O89" s="1">
        <f t="shared" si="35"/>
        <v>-0.36529126213592228</v>
      </c>
      <c r="P89" s="1">
        <f t="shared" si="36"/>
        <v>-0.39965694682675817</v>
      </c>
      <c r="Q89" s="1">
        <f t="shared" si="37"/>
        <v>-0.36053631438053041</v>
      </c>
      <c r="R89" s="1">
        <f t="shared" si="38"/>
        <v>-0.29119174504796291</v>
      </c>
      <c r="S89" s="1">
        <f t="shared" si="39"/>
        <v>-0.3032581453634085</v>
      </c>
      <c r="T89" s="3"/>
    </row>
    <row r="90" spans="1:20">
      <c r="A90" t="s">
        <v>178</v>
      </c>
      <c r="B90" s="7">
        <v>0.56476551724137924</v>
      </c>
      <c r="C90" s="7">
        <v>0.52</v>
      </c>
      <c r="D90" s="7">
        <v>0.34599999999999997</v>
      </c>
      <c r="E90" s="7">
        <v>0.5</v>
      </c>
      <c r="F90" s="7">
        <v>0.309</v>
      </c>
      <c r="G90" s="8">
        <v>0.55375886524822693</v>
      </c>
      <c r="H90" s="2">
        <f t="shared" si="28"/>
        <v>-0.27223448275862072</v>
      </c>
      <c r="I90" s="2">
        <f t="shared" si="29"/>
        <v>-0.30399999999999994</v>
      </c>
      <c r="J90" s="2">
        <f t="shared" si="30"/>
        <v>-0.23699999999999999</v>
      </c>
      <c r="K90" s="2">
        <f t="shared" si="31"/>
        <v>-0.28816047155478197</v>
      </c>
      <c r="L90" s="2">
        <f t="shared" si="32"/>
        <v>-0.12694300410752002</v>
      </c>
      <c r="M90" s="4">
        <f t="shared" si="33"/>
        <v>-0.24424113475177311</v>
      </c>
      <c r="N90" s="1">
        <f t="shared" si="34"/>
        <v>-0.3252502780867631</v>
      </c>
      <c r="O90" s="1">
        <f t="shared" si="35"/>
        <v>-0.3689320388349514</v>
      </c>
      <c r="P90" s="1">
        <f t="shared" si="36"/>
        <v>-0.40651801029159518</v>
      </c>
      <c r="Q90" s="1">
        <f t="shared" si="37"/>
        <v>-0.36561142299655797</v>
      </c>
      <c r="R90" s="1">
        <f t="shared" si="38"/>
        <v>-0.29119174504796291</v>
      </c>
      <c r="S90" s="1">
        <f t="shared" si="39"/>
        <v>-0.30606658490197131</v>
      </c>
      <c r="T90" s="3"/>
    </row>
    <row r="91" spans="1:20">
      <c r="A91" t="s">
        <v>132</v>
      </c>
      <c r="B91" s="7">
        <v>0.56299999999999994</v>
      </c>
      <c r="C91" s="7">
        <v>0.51100000000000001</v>
      </c>
      <c r="D91" s="7">
        <v>0.34399999999999997</v>
      </c>
      <c r="E91" s="7">
        <v>0.498</v>
      </c>
      <c r="F91" s="7">
        <v>0.30499999999999999</v>
      </c>
      <c r="G91" s="8">
        <v>0.56000000000000005</v>
      </c>
      <c r="H91" s="2">
        <f t="shared" si="28"/>
        <v>-0.27400000000000002</v>
      </c>
      <c r="I91" s="2">
        <f t="shared" si="29"/>
        <v>-0.31299999999999994</v>
      </c>
      <c r="J91" s="2">
        <f t="shared" si="30"/>
        <v>-0.23899999999999999</v>
      </c>
      <c r="K91" s="2">
        <f t="shared" si="31"/>
        <v>-0.29016047155478197</v>
      </c>
      <c r="L91" s="2">
        <f t="shared" si="32"/>
        <v>-0.13094300410752002</v>
      </c>
      <c r="M91" s="4">
        <f t="shared" si="33"/>
        <v>-0.23799999999999999</v>
      </c>
      <c r="N91" s="1">
        <f t="shared" si="34"/>
        <v>-0.32735961768219835</v>
      </c>
      <c r="O91" s="1">
        <f t="shared" si="35"/>
        <v>-0.37985436893203878</v>
      </c>
      <c r="P91" s="1">
        <f t="shared" si="36"/>
        <v>-0.40994854202401371</v>
      </c>
      <c r="Q91" s="1">
        <f t="shared" si="37"/>
        <v>-0.36814897730457175</v>
      </c>
      <c r="R91" s="1">
        <f t="shared" si="38"/>
        <v>-0.30036725643892781</v>
      </c>
      <c r="S91" s="1">
        <f t="shared" si="39"/>
        <v>-0.2982456140350877</v>
      </c>
      <c r="T91" s="3"/>
    </row>
    <row r="92" spans="1:20">
      <c r="A92" t="s">
        <v>89</v>
      </c>
      <c r="B92" s="7">
        <v>0.63</v>
      </c>
      <c r="C92" s="7">
        <v>0.59799999999999998</v>
      </c>
      <c r="D92" s="7">
        <v>0.34699999999999998</v>
      </c>
      <c r="E92" s="7">
        <v>0.55100000000000005</v>
      </c>
      <c r="F92" s="7">
        <v>0.30399999999999999</v>
      </c>
      <c r="G92" s="8">
        <v>0.60399999999999998</v>
      </c>
      <c r="H92" s="2">
        <f t="shared" si="28"/>
        <v>-0.20699999999999996</v>
      </c>
      <c r="I92" s="2">
        <f t="shared" si="29"/>
        <v>-0.22599999999999998</v>
      </c>
      <c r="J92" s="2">
        <f t="shared" si="30"/>
        <v>-0.23599999999999999</v>
      </c>
      <c r="K92" s="2">
        <f t="shared" si="31"/>
        <v>-0.23716047155478193</v>
      </c>
      <c r="L92" s="2">
        <f t="shared" si="32"/>
        <v>-0.13194300410752002</v>
      </c>
      <c r="M92" s="4">
        <f t="shared" si="33"/>
        <v>-0.19400000000000006</v>
      </c>
      <c r="N92" s="1">
        <f t="shared" si="34"/>
        <v>-0.24731182795698922</v>
      </c>
      <c r="O92" s="1">
        <f t="shared" si="35"/>
        <v>-0.27427184466019416</v>
      </c>
      <c r="P92" s="1">
        <f t="shared" si="36"/>
        <v>-0.40480274442538594</v>
      </c>
      <c r="Q92" s="1">
        <f t="shared" si="37"/>
        <v>-0.30090378814220681</v>
      </c>
      <c r="R92" s="1">
        <f t="shared" si="38"/>
        <v>-0.30266113428666902</v>
      </c>
      <c r="S92" s="1">
        <f t="shared" si="39"/>
        <v>-0.24310776942355897</v>
      </c>
      <c r="T92" s="3"/>
    </row>
    <row r="93" spans="1:20">
      <c r="A93" t="s">
        <v>144</v>
      </c>
      <c r="B93" s="7">
        <v>0.56899999999999995</v>
      </c>
      <c r="C93" s="7">
        <v>0.52200000000000002</v>
      </c>
      <c r="D93" s="7">
        <v>0.34300000000000003</v>
      </c>
      <c r="E93" s="7">
        <v>0.499</v>
      </c>
      <c r="F93" s="7">
        <v>0.30399999999999999</v>
      </c>
      <c r="G93" s="8">
        <v>0.55800000000000005</v>
      </c>
      <c r="H93" s="2">
        <f t="shared" si="28"/>
        <v>-0.26800000000000002</v>
      </c>
      <c r="I93" s="2">
        <f t="shared" si="29"/>
        <v>-0.30199999999999994</v>
      </c>
      <c r="J93" s="2">
        <f t="shared" si="30"/>
        <v>-0.23999999999999994</v>
      </c>
      <c r="K93" s="2">
        <f t="shared" si="31"/>
        <v>-0.28916047155478197</v>
      </c>
      <c r="L93" s="2">
        <f t="shared" si="32"/>
        <v>-0.13194300410752002</v>
      </c>
      <c r="M93" s="4">
        <f t="shared" si="33"/>
        <v>-0.24</v>
      </c>
      <c r="N93" s="1">
        <f t="shared" si="34"/>
        <v>-0.32019115890083633</v>
      </c>
      <c r="O93" s="1">
        <f t="shared" si="35"/>
        <v>-0.36650485436893199</v>
      </c>
      <c r="P93" s="1">
        <f t="shared" si="36"/>
        <v>-0.41166380789022289</v>
      </c>
      <c r="Q93" s="1">
        <f t="shared" si="37"/>
        <v>-0.36688020015056483</v>
      </c>
      <c r="R93" s="1">
        <f t="shared" si="38"/>
        <v>-0.30266113428666902</v>
      </c>
      <c r="S93" s="1">
        <f t="shared" si="39"/>
        <v>-0.3007518796992481</v>
      </c>
      <c r="T93" s="3"/>
    </row>
    <row r="94" spans="1:20">
      <c r="A94" t="s">
        <v>11</v>
      </c>
      <c r="B94" s="7">
        <v>0.55500000000000005</v>
      </c>
      <c r="C94" s="7">
        <v>0.50900000000000001</v>
      </c>
      <c r="D94" s="7">
        <v>0.34</v>
      </c>
      <c r="E94" s="7">
        <v>0.48699999999999999</v>
      </c>
      <c r="F94" s="7">
        <v>0.30399999999999999</v>
      </c>
      <c r="G94" s="8">
        <v>0.54300000000000004</v>
      </c>
      <c r="H94" s="2">
        <f t="shared" si="28"/>
        <v>-0.28199999999999992</v>
      </c>
      <c r="I94" s="2">
        <f t="shared" si="29"/>
        <v>-0.31499999999999995</v>
      </c>
      <c r="J94" s="2">
        <f t="shared" si="30"/>
        <v>-0.24299999999999994</v>
      </c>
      <c r="K94" s="2">
        <f t="shared" si="31"/>
        <v>-0.30116047155478198</v>
      </c>
      <c r="L94" s="2">
        <f t="shared" si="32"/>
        <v>-0.13194300410752002</v>
      </c>
      <c r="M94" s="4">
        <f t="shared" si="33"/>
        <v>-0.255</v>
      </c>
      <c r="N94" s="1">
        <f t="shared" si="34"/>
        <v>-0.33691756272401424</v>
      </c>
      <c r="O94" s="1">
        <f t="shared" si="35"/>
        <v>-0.38228155339805819</v>
      </c>
      <c r="P94" s="1">
        <f t="shared" si="36"/>
        <v>-0.41680960548885071</v>
      </c>
      <c r="Q94" s="1">
        <f t="shared" si="37"/>
        <v>-0.38210552599864744</v>
      </c>
      <c r="R94" s="1">
        <f t="shared" si="38"/>
        <v>-0.30266113428666902</v>
      </c>
      <c r="S94" s="1">
        <f t="shared" si="39"/>
        <v>-0.31954887218045114</v>
      </c>
      <c r="T94" s="3"/>
    </row>
    <row r="95" spans="1:20">
      <c r="A95" t="s">
        <v>52</v>
      </c>
      <c r="B95" s="7">
        <v>0.55900000000000005</v>
      </c>
      <c r="C95" s="7">
        <v>0.51100000000000001</v>
      </c>
      <c r="D95" s="7">
        <v>0.33900000000000002</v>
      </c>
      <c r="E95" s="7">
        <v>0.49299999999999999</v>
      </c>
      <c r="F95" s="7">
        <v>0.30299999999999999</v>
      </c>
      <c r="G95" s="8">
        <v>0.55300000000000005</v>
      </c>
      <c r="H95" s="2">
        <f t="shared" si="28"/>
        <v>-0.27799999999999991</v>
      </c>
      <c r="I95" s="2">
        <f t="shared" si="29"/>
        <v>-0.31299999999999994</v>
      </c>
      <c r="J95" s="2">
        <f t="shared" si="30"/>
        <v>-0.24399999999999994</v>
      </c>
      <c r="K95" s="2">
        <f t="shared" si="31"/>
        <v>-0.29516047155478198</v>
      </c>
      <c r="L95" s="2">
        <f t="shared" si="32"/>
        <v>-0.13294300410752002</v>
      </c>
      <c r="M95" s="4">
        <f t="shared" si="33"/>
        <v>-0.245</v>
      </c>
      <c r="N95" s="1">
        <f t="shared" si="34"/>
        <v>-0.33213859020310627</v>
      </c>
      <c r="O95" s="1">
        <f t="shared" si="35"/>
        <v>-0.37985436893203878</v>
      </c>
      <c r="P95" s="1">
        <f t="shared" si="36"/>
        <v>-0.41852487135505995</v>
      </c>
      <c r="Q95" s="1">
        <f t="shared" si="37"/>
        <v>-0.37449286307460616</v>
      </c>
      <c r="R95" s="1">
        <f t="shared" si="38"/>
        <v>-0.30495501213441023</v>
      </c>
      <c r="S95" s="1">
        <f t="shared" si="39"/>
        <v>-0.30701754385964908</v>
      </c>
      <c r="T95" s="3"/>
    </row>
    <row r="96" spans="1:20">
      <c r="A96" t="s">
        <v>199</v>
      </c>
      <c r="B96" s="7">
        <v>0.55649737302977231</v>
      </c>
      <c r="C96" s="7">
        <v>0.50900000000000001</v>
      </c>
      <c r="D96" s="7">
        <v>0.34399999999999997</v>
      </c>
      <c r="E96" s="7">
        <v>0.48899999999999999</v>
      </c>
      <c r="F96" s="7">
        <v>0.30299999999999999</v>
      </c>
      <c r="G96" s="8">
        <v>0.54811950790861164</v>
      </c>
      <c r="H96" s="2">
        <f t="shared" si="28"/>
        <v>-0.28050262697022765</v>
      </c>
      <c r="I96" s="2">
        <f t="shared" si="29"/>
        <v>-0.31499999999999995</v>
      </c>
      <c r="J96" s="2">
        <f t="shared" si="30"/>
        <v>-0.23899999999999999</v>
      </c>
      <c r="K96" s="2">
        <f t="shared" si="31"/>
        <v>-0.29916047155478198</v>
      </c>
      <c r="L96" s="2">
        <f t="shared" si="32"/>
        <v>-0.13294300410752002</v>
      </c>
      <c r="M96" s="4">
        <f t="shared" si="33"/>
        <v>-0.24988049209138841</v>
      </c>
      <c r="N96" s="1">
        <f t="shared" si="34"/>
        <v>-0.33512858658330663</v>
      </c>
      <c r="O96" s="1">
        <f t="shared" si="35"/>
        <v>-0.38228155339805819</v>
      </c>
      <c r="P96" s="1">
        <f t="shared" si="36"/>
        <v>-0.40994854202401371</v>
      </c>
      <c r="Q96" s="1">
        <f t="shared" si="37"/>
        <v>-0.37956797169063367</v>
      </c>
      <c r="R96" s="1">
        <f t="shared" si="38"/>
        <v>-0.30495501213441023</v>
      </c>
      <c r="S96" s="1">
        <f t="shared" si="39"/>
        <v>-0.31313344873607568</v>
      </c>
      <c r="T96" s="3"/>
    </row>
    <row r="97" spans="1:20">
      <c r="A97" t="s">
        <v>93</v>
      </c>
      <c r="B97" s="7">
        <v>0.628</v>
      </c>
      <c r="C97" s="7">
        <v>0.59499999999999997</v>
      </c>
      <c r="D97" s="7">
        <v>0.34899999999999998</v>
      </c>
      <c r="E97" s="7">
        <v>0.54700000000000004</v>
      </c>
      <c r="F97" s="7">
        <v>0.29899999999999999</v>
      </c>
      <c r="G97" s="8">
        <v>0.59699999999999998</v>
      </c>
      <c r="H97" s="2">
        <f t="shared" si="28"/>
        <v>-0.20899999999999996</v>
      </c>
      <c r="I97" s="2">
        <f t="shared" si="29"/>
        <v>-0.22899999999999998</v>
      </c>
      <c r="J97" s="2">
        <f t="shared" si="30"/>
        <v>-0.23399999999999999</v>
      </c>
      <c r="K97" s="2">
        <f t="shared" si="31"/>
        <v>-0.24116047155478193</v>
      </c>
      <c r="L97" s="2">
        <f t="shared" si="32"/>
        <v>-0.13694300410752003</v>
      </c>
      <c r="M97" s="4">
        <f t="shared" si="33"/>
        <v>-0.20100000000000007</v>
      </c>
      <c r="N97" s="1">
        <f t="shared" si="34"/>
        <v>-0.24970131421744321</v>
      </c>
      <c r="O97" s="1">
        <f t="shared" si="35"/>
        <v>-0.27791262135922329</v>
      </c>
      <c r="P97" s="1">
        <f t="shared" si="36"/>
        <v>-0.40137221269296741</v>
      </c>
      <c r="Q97" s="1">
        <f t="shared" si="37"/>
        <v>-0.30597889675823436</v>
      </c>
      <c r="R97" s="1">
        <f t="shared" si="38"/>
        <v>-0.31413052352537513</v>
      </c>
      <c r="S97" s="1">
        <f t="shared" si="39"/>
        <v>-0.25187969924812037</v>
      </c>
      <c r="T97" s="3"/>
    </row>
    <row r="98" spans="1:20">
      <c r="A98" t="s">
        <v>171</v>
      </c>
      <c r="B98" s="7">
        <v>0.56055077452667812</v>
      </c>
      <c r="C98" s="7">
        <v>0.52200000000000002</v>
      </c>
      <c r="D98" s="7">
        <v>0.34100000000000003</v>
      </c>
      <c r="E98" s="7">
        <v>0.496</v>
      </c>
      <c r="F98" s="7">
        <v>0.29899999999999999</v>
      </c>
      <c r="G98" s="8">
        <v>0.54925307557117753</v>
      </c>
      <c r="H98" s="2">
        <f t="shared" ref="H98:H129" si="40">B98-V$2</f>
        <v>-0.27644922547332185</v>
      </c>
      <c r="I98" s="2">
        <f t="shared" ref="I98:I129" si="41">C98-W$2</f>
        <v>-0.30199999999999994</v>
      </c>
      <c r="J98" s="2">
        <f t="shared" ref="J98:J129" si="42">D98-X$2</f>
        <v>-0.24199999999999994</v>
      </c>
      <c r="K98" s="2">
        <f t="shared" ref="K98:K129" si="43">E98-Y$2</f>
        <v>-0.29216047155478198</v>
      </c>
      <c r="L98" s="2">
        <f t="shared" ref="L98:L129" si="44">F98-Z$2</f>
        <v>-0.13694300410752003</v>
      </c>
      <c r="M98" s="4">
        <f t="shared" ref="M98:M129" si="45">G98-AA$2</f>
        <v>-0.24874692442882251</v>
      </c>
      <c r="N98" s="1">
        <f t="shared" ref="N98:N129" si="46">(B98-V$2)/V$2</f>
        <v>-0.3302858129908266</v>
      </c>
      <c r="O98" s="1">
        <f t="shared" ref="O98:O129" si="47">(C98-W$2)/W$2</f>
        <v>-0.36650485436893199</v>
      </c>
      <c r="P98" s="1">
        <f t="shared" ref="P98:P129" si="48">(D98-X$2)/X$2</f>
        <v>-0.41509433962264142</v>
      </c>
      <c r="Q98" s="1">
        <f t="shared" ref="Q98:Q129" si="49">(E98-Y$2)/Y$2</f>
        <v>-0.37068653161258547</v>
      </c>
      <c r="R98" s="1">
        <f t="shared" ref="R98:R129" si="50">(F98-Z$2)/Z$2</f>
        <v>-0.31413052352537513</v>
      </c>
      <c r="S98" s="1">
        <f t="shared" ref="S98:S129" si="51">(G98-AA$2)/AA$2</f>
        <v>-0.31171293788072996</v>
      </c>
      <c r="T98" s="3"/>
    </row>
    <row r="99" spans="1:20">
      <c r="A99" t="s">
        <v>48</v>
      </c>
      <c r="B99" s="7">
        <v>0.55200000000000005</v>
      </c>
      <c r="C99" s="7">
        <v>0.5</v>
      </c>
      <c r="D99" s="7">
        <v>0.33300000000000002</v>
      </c>
      <c r="E99" s="7">
        <v>0.49299999999999999</v>
      </c>
      <c r="F99" s="7">
        <v>0.29899999999999999</v>
      </c>
      <c r="G99" s="8">
        <v>0.54900000000000004</v>
      </c>
      <c r="H99" s="2">
        <f t="shared" si="40"/>
        <v>-0.28499999999999992</v>
      </c>
      <c r="I99" s="2">
        <f t="shared" si="41"/>
        <v>-0.32399999999999995</v>
      </c>
      <c r="J99" s="2">
        <f t="shared" si="42"/>
        <v>-0.24999999999999994</v>
      </c>
      <c r="K99" s="2">
        <f t="shared" si="43"/>
        <v>-0.29516047155478198</v>
      </c>
      <c r="L99" s="2">
        <f t="shared" si="44"/>
        <v>-0.13694300410752003</v>
      </c>
      <c r="M99" s="4">
        <f t="shared" si="45"/>
        <v>-0.249</v>
      </c>
      <c r="N99" s="1">
        <f t="shared" si="46"/>
        <v>-0.34050179211469528</v>
      </c>
      <c r="O99" s="1">
        <f t="shared" si="47"/>
        <v>-0.39320388349514562</v>
      </c>
      <c r="P99" s="1">
        <f t="shared" si="48"/>
        <v>-0.42881646655231553</v>
      </c>
      <c r="Q99" s="1">
        <f t="shared" si="49"/>
        <v>-0.37449286307460616</v>
      </c>
      <c r="R99" s="1">
        <f t="shared" si="50"/>
        <v>-0.31413052352537513</v>
      </c>
      <c r="S99" s="1">
        <f t="shared" si="51"/>
        <v>-0.31203007518796988</v>
      </c>
      <c r="T99" s="3"/>
    </row>
    <row r="100" spans="1:20">
      <c r="A100" t="s">
        <v>138</v>
      </c>
      <c r="B100" s="7">
        <v>0.56100000000000005</v>
      </c>
      <c r="C100" s="7">
        <v>0.52200000000000002</v>
      </c>
      <c r="D100" s="7">
        <v>0.34100000000000003</v>
      </c>
      <c r="E100" s="7">
        <v>0.496</v>
      </c>
      <c r="F100" s="7">
        <v>0.29899999999999999</v>
      </c>
      <c r="G100" s="8">
        <v>0.54900000000000004</v>
      </c>
      <c r="H100" s="2">
        <f t="shared" si="40"/>
        <v>-0.27599999999999991</v>
      </c>
      <c r="I100" s="2">
        <f t="shared" si="41"/>
        <v>-0.30199999999999994</v>
      </c>
      <c r="J100" s="2">
        <f t="shared" si="42"/>
        <v>-0.24199999999999994</v>
      </c>
      <c r="K100" s="2">
        <f t="shared" si="43"/>
        <v>-0.29216047155478198</v>
      </c>
      <c r="L100" s="2">
        <f t="shared" si="44"/>
        <v>-0.13694300410752003</v>
      </c>
      <c r="M100" s="4">
        <f t="shared" si="45"/>
        <v>-0.249</v>
      </c>
      <c r="N100" s="1">
        <f t="shared" si="46"/>
        <v>-0.32974910394265222</v>
      </c>
      <c r="O100" s="1">
        <f t="shared" si="47"/>
        <v>-0.36650485436893199</v>
      </c>
      <c r="P100" s="1">
        <f t="shared" si="48"/>
        <v>-0.41509433962264142</v>
      </c>
      <c r="Q100" s="1">
        <f t="shared" si="49"/>
        <v>-0.37068653161258547</v>
      </c>
      <c r="R100" s="1">
        <f t="shared" si="50"/>
        <v>-0.31413052352537513</v>
      </c>
      <c r="S100" s="1">
        <f t="shared" si="51"/>
        <v>-0.31203007518796988</v>
      </c>
      <c r="T100" s="3"/>
    </row>
    <row r="101" spans="1:20">
      <c r="A101" t="s">
        <v>97</v>
      </c>
      <c r="B101" s="7">
        <v>0.63200000000000001</v>
      </c>
      <c r="C101" s="7">
        <v>0.58199999999999996</v>
      </c>
      <c r="D101" s="7">
        <v>0.34100000000000003</v>
      </c>
      <c r="E101" s="7">
        <v>0.53200000000000003</v>
      </c>
      <c r="F101" s="7">
        <v>0.29699999999999999</v>
      </c>
      <c r="G101" s="8">
        <v>0.6</v>
      </c>
      <c r="H101" s="2">
        <f t="shared" si="40"/>
        <v>-0.20499999999999996</v>
      </c>
      <c r="I101" s="2">
        <f t="shared" si="41"/>
        <v>-0.24199999999999999</v>
      </c>
      <c r="J101" s="2">
        <f t="shared" si="42"/>
        <v>-0.24199999999999994</v>
      </c>
      <c r="K101" s="2">
        <f t="shared" si="43"/>
        <v>-0.25616047155478194</v>
      </c>
      <c r="L101" s="2">
        <f t="shared" si="44"/>
        <v>-0.13894300410752003</v>
      </c>
      <c r="M101" s="4">
        <f t="shared" si="45"/>
        <v>-0.19800000000000006</v>
      </c>
      <c r="N101" s="1">
        <f t="shared" si="46"/>
        <v>-0.24492234169653521</v>
      </c>
      <c r="O101" s="1">
        <f t="shared" si="47"/>
        <v>-0.2936893203883495</v>
      </c>
      <c r="P101" s="1">
        <f t="shared" si="48"/>
        <v>-0.41509433962264142</v>
      </c>
      <c r="Q101" s="1">
        <f t="shared" si="49"/>
        <v>-0.32501055406833762</v>
      </c>
      <c r="R101" s="1">
        <f t="shared" si="50"/>
        <v>-0.3187182792208576</v>
      </c>
      <c r="S101" s="1">
        <f t="shared" si="51"/>
        <v>-0.24812030075187977</v>
      </c>
      <c r="T101" s="3"/>
    </row>
    <row r="102" spans="1:20">
      <c r="A102" t="s">
        <v>206</v>
      </c>
      <c r="B102" s="7">
        <v>0.56301913043478269</v>
      </c>
      <c r="C102" s="7">
        <v>0.51300000000000001</v>
      </c>
      <c r="D102" s="7">
        <v>0.34499999999999997</v>
      </c>
      <c r="E102" s="7">
        <v>0.49199999999999999</v>
      </c>
      <c r="F102" s="7">
        <v>0.29699999999999999</v>
      </c>
      <c r="G102" s="8">
        <v>0.55105683836589703</v>
      </c>
      <c r="H102" s="2">
        <f t="shared" si="40"/>
        <v>-0.27398086956521728</v>
      </c>
      <c r="I102" s="2">
        <f t="shared" si="41"/>
        <v>-0.31099999999999994</v>
      </c>
      <c r="J102" s="2">
        <f t="shared" si="42"/>
        <v>-0.23799999999999999</v>
      </c>
      <c r="K102" s="2">
        <f t="shared" si="43"/>
        <v>-0.29616047155478198</v>
      </c>
      <c r="L102" s="2">
        <f t="shared" si="44"/>
        <v>-0.13894300410752003</v>
      </c>
      <c r="M102" s="4">
        <f t="shared" si="45"/>
        <v>-0.24694316163410301</v>
      </c>
      <c r="N102" s="1">
        <f t="shared" si="46"/>
        <v>-0.32733676172666343</v>
      </c>
      <c r="O102" s="1">
        <f t="shared" si="47"/>
        <v>-0.37742718446601936</v>
      </c>
      <c r="P102" s="1">
        <f t="shared" si="48"/>
        <v>-0.40823327615780447</v>
      </c>
      <c r="Q102" s="1">
        <f t="shared" si="49"/>
        <v>-0.37576164022861303</v>
      </c>
      <c r="R102" s="1">
        <f t="shared" si="50"/>
        <v>-0.3187182792208576</v>
      </c>
      <c r="S102" s="1">
        <f t="shared" si="51"/>
        <v>-0.30945258350138222</v>
      </c>
      <c r="T102" s="3"/>
    </row>
    <row r="103" spans="1:20">
      <c r="A103" t="s">
        <v>70</v>
      </c>
      <c r="B103" s="7">
        <v>0.56699999999999995</v>
      </c>
      <c r="C103" s="7">
        <v>0.50600000000000001</v>
      </c>
      <c r="D103" s="7">
        <v>0.33500000000000002</v>
      </c>
      <c r="E103" s="7">
        <v>0.48570906200568098</v>
      </c>
      <c r="F103" s="7">
        <v>0.296783957059229</v>
      </c>
      <c r="G103" s="8">
        <v>0.55400000000000005</v>
      </c>
      <c r="H103" s="2">
        <f t="shared" si="40"/>
        <v>-0.27</v>
      </c>
      <c r="I103" s="2">
        <f t="shared" si="41"/>
        <v>-0.31799999999999995</v>
      </c>
      <c r="J103" s="2">
        <f t="shared" si="42"/>
        <v>-0.24799999999999994</v>
      </c>
      <c r="K103" s="2">
        <f t="shared" si="43"/>
        <v>-0.30245140954910099</v>
      </c>
      <c r="L103" s="2">
        <f t="shared" si="44"/>
        <v>-0.13915904704829102</v>
      </c>
      <c r="M103" s="4">
        <f t="shared" si="45"/>
        <v>-0.24399999999999999</v>
      </c>
      <c r="N103" s="1">
        <f t="shared" si="46"/>
        <v>-0.32258064516129037</v>
      </c>
      <c r="O103" s="1">
        <f t="shared" si="47"/>
        <v>-0.38592233009708732</v>
      </c>
      <c r="P103" s="1">
        <f t="shared" si="48"/>
        <v>-0.425385934819897</v>
      </c>
      <c r="Q103" s="1">
        <f t="shared" si="49"/>
        <v>-0.38374343863307886</v>
      </c>
      <c r="R103" s="1">
        <f t="shared" si="50"/>
        <v>-0.31921385533685304</v>
      </c>
      <c r="S103" s="1">
        <f t="shared" si="51"/>
        <v>-0.30576441102756891</v>
      </c>
      <c r="T103" s="3"/>
    </row>
    <row r="104" spans="1:20">
      <c r="A104" t="s">
        <v>37</v>
      </c>
      <c r="B104" s="7">
        <v>0.57199999999999995</v>
      </c>
      <c r="C104" s="7">
        <v>0.51500000000000001</v>
      </c>
      <c r="D104" s="7">
        <v>0.34200000000000003</v>
      </c>
      <c r="E104" s="7">
        <v>0.48699999999999999</v>
      </c>
      <c r="F104" s="7">
        <v>0.29599999999999999</v>
      </c>
      <c r="G104" s="8">
        <v>0.55400000000000005</v>
      </c>
      <c r="H104" s="2">
        <f t="shared" si="40"/>
        <v>-0.26500000000000001</v>
      </c>
      <c r="I104" s="2">
        <f t="shared" si="41"/>
        <v>-0.30899999999999994</v>
      </c>
      <c r="J104" s="2">
        <f t="shared" si="42"/>
        <v>-0.24099999999999994</v>
      </c>
      <c r="K104" s="2">
        <f t="shared" si="43"/>
        <v>-0.30116047155478198</v>
      </c>
      <c r="L104" s="2">
        <f t="shared" si="44"/>
        <v>-0.13994300410752003</v>
      </c>
      <c r="M104" s="4">
        <f t="shared" si="45"/>
        <v>-0.24399999999999999</v>
      </c>
      <c r="N104" s="1">
        <f t="shared" si="46"/>
        <v>-0.31660692951015534</v>
      </c>
      <c r="O104" s="1">
        <f t="shared" si="47"/>
        <v>-0.37499999999999994</v>
      </c>
      <c r="P104" s="1">
        <f t="shared" si="48"/>
        <v>-0.41337907375643218</v>
      </c>
      <c r="Q104" s="1">
        <f t="shared" si="49"/>
        <v>-0.38210552599864744</v>
      </c>
      <c r="R104" s="1">
        <f t="shared" si="50"/>
        <v>-0.32101215706859881</v>
      </c>
      <c r="S104" s="1">
        <f t="shared" si="51"/>
        <v>-0.30576441102756891</v>
      </c>
      <c r="T104" s="3"/>
    </row>
    <row r="105" spans="1:20">
      <c r="A105" t="s">
        <v>185</v>
      </c>
      <c r="B105" s="7">
        <v>0.55491806167400881</v>
      </c>
      <c r="C105" s="7">
        <v>0.503</v>
      </c>
      <c r="D105" s="7">
        <v>0.33200000000000002</v>
      </c>
      <c r="E105" s="7">
        <v>0.48499999999999999</v>
      </c>
      <c r="F105" s="7">
        <v>0.29599999999999999</v>
      </c>
      <c r="G105" s="8">
        <v>0.54876496872207325</v>
      </c>
      <c r="H105" s="2">
        <f t="shared" si="40"/>
        <v>-0.28208193832599116</v>
      </c>
      <c r="I105" s="2">
        <f t="shared" si="41"/>
        <v>-0.32099999999999995</v>
      </c>
      <c r="J105" s="2">
        <f t="shared" si="42"/>
        <v>-0.25099999999999995</v>
      </c>
      <c r="K105" s="2">
        <f t="shared" si="43"/>
        <v>-0.30316047155478199</v>
      </c>
      <c r="L105" s="2">
        <f t="shared" si="44"/>
        <v>-0.13994300410752003</v>
      </c>
      <c r="M105" s="4">
        <f t="shared" si="45"/>
        <v>-0.24923503127792679</v>
      </c>
      <c r="N105" s="1">
        <f t="shared" si="46"/>
        <v>-0.33701545797609456</v>
      </c>
      <c r="O105" s="1">
        <f t="shared" si="47"/>
        <v>-0.38956310679611644</v>
      </c>
      <c r="P105" s="1">
        <f t="shared" si="48"/>
        <v>-0.43053173241852483</v>
      </c>
      <c r="Q105" s="1">
        <f t="shared" si="49"/>
        <v>-0.38464308030666122</v>
      </c>
      <c r="R105" s="1">
        <f t="shared" si="50"/>
        <v>-0.32101215706859881</v>
      </c>
      <c r="S105" s="1">
        <f t="shared" si="51"/>
        <v>-0.31232460059890571</v>
      </c>
      <c r="T105" s="3"/>
    </row>
    <row r="106" spans="1:20">
      <c r="A106" t="s">
        <v>85</v>
      </c>
      <c r="B106" s="7">
        <v>0.61899999999999999</v>
      </c>
      <c r="C106" s="7">
        <v>0.58799999999999997</v>
      </c>
      <c r="D106" s="7">
        <v>0.34300000000000003</v>
      </c>
      <c r="E106" s="7">
        <v>0.54</v>
      </c>
      <c r="F106" s="7">
        <v>0.29499999999999998</v>
      </c>
      <c r="G106" s="8">
        <v>0.59299999999999997</v>
      </c>
      <c r="H106" s="2">
        <f t="shared" si="40"/>
        <v>-0.21799999999999997</v>
      </c>
      <c r="I106" s="2">
        <f t="shared" si="41"/>
        <v>-0.23599999999999999</v>
      </c>
      <c r="J106" s="2">
        <f t="shared" si="42"/>
        <v>-0.23999999999999994</v>
      </c>
      <c r="K106" s="2">
        <f t="shared" si="43"/>
        <v>-0.24816047155478194</v>
      </c>
      <c r="L106" s="2">
        <f t="shared" si="44"/>
        <v>-0.14094300410752003</v>
      </c>
      <c r="M106" s="4">
        <f t="shared" si="45"/>
        <v>-0.20500000000000007</v>
      </c>
      <c r="N106" s="1">
        <f t="shared" si="46"/>
        <v>-0.26045400238948624</v>
      </c>
      <c r="O106" s="1">
        <f t="shared" si="47"/>
        <v>-0.28640776699029125</v>
      </c>
      <c r="P106" s="1">
        <f t="shared" si="48"/>
        <v>-0.41166380789022289</v>
      </c>
      <c r="Q106" s="1">
        <f t="shared" si="49"/>
        <v>-0.31486033683628256</v>
      </c>
      <c r="R106" s="1">
        <f t="shared" si="50"/>
        <v>-0.32330603491634002</v>
      </c>
      <c r="S106" s="1">
        <f t="shared" si="51"/>
        <v>-0.25689223057644117</v>
      </c>
      <c r="T106" s="3"/>
    </row>
    <row r="107" spans="1:20">
      <c r="A107" t="s">
        <v>213</v>
      </c>
      <c r="B107" s="7">
        <v>0.56163461538461534</v>
      </c>
      <c r="C107" s="7">
        <v>0.50800000000000001</v>
      </c>
      <c r="D107" s="7">
        <v>0.33600000000000002</v>
      </c>
      <c r="E107" s="7">
        <v>0.47699999999999998</v>
      </c>
      <c r="F107" s="7">
        <v>0.28999999999999998</v>
      </c>
      <c r="G107" s="8">
        <v>0.54479140555058192</v>
      </c>
      <c r="H107" s="2">
        <f t="shared" si="40"/>
        <v>-0.27536538461538462</v>
      </c>
      <c r="I107" s="2">
        <f t="shared" si="41"/>
        <v>-0.31599999999999995</v>
      </c>
      <c r="J107" s="2">
        <f t="shared" si="42"/>
        <v>-0.24699999999999994</v>
      </c>
      <c r="K107" s="2">
        <f t="shared" si="43"/>
        <v>-0.31116047155478199</v>
      </c>
      <c r="L107" s="2">
        <f t="shared" si="44"/>
        <v>-0.14594300410752004</v>
      </c>
      <c r="M107" s="4">
        <f t="shared" si="45"/>
        <v>-0.25320859444941812</v>
      </c>
      <c r="N107" s="1">
        <f t="shared" si="46"/>
        <v>-0.32899090157154676</v>
      </c>
      <c r="O107" s="1">
        <f t="shared" si="47"/>
        <v>-0.3834951456310679</v>
      </c>
      <c r="P107" s="1">
        <f t="shared" si="48"/>
        <v>-0.42367066895368777</v>
      </c>
      <c r="Q107" s="1">
        <f t="shared" si="49"/>
        <v>-0.39479329753871634</v>
      </c>
      <c r="R107" s="1">
        <f t="shared" si="50"/>
        <v>-0.33477542415504613</v>
      </c>
      <c r="S107" s="1">
        <f t="shared" si="51"/>
        <v>-0.31730400306944623</v>
      </c>
      <c r="T107" s="3"/>
    </row>
    <row r="108" spans="1:20">
      <c r="A108" t="s">
        <v>188</v>
      </c>
      <c r="B108" s="7">
        <v>0.56030929626411818</v>
      </c>
      <c r="C108" s="7">
        <v>0.5</v>
      </c>
      <c r="D108" s="7">
        <v>0.32700000000000001</v>
      </c>
      <c r="E108" s="7">
        <v>0.48</v>
      </c>
      <c r="F108" s="7">
        <v>0.28799999999999998</v>
      </c>
      <c r="G108" s="8">
        <v>0.54934278122232061</v>
      </c>
      <c r="H108" s="2">
        <f t="shared" si="40"/>
        <v>-0.27669070373588178</v>
      </c>
      <c r="I108" s="2">
        <f t="shared" si="41"/>
        <v>-0.32399999999999995</v>
      </c>
      <c r="J108" s="2">
        <f t="shared" si="42"/>
        <v>-0.25599999999999995</v>
      </c>
      <c r="K108" s="2">
        <f t="shared" si="43"/>
        <v>-0.30816047155478199</v>
      </c>
      <c r="L108" s="2">
        <f t="shared" si="44"/>
        <v>-0.14794300410752004</v>
      </c>
      <c r="M108" s="4">
        <f t="shared" si="45"/>
        <v>-0.24865721877767943</v>
      </c>
      <c r="N108" s="1">
        <f t="shared" si="46"/>
        <v>-0.33057431748611921</v>
      </c>
      <c r="O108" s="1">
        <f t="shared" si="47"/>
        <v>-0.39320388349514562</v>
      </c>
      <c r="P108" s="1">
        <f t="shared" si="48"/>
        <v>-0.43910806174957112</v>
      </c>
      <c r="Q108" s="1">
        <f t="shared" si="49"/>
        <v>-0.39098696607669564</v>
      </c>
      <c r="R108" s="1">
        <f t="shared" si="50"/>
        <v>-0.33936317985052861</v>
      </c>
      <c r="S108" s="1">
        <f t="shared" si="51"/>
        <v>-0.31160052478405942</v>
      </c>
      <c r="T108" s="3"/>
    </row>
    <row r="109" spans="1:20">
      <c r="A109" t="s">
        <v>110</v>
      </c>
      <c r="B109" s="7">
        <v>0.56100000000000005</v>
      </c>
      <c r="C109" s="7">
        <v>0.51400000000000001</v>
      </c>
      <c r="D109" s="7">
        <v>0.33200000000000002</v>
      </c>
      <c r="E109" s="7">
        <v>0.48222214974315603</v>
      </c>
      <c r="F109" s="7">
        <v>0.28397512740748998</v>
      </c>
      <c r="G109" s="8">
        <v>0.53900000000000003</v>
      </c>
      <c r="H109" s="2">
        <f t="shared" si="40"/>
        <v>-0.27599999999999991</v>
      </c>
      <c r="I109" s="2">
        <f t="shared" si="41"/>
        <v>-0.30999999999999994</v>
      </c>
      <c r="J109" s="2">
        <f t="shared" si="42"/>
        <v>-0.25099999999999995</v>
      </c>
      <c r="K109" s="2">
        <f t="shared" si="43"/>
        <v>-0.30593832181162595</v>
      </c>
      <c r="L109" s="2">
        <f t="shared" si="44"/>
        <v>-0.15196787670003004</v>
      </c>
      <c r="M109" s="4">
        <f t="shared" si="45"/>
        <v>-0.25900000000000001</v>
      </c>
      <c r="N109" s="1">
        <f t="shared" si="46"/>
        <v>-0.32974910394265222</v>
      </c>
      <c r="O109" s="1">
        <f t="shared" si="47"/>
        <v>-0.37621359223300965</v>
      </c>
      <c r="P109" s="1">
        <f t="shared" si="48"/>
        <v>-0.43053173241852483</v>
      </c>
      <c r="Q109" s="1">
        <f t="shared" si="49"/>
        <v>-0.38816755324979701</v>
      </c>
      <c r="R109" s="1">
        <f t="shared" si="50"/>
        <v>-0.34859574593046805</v>
      </c>
      <c r="S109" s="1">
        <f t="shared" si="51"/>
        <v>-0.32456140350877194</v>
      </c>
      <c r="T109" s="3"/>
    </row>
    <row r="110" spans="1:20">
      <c r="A110" t="s">
        <v>56</v>
      </c>
      <c r="B110" s="7">
        <v>0.54500000000000004</v>
      </c>
      <c r="C110" s="7">
        <v>0.497</v>
      </c>
      <c r="D110" s="7">
        <v>0.32900000000000001</v>
      </c>
      <c r="E110" s="7">
        <v>0.47481729674536</v>
      </c>
      <c r="F110" s="7">
        <v>0.28356003792372803</v>
      </c>
      <c r="G110" s="8">
        <v>0.53300000000000003</v>
      </c>
      <c r="H110" s="2">
        <f t="shared" si="40"/>
        <v>-0.29199999999999993</v>
      </c>
      <c r="I110" s="2">
        <f t="shared" si="41"/>
        <v>-0.32699999999999996</v>
      </c>
      <c r="J110" s="2">
        <f t="shared" si="42"/>
        <v>-0.25399999999999995</v>
      </c>
      <c r="K110" s="2">
        <f t="shared" si="43"/>
        <v>-0.31334317480942198</v>
      </c>
      <c r="L110" s="2">
        <f t="shared" si="44"/>
        <v>-0.15238296618379199</v>
      </c>
      <c r="M110" s="4">
        <f t="shared" si="45"/>
        <v>-0.26500000000000001</v>
      </c>
      <c r="N110" s="1">
        <f t="shared" si="46"/>
        <v>-0.34886499402628429</v>
      </c>
      <c r="O110" s="1">
        <f t="shared" si="47"/>
        <v>-0.39684466019417475</v>
      </c>
      <c r="P110" s="1">
        <f t="shared" si="48"/>
        <v>-0.43567753001715259</v>
      </c>
      <c r="Q110" s="1">
        <f t="shared" si="49"/>
        <v>-0.39756266156218001</v>
      </c>
      <c r="R110" s="1">
        <f t="shared" si="50"/>
        <v>-0.34954791050209993</v>
      </c>
      <c r="S110" s="1">
        <f t="shared" si="51"/>
        <v>-0.33208020050125314</v>
      </c>
      <c r="T110" s="3"/>
    </row>
    <row r="111" spans="1:20">
      <c r="A111" t="s">
        <v>116</v>
      </c>
      <c r="B111" s="7">
        <v>0.56399999999999995</v>
      </c>
      <c r="C111" s="7">
        <v>0.51200000000000001</v>
      </c>
      <c r="D111" s="7">
        <v>0.32700000000000001</v>
      </c>
      <c r="E111" s="7">
        <v>0.47199999999999998</v>
      </c>
      <c r="F111" s="7">
        <v>0.27800000000000002</v>
      </c>
      <c r="G111" s="8">
        <v>0.54</v>
      </c>
      <c r="H111" s="2">
        <f t="shared" si="40"/>
        <v>-0.27300000000000002</v>
      </c>
      <c r="I111" s="2">
        <f t="shared" si="41"/>
        <v>-0.31199999999999994</v>
      </c>
      <c r="J111" s="2">
        <f t="shared" si="42"/>
        <v>-0.25599999999999995</v>
      </c>
      <c r="K111" s="2">
        <f t="shared" si="43"/>
        <v>-0.316160471554782</v>
      </c>
      <c r="L111" s="2">
        <f t="shared" si="44"/>
        <v>-0.15794300410751999</v>
      </c>
      <c r="M111" s="4">
        <f t="shared" si="45"/>
        <v>-0.25800000000000001</v>
      </c>
      <c r="N111" s="1">
        <f t="shared" si="46"/>
        <v>-0.32616487455197135</v>
      </c>
      <c r="O111" s="1">
        <f t="shared" si="47"/>
        <v>-0.37864077669902907</v>
      </c>
      <c r="P111" s="1">
        <f t="shared" si="48"/>
        <v>-0.43910806174957112</v>
      </c>
      <c r="Q111" s="1">
        <f t="shared" si="49"/>
        <v>-0.40113718330875076</v>
      </c>
      <c r="R111" s="1">
        <f t="shared" si="50"/>
        <v>-0.36230195832794071</v>
      </c>
      <c r="S111" s="1">
        <f t="shared" si="51"/>
        <v>-0.32330827067669171</v>
      </c>
      <c r="T111" s="3"/>
    </row>
    <row r="112" spans="1:20">
      <c r="A112" t="s">
        <v>62</v>
      </c>
      <c r="B112" s="7">
        <v>0.56299999999999994</v>
      </c>
      <c r="C112" s="7">
        <v>0.502</v>
      </c>
      <c r="D112" s="7">
        <v>0.32300000000000001</v>
      </c>
      <c r="E112" s="7">
        <v>0.46976137779338101</v>
      </c>
      <c r="F112" s="7">
        <v>0.27661869953808599</v>
      </c>
      <c r="G112" s="8">
        <v>0.54700000000000004</v>
      </c>
      <c r="H112" s="2">
        <f t="shared" si="40"/>
        <v>-0.27400000000000002</v>
      </c>
      <c r="I112" s="2">
        <f t="shared" si="41"/>
        <v>-0.32199999999999995</v>
      </c>
      <c r="J112" s="2">
        <f t="shared" si="42"/>
        <v>-0.25999999999999995</v>
      </c>
      <c r="K112" s="2">
        <f t="shared" si="43"/>
        <v>-0.31839909376140096</v>
      </c>
      <c r="L112" s="2">
        <f t="shared" si="44"/>
        <v>-0.15932430456943403</v>
      </c>
      <c r="M112" s="4">
        <f t="shared" si="45"/>
        <v>-0.251</v>
      </c>
      <c r="N112" s="1">
        <f t="shared" si="46"/>
        <v>-0.32735961768219835</v>
      </c>
      <c r="O112" s="1">
        <f t="shared" si="47"/>
        <v>-0.39077669902912615</v>
      </c>
      <c r="P112" s="1">
        <f t="shared" si="48"/>
        <v>-0.44596912521440818</v>
      </c>
      <c r="Q112" s="1">
        <f t="shared" si="49"/>
        <v>-0.40397749602096134</v>
      </c>
      <c r="R112" s="1">
        <f t="shared" si="50"/>
        <v>-0.3654704928586</v>
      </c>
      <c r="S112" s="1">
        <f t="shared" si="51"/>
        <v>-0.31453634085213034</v>
      </c>
      <c r="T112" s="3"/>
    </row>
    <row r="113" spans="1:20">
      <c r="A113" t="s">
        <v>58</v>
      </c>
      <c r="B113" s="7">
        <v>0.55900000000000005</v>
      </c>
      <c r="C113" s="7">
        <v>0.502</v>
      </c>
      <c r="D113" s="7">
        <v>0.32100000000000001</v>
      </c>
      <c r="E113" s="7">
        <v>0.46720894379306999</v>
      </c>
      <c r="F113" s="7">
        <v>0.27640731510046201</v>
      </c>
      <c r="G113" s="8">
        <v>0.54200000000000004</v>
      </c>
      <c r="H113" s="2">
        <f t="shared" si="40"/>
        <v>-0.27799999999999991</v>
      </c>
      <c r="I113" s="2">
        <f t="shared" si="41"/>
        <v>-0.32199999999999995</v>
      </c>
      <c r="J113" s="2">
        <f t="shared" si="42"/>
        <v>-0.26199999999999996</v>
      </c>
      <c r="K113" s="2">
        <f t="shared" si="43"/>
        <v>-0.32095152776171199</v>
      </c>
      <c r="L113" s="2">
        <f t="shared" si="44"/>
        <v>-0.159535689007058</v>
      </c>
      <c r="M113" s="4">
        <f t="shared" si="45"/>
        <v>-0.25600000000000001</v>
      </c>
      <c r="N113" s="1">
        <f t="shared" si="46"/>
        <v>-0.33213859020310627</v>
      </c>
      <c r="O113" s="1">
        <f t="shared" si="47"/>
        <v>-0.39077669902912615</v>
      </c>
      <c r="P113" s="1">
        <f t="shared" si="48"/>
        <v>-0.44939965694682671</v>
      </c>
      <c r="Q113" s="1">
        <f t="shared" si="49"/>
        <v>-0.4072159659676664</v>
      </c>
      <c r="R113" s="1">
        <f t="shared" si="50"/>
        <v>-0.36595538293742286</v>
      </c>
      <c r="S113" s="1">
        <f t="shared" si="51"/>
        <v>-0.32080200501253131</v>
      </c>
      <c r="T113" s="3"/>
    </row>
    <row r="114" spans="1:20">
      <c r="A114" t="s">
        <v>31</v>
      </c>
      <c r="B114" s="7">
        <v>0.56799999999999995</v>
      </c>
      <c r="C114" s="7">
        <v>0.504</v>
      </c>
      <c r="D114" s="7">
        <v>0.32500000000000001</v>
      </c>
      <c r="E114" s="7">
        <v>0.47099999999999997</v>
      </c>
      <c r="F114" s="7">
        <v>0.27500000000000002</v>
      </c>
      <c r="G114" s="8">
        <v>0.54200000000000004</v>
      </c>
      <c r="H114" s="2">
        <f t="shared" si="40"/>
        <v>-0.26900000000000002</v>
      </c>
      <c r="I114" s="2">
        <f t="shared" si="41"/>
        <v>-0.31999999999999995</v>
      </c>
      <c r="J114" s="2">
        <f t="shared" si="42"/>
        <v>-0.25799999999999995</v>
      </c>
      <c r="K114" s="2">
        <f t="shared" si="43"/>
        <v>-0.317160471554782</v>
      </c>
      <c r="L114" s="2">
        <f t="shared" si="44"/>
        <v>-0.16094300410751999</v>
      </c>
      <c r="M114" s="4">
        <f t="shared" si="45"/>
        <v>-0.25600000000000001</v>
      </c>
      <c r="N114" s="1">
        <f t="shared" si="46"/>
        <v>-0.32138590203106338</v>
      </c>
      <c r="O114" s="1">
        <f t="shared" si="47"/>
        <v>-0.38834951456310673</v>
      </c>
      <c r="P114" s="1">
        <f t="shared" si="48"/>
        <v>-0.44253859348198965</v>
      </c>
      <c r="Q114" s="1">
        <f t="shared" si="49"/>
        <v>-0.40240596046275762</v>
      </c>
      <c r="R114" s="1">
        <f t="shared" si="50"/>
        <v>-0.36918359187116434</v>
      </c>
      <c r="S114" s="1">
        <f t="shared" si="51"/>
        <v>-0.32080200501253131</v>
      </c>
      <c r="T114" s="3"/>
    </row>
    <row r="115" spans="1:20">
      <c r="A115" t="s">
        <v>46</v>
      </c>
      <c r="B115" s="7">
        <v>0.55500000000000005</v>
      </c>
      <c r="C115" s="7">
        <v>0.50600000000000001</v>
      </c>
      <c r="D115" s="7">
        <v>0.32200000000000001</v>
      </c>
      <c r="E115" s="7">
        <v>0.47</v>
      </c>
      <c r="F115" s="7">
        <v>0.27400000000000002</v>
      </c>
      <c r="G115" s="8">
        <v>0.53100000000000003</v>
      </c>
      <c r="H115" s="2">
        <f t="shared" si="40"/>
        <v>-0.28199999999999992</v>
      </c>
      <c r="I115" s="2">
        <f t="shared" si="41"/>
        <v>-0.31799999999999995</v>
      </c>
      <c r="J115" s="2">
        <f t="shared" si="42"/>
        <v>-0.26099999999999995</v>
      </c>
      <c r="K115" s="2">
        <f t="shared" si="43"/>
        <v>-0.318160471554782</v>
      </c>
      <c r="L115" s="2">
        <f t="shared" si="44"/>
        <v>-0.16194300410751999</v>
      </c>
      <c r="M115" s="4">
        <f t="shared" si="45"/>
        <v>-0.26700000000000002</v>
      </c>
      <c r="N115" s="1">
        <f t="shared" si="46"/>
        <v>-0.33691756272401424</v>
      </c>
      <c r="O115" s="1">
        <f t="shared" si="47"/>
        <v>-0.38592233009708732</v>
      </c>
      <c r="P115" s="1">
        <f t="shared" si="48"/>
        <v>-0.44768439108061747</v>
      </c>
      <c r="Q115" s="1">
        <f t="shared" si="49"/>
        <v>-0.40367473761676453</v>
      </c>
      <c r="R115" s="1">
        <f t="shared" si="50"/>
        <v>-0.37147746971890555</v>
      </c>
      <c r="S115" s="1">
        <f t="shared" si="51"/>
        <v>-0.33458646616541354</v>
      </c>
      <c r="T115" s="3"/>
    </row>
    <row r="116" spans="1:20">
      <c r="A116" t="s">
        <v>72</v>
      </c>
      <c r="B116" s="7">
        <v>0.52500000000000002</v>
      </c>
      <c r="C116" s="7">
        <v>0.48199999999999998</v>
      </c>
      <c r="D116" s="7">
        <v>0.31900000000000001</v>
      </c>
      <c r="E116" s="7">
        <v>0.45741742104883198</v>
      </c>
      <c r="F116" s="7">
        <v>0.27325537357125201</v>
      </c>
      <c r="G116" s="8">
        <v>0.51200000000000001</v>
      </c>
      <c r="H116" s="2">
        <f t="shared" si="40"/>
        <v>-0.31199999999999994</v>
      </c>
      <c r="I116" s="2">
        <f t="shared" si="41"/>
        <v>-0.34199999999999997</v>
      </c>
      <c r="J116" s="2">
        <f t="shared" si="42"/>
        <v>-0.26399999999999996</v>
      </c>
      <c r="K116" s="2">
        <f t="shared" si="43"/>
        <v>-0.33074305050594999</v>
      </c>
      <c r="L116" s="2">
        <f t="shared" si="44"/>
        <v>-0.162687630536268</v>
      </c>
      <c r="M116" s="4">
        <f t="shared" si="45"/>
        <v>-0.28600000000000003</v>
      </c>
      <c r="N116" s="1">
        <f t="shared" si="46"/>
        <v>-0.37275985663082434</v>
      </c>
      <c r="O116" s="1">
        <f t="shared" si="47"/>
        <v>-0.41504854368932037</v>
      </c>
      <c r="P116" s="1">
        <f t="shared" si="48"/>
        <v>-0.45283018867924524</v>
      </c>
      <c r="Q116" s="1">
        <f t="shared" si="49"/>
        <v>-0.41963922632849437</v>
      </c>
      <c r="R116" s="1">
        <f t="shared" si="50"/>
        <v>-0.37318555178865326</v>
      </c>
      <c r="S116" s="1">
        <f t="shared" si="51"/>
        <v>-0.35839598997493738</v>
      </c>
      <c r="T116" s="3"/>
    </row>
    <row r="117" spans="1:20">
      <c r="A117" t="s">
        <v>109</v>
      </c>
      <c r="B117" s="7">
        <v>0.60899999999999999</v>
      </c>
      <c r="C117" s="7">
        <v>0.53300000000000003</v>
      </c>
      <c r="D117" s="7">
        <v>0.32100000000000001</v>
      </c>
      <c r="E117" s="7">
        <v>0.47</v>
      </c>
      <c r="F117" s="7">
        <v>0.27300000000000002</v>
      </c>
      <c r="G117" s="8">
        <v>0.57199999999999995</v>
      </c>
      <c r="H117" s="2">
        <f t="shared" si="40"/>
        <v>-0.22799999999999998</v>
      </c>
      <c r="I117" s="2">
        <f t="shared" si="41"/>
        <v>-0.29099999999999993</v>
      </c>
      <c r="J117" s="2">
        <f t="shared" si="42"/>
        <v>-0.26199999999999996</v>
      </c>
      <c r="K117" s="2">
        <f t="shared" si="43"/>
        <v>-0.318160471554782</v>
      </c>
      <c r="L117" s="2">
        <f t="shared" si="44"/>
        <v>-0.16294300410752</v>
      </c>
      <c r="M117" s="4">
        <f t="shared" si="45"/>
        <v>-0.22600000000000009</v>
      </c>
      <c r="N117" s="1">
        <f t="shared" si="46"/>
        <v>-0.27240143369175623</v>
      </c>
      <c r="O117" s="1">
        <f t="shared" si="47"/>
        <v>-0.3531553398058252</v>
      </c>
      <c r="P117" s="1">
        <f t="shared" si="48"/>
        <v>-0.44939965694682671</v>
      </c>
      <c r="Q117" s="1">
        <f t="shared" si="49"/>
        <v>-0.40367473761676453</v>
      </c>
      <c r="R117" s="1">
        <f t="shared" si="50"/>
        <v>-0.37377134756664682</v>
      </c>
      <c r="S117" s="1">
        <f t="shared" si="51"/>
        <v>-0.28320802005012541</v>
      </c>
      <c r="T117" s="3"/>
    </row>
    <row r="118" spans="1:20">
      <c r="A118" t="s">
        <v>50</v>
      </c>
      <c r="B118" s="7">
        <v>0.55800000000000005</v>
      </c>
      <c r="C118" s="7">
        <v>0.50900000000000001</v>
      </c>
      <c r="D118" s="7">
        <v>0.32900000000000001</v>
      </c>
      <c r="E118" s="7">
        <v>0.47199999999999998</v>
      </c>
      <c r="F118" s="7">
        <v>0.27300000000000002</v>
      </c>
      <c r="G118" s="8">
        <v>0.53100000000000003</v>
      </c>
      <c r="H118" s="2">
        <f t="shared" si="40"/>
        <v>-0.27899999999999991</v>
      </c>
      <c r="I118" s="2">
        <f t="shared" si="41"/>
        <v>-0.31499999999999995</v>
      </c>
      <c r="J118" s="2">
        <f t="shared" si="42"/>
        <v>-0.25399999999999995</v>
      </c>
      <c r="K118" s="2">
        <f t="shared" si="43"/>
        <v>-0.316160471554782</v>
      </c>
      <c r="L118" s="2">
        <f t="shared" si="44"/>
        <v>-0.16294300410752</v>
      </c>
      <c r="M118" s="4">
        <f t="shared" si="45"/>
        <v>-0.26700000000000002</v>
      </c>
      <c r="N118" s="1">
        <f t="shared" si="46"/>
        <v>-0.33333333333333326</v>
      </c>
      <c r="O118" s="1">
        <f t="shared" si="47"/>
        <v>-0.38228155339805819</v>
      </c>
      <c r="P118" s="1">
        <f t="shared" si="48"/>
        <v>-0.43567753001715259</v>
      </c>
      <c r="Q118" s="1">
        <f t="shared" si="49"/>
        <v>-0.40113718330875076</v>
      </c>
      <c r="R118" s="1">
        <f t="shared" si="50"/>
        <v>-0.37377134756664682</v>
      </c>
      <c r="S118" s="1">
        <f t="shared" si="51"/>
        <v>-0.33458646616541354</v>
      </c>
      <c r="T118" s="3"/>
    </row>
    <row r="119" spans="1:20">
      <c r="A119" t="s">
        <v>54</v>
      </c>
      <c r="B119" s="7">
        <v>0.56499999999999995</v>
      </c>
      <c r="C119" s="7">
        <v>0.48899999999999999</v>
      </c>
      <c r="D119" s="7">
        <v>0.318</v>
      </c>
      <c r="E119" s="7">
        <v>0.45764182026479699</v>
      </c>
      <c r="F119" s="7">
        <v>0.27268994928677698</v>
      </c>
      <c r="G119" s="8">
        <v>0.54</v>
      </c>
      <c r="H119" s="2">
        <f t="shared" si="40"/>
        <v>-0.27200000000000002</v>
      </c>
      <c r="I119" s="2">
        <f t="shared" si="41"/>
        <v>-0.33499999999999996</v>
      </c>
      <c r="J119" s="2">
        <f t="shared" si="42"/>
        <v>-0.26499999999999996</v>
      </c>
      <c r="K119" s="2">
        <f t="shared" si="43"/>
        <v>-0.33051865128998498</v>
      </c>
      <c r="L119" s="2">
        <f t="shared" si="44"/>
        <v>-0.16325305482074304</v>
      </c>
      <c r="M119" s="4">
        <f t="shared" si="45"/>
        <v>-0.25800000000000001</v>
      </c>
      <c r="N119" s="1">
        <f t="shared" si="46"/>
        <v>-0.32497013142174436</v>
      </c>
      <c r="O119" s="1">
        <f t="shared" si="47"/>
        <v>-0.40655339805825241</v>
      </c>
      <c r="P119" s="1">
        <f t="shared" si="48"/>
        <v>-0.45454545454545447</v>
      </c>
      <c r="Q119" s="1">
        <f t="shared" si="49"/>
        <v>-0.4193545137299009</v>
      </c>
      <c r="R119" s="1">
        <f t="shared" si="50"/>
        <v>-0.37448256602938551</v>
      </c>
      <c r="S119" s="1">
        <f t="shared" si="51"/>
        <v>-0.32330827067669171</v>
      </c>
      <c r="T119" s="3"/>
    </row>
    <row r="120" spans="1:20">
      <c r="A120" t="s">
        <v>192</v>
      </c>
      <c r="B120" s="7">
        <v>0.52227488151658774</v>
      </c>
      <c r="C120" s="7">
        <v>0.48</v>
      </c>
      <c r="D120" s="7">
        <v>0.317</v>
      </c>
      <c r="E120" s="7">
        <v>0.45600000000000002</v>
      </c>
      <c r="F120" s="7">
        <v>0.27100000000000002</v>
      </c>
      <c r="G120" s="8">
        <v>0.50490000000000002</v>
      </c>
      <c r="H120" s="2">
        <f t="shared" si="40"/>
        <v>-0.31472511848341223</v>
      </c>
      <c r="I120" s="2">
        <f t="shared" si="41"/>
        <v>-0.34399999999999997</v>
      </c>
      <c r="J120" s="2">
        <f t="shared" si="42"/>
        <v>-0.26599999999999996</v>
      </c>
      <c r="K120" s="2">
        <f t="shared" si="43"/>
        <v>-0.33216047155478196</v>
      </c>
      <c r="L120" s="2">
        <f t="shared" si="44"/>
        <v>-0.16494300410752</v>
      </c>
      <c r="M120" s="4">
        <f t="shared" si="45"/>
        <v>-0.29310000000000003</v>
      </c>
      <c r="N120" s="1">
        <f t="shared" si="46"/>
        <v>-0.37601567321793578</v>
      </c>
      <c r="O120" s="1">
        <f t="shared" si="47"/>
        <v>-0.41747572815533979</v>
      </c>
      <c r="P120" s="1">
        <f t="shared" si="48"/>
        <v>-0.45626072041166377</v>
      </c>
      <c r="Q120" s="1">
        <f t="shared" si="49"/>
        <v>-0.42143761777286082</v>
      </c>
      <c r="R120" s="1">
        <f t="shared" si="50"/>
        <v>-0.37835910326212924</v>
      </c>
      <c r="S120" s="1">
        <f t="shared" si="51"/>
        <v>-0.36729323308270678</v>
      </c>
      <c r="T120" s="3"/>
    </row>
    <row r="121" spans="1:20">
      <c r="A121" t="s">
        <v>41</v>
      </c>
      <c r="B121" s="7">
        <v>0.52100000000000002</v>
      </c>
      <c r="C121" s="7">
        <v>0.47499999999999998</v>
      </c>
      <c r="D121" s="7">
        <v>0.314</v>
      </c>
      <c r="E121" s="7">
        <v>0.45500000000000002</v>
      </c>
      <c r="F121" s="7">
        <v>0.26900000000000002</v>
      </c>
      <c r="G121" s="8">
        <v>0.50900000000000001</v>
      </c>
      <c r="H121" s="2">
        <f t="shared" si="40"/>
        <v>-0.31599999999999995</v>
      </c>
      <c r="I121" s="2">
        <f t="shared" si="41"/>
        <v>-0.34899999999999998</v>
      </c>
      <c r="J121" s="2">
        <f t="shared" si="42"/>
        <v>-0.26899999999999996</v>
      </c>
      <c r="K121" s="2">
        <f t="shared" si="43"/>
        <v>-0.33316047155478196</v>
      </c>
      <c r="L121" s="2">
        <f t="shared" si="44"/>
        <v>-0.16694300410752</v>
      </c>
      <c r="M121" s="4">
        <f t="shared" si="45"/>
        <v>-0.28900000000000003</v>
      </c>
      <c r="N121" s="1">
        <f t="shared" si="46"/>
        <v>-0.37753882915173231</v>
      </c>
      <c r="O121" s="1">
        <f t="shared" si="47"/>
        <v>-0.42354368932038833</v>
      </c>
      <c r="P121" s="1">
        <f t="shared" si="48"/>
        <v>-0.46140651801029153</v>
      </c>
      <c r="Q121" s="1">
        <f t="shared" si="49"/>
        <v>-0.42270639492686773</v>
      </c>
      <c r="R121" s="1">
        <f t="shared" si="50"/>
        <v>-0.38294685895761166</v>
      </c>
      <c r="S121" s="1">
        <f t="shared" si="51"/>
        <v>-0.36215538847117795</v>
      </c>
      <c r="T121" s="3"/>
    </row>
    <row r="122" spans="1:20">
      <c r="A122" t="s">
        <v>195</v>
      </c>
      <c r="B122" s="7">
        <v>0.55820350877192981</v>
      </c>
      <c r="C122" s="7">
        <v>0.50600000000000001</v>
      </c>
      <c r="D122" s="7">
        <v>0.318</v>
      </c>
      <c r="E122" s="7">
        <v>0.47099999999999997</v>
      </c>
      <c r="F122" s="7">
        <v>0.26800000000000002</v>
      </c>
      <c r="G122" s="8">
        <v>0.52800000000000002</v>
      </c>
      <c r="H122" s="2">
        <f t="shared" si="40"/>
        <v>-0.27879649122807015</v>
      </c>
      <c r="I122" s="2">
        <f t="shared" si="41"/>
        <v>-0.31799999999999995</v>
      </c>
      <c r="J122" s="2">
        <f t="shared" si="42"/>
        <v>-0.26499999999999996</v>
      </c>
      <c r="K122" s="2">
        <f t="shared" si="43"/>
        <v>-0.317160471554782</v>
      </c>
      <c r="L122" s="2">
        <f t="shared" si="44"/>
        <v>-0.16794300410752</v>
      </c>
      <c r="M122" s="4">
        <f t="shared" si="45"/>
        <v>-0.27</v>
      </c>
      <c r="N122" s="1">
        <f t="shared" si="46"/>
        <v>-0.33309019262612921</v>
      </c>
      <c r="O122" s="1">
        <f t="shared" si="47"/>
        <v>-0.38592233009708732</v>
      </c>
      <c r="P122" s="1">
        <f t="shared" si="48"/>
        <v>-0.45454545454545447</v>
      </c>
      <c r="Q122" s="1">
        <f t="shared" si="49"/>
        <v>-0.40240596046275762</v>
      </c>
      <c r="R122" s="1">
        <f t="shared" si="50"/>
        <v>-0.38524073680535292</v>
      </c>
      <c r="S122" s="1">
        <f t="shared" si="51"/>
        <v>-0.33834586466165412</v>
      </c>
      <c r="T122" s="3"/>
    </row>
    <row r="123" spans="1:20">
      <c r="A123" t="s">
        <v>66</v>
      </c>
      <c r="B123" s="7">
        <v>0.54600000000000004</v>
      </c>
      <c r="C123" s="7">
        <v>0.47799999999999998</v>
      </c>
      <c r="D123" s="7">
        <v>0.30599999999999999</v>
      </c>
      <c r="E123" s="7">
        <v>0.44812636868435801</v>
      </c>
      <c r="F123" s="7">
        <v>0.26402144599219302</v>
      </c>
      <c r="G123" s="8">
        <v>0.52700000000000002</v>
      </c>
      <c r="H123" s="2">
        <f t="shared" si="40"/>
        <v>-0.29099999999999993</v>
      </c>
      <c r="I123" s="2">
        <f t="shared" si="41"/>
        <v>-0.34599999999999997</v>
      </c>
      <c r="J123" s="2">
        <f t="shared" si="42"/>
        <v>-0.27699999999999997</v>
      </c>
      <c r="K123" s="2">
        <f t="shared" si="43"/>
        <v>-0.34003410287042396</v>
      </c>
      <c r="L123" s="2">
        <f t="shared" si="44"/>
        <v>-0.171921558115327</v>
      </c>
      <c r="M123" s="4">
        <f t="shared" si="45"/>
        <v>-0.27100000000000002</v>
      </c>
      <c r="N123" s="1">
        <f t="shared" si="46"/>
        <v>-0.3476702508960573</v>
      </c>
      <c r="O123" s="1">
        <f t="shared" si="47"/>
        <v>-0.4199029126213592</v>
      </c>
      <c r="P123" s="1">
        <f t="shared" si="48"/>
        <v>-0.47512864493996565</v>
      </c>
      <c r="Q123" s="1">
        <f t="shared" si="49"/>
        <v>-0.43142750130522056</v>
      </c>
      <c r="R123" s="1">
        <f t="shared" si="50"/>
        <v>-0.39436705370990344</v>
      </c>
      <c r="S123" s="1">
        <f t="shared" si="51"/>
        <v>-0.33959899749373434</v>
      </c>
      <c r="T123" s="3"/>
    </row>
    <row r="124" spans="1:20">
      <c r="A124" t="s">
        <v>122</v>
      </c>
      <c r="B124" s="7">
        <v>0.55800000000000005</v>
      </c>
      <c r="C124" s="7">
        <v>0.502</v>
      </c>
      <c r="D124" s="7">
        <v>0.317</v>
      </c>
      <c r="E124" s="7">
        <v>0.46400000000000002</v>
      </c>
      <c r="F124" s="7">
        <v>0.26400000000000001</v>
      </c>
      <c r="G124" s="8">
        <v>0.52600000000000002</v>
      </c>
      <c r="H124" s="2">
        <f t="shared" si="40"/>
        <v>-0.27899999999999991</v>
      </c>
      <c r="I124" s="2">
        <f t="shared" si="41"/>
        <v>-0.32199999999999995</v>
      </c>
      <c r="J124" s="2">
        <f t="shared" si="42"/>
        <v>-0.26599999999999996</v>
      </c>
      <c r="K124" s="2">
        <f t="shared" si="43"/>
        <v>-0.32416047155478195</v>
      </c>
      <c r="L124" s="2">
        <f t="shared" si="44"/>
        <v>-0.17194300410752</v>
      </c>
      <c r="M124" s="4">
        <f t="shared" si="45"/>
        <v>-0.27200000000000002</v>
      </c>
      <c r="N124" s="1">
        <f t="shared" si="46"/>
        <v>-0.33333333333333326</v>
      </c>
      <c r="O124" s="1">
        <f t="shared" si="47"/>
        <v>-0.39077669902912615</v>
      </c>
      <c r="P124" s="1">
        <f t="shared" si="48"/>
        <v>-0.45626072041166377</v>
      </c>
      <c r="Q124" s="1">
        <f t="shared" si="49"/>
        <v>-0.41128740054080576</v>
      </c>
      <c r="R124" s="1">
        <f t="shared" si="50"/>
        <v>-0.39441624819631782</v>
      </c>
      <c r="S124" s="1">
        <f t="shared" si="51"/>
        <v>-0.34085213032581452</v>
      </c>
      <c r="T124" s="3"/>
    </row>
    <row r="125" spans="1:20">
      <c r="A125" t="s">
        <v>181</v>
      </c>
      <c r="B125" s="7">
        <v>0.54523461195361289</v>
      </c>
      <c r="C125" s="7">
        <v>0.48099999999999998</v>
      </c>
      <c r="D125" s="7">
        <v>0.30599999999999999</v>
      </c>
      <c r="E125" s="7">
        <v>0.44500000000000001</v>
      </c>
      <c r="F125" s="7">
        <v>0.26200000000000001</v>
      </c>
      <c r="G125" s="8">
        <v>0.51436105860113424</v>
      </c>
      <c r="H125" s="2">
        <f t="shared" si="40"/>
        <v>-0.29176538804638708</v>
      </c>
      <c r="I125" s="2">
        <f t="shared" si="41"/>
        <v>-0.34299999999999997</v>
      </c>
      <c r="J125" s="2">
        <f t="shared" si="42"/>
        <v>-0.27699999999999997</v>
      </c>
      <c r="K125" s="2">
        <f t="shared" si="43"/>
        <v>-0.34316047155478197</v>
      </c>
      <c r="L125" s="2">
        <f t="shared" si="44"/>
        <v>-0.17394300410752001</v>
      </c>
      <c r="M125" s="4">
        <f t="shared" si="45"/>
        <v>-0.28363894139886581</v>
      </c>
      <c r="N125" s="1">
        <f t="shared" si="46"/>
        <v>-0.34858469300643619</v>
      </c>
      <c r="O125" s="1">
        <f t="shared" si="47"/>
        <v>-0.41626213592233008</v>
      </c>
      <c r="P125" s="1">
        <f t="shared" si="48"/>
        <v>-0.47512864493996565</v>
      </c>
      <c r="Q125" s="1">
        <f t="shared" si="49"/>
        <v>-0.43539416646693657</v>
      </c>
      <c r="R125" s="1">
        <f t="shared" si="50"/>
        <v>-0.39900400389180024</v>
      </c>
      <c r="S125" s="1">
        <f t="shared" si="51"/>
        <v>-0.3554372699233907</v>
      </c>
      <c r="T125" s="3"/>
    </row>
    <row r="126" spans="1:20">
      <c r="A126" t="s">
        <v>64</v>
      </c>
      <c r="B126" s="7">
        <v>0.51800000000000002</v>
      </c>
      <c r="C126" s="7">
        <v>0.47099999999999997</v>
      </c>
      <c r="D126" s="7">
        <v>0.311</v>
      </c>
      <c r="E126" s="7">
        <v>0.44685446395785799</v>
      </c>
      <c r="F126" s="7">
        <v>0.26177426201938497</v>
      </c>
      <c r="G126" s="8">
        <v>0.505</v>
      </c>
      <c r="H126" s="2">
        <f t="shared" si="40"/>
        <v>-0.31899999999999995</v>
      </c>
      <c r="I126" s="2">
        <f t="shared" si="41"/>
        <v>-0.35299999999999998</v>
      </c>
      <c r="J126" s="2">
        <f t="shared" si="42"/>
        <v>-0.27199999999999996</v>
      </c>
      <c r="K126" s="2">
        <f t="shared" si="43"/>
        <v>-0.34130600759692398</v>
      </c>
      <c r="L126" s="2">
        <f t="shared" si="44"/>
        <v>-0.17416874208813504</v>
      </c>
      <c r="M126" s="4">
        <f t="shared" si="45"/>
        <v>-0.29300000000000004</v>
      </c>
      <c r="N126" s="1">
        <f t="shared" si="46"/>
        <v>-0.38112305854241335</v>
      </c>
      <c r="O126" s="1">
        <f t="shared" si="47"/>
        <v>-0.42839805825242716</v>
      </c>
      <c r="P126" s="1">
        <f t="shared" si="48"/>
        <v>-0.46655231560891935</v>
      </c>
      <c r="Q126" s="1">
        <f t="shared" si="49"/>
        <v>-0.43304126496427714</v>
      </c>
      <c r="R126" s="1">
        <f t="shared" si="50"/>
        <v>-0.39952181924492691</v>
      </c>
      <c r="S126" s="1">
        <f t="shared" si="51"/>
        <v>-0.36716791979949875</v>
      </c>
      <c r="T126" s="3"/>
    </row>
    <row r="127" spans="1:20">
      <c r="A127" t="s">
        <v>35</v>
      </c>
      <c r="B127" s="7">
        <v>0.51100000000000001</v>
      </c>
      <c r="C127" s="7">
        <v>0.46800000000000003</v>
      </c>
      <c r="D127" s="7">
        <v>0.309</v>
      </c>
      <c r="E127" s="7">
        <v>0.44500000000000001</v>
      </c>
      <c r="F127" s="7">
        <v>0.26100000000000001</v>
      </c>
      <c r="G127" s="8">
        <v>0.497</v>
      </c>
      <c r="H127" s="2">
        <f t="shared" si="40"/>
        <v>-0.32599999999999996</v>
      </c>
      <c r="I127" s="2">
        <f t="shared" si="41"/>
        <v>-0.35599999999999993</v>
      </c>
      <c r="J127" s="2">
        <f t="shared" si="42"/>
        <v>-0.27399999999999997</v>
      </c>
      <c r="K127" s="2">
        <f t="shared" si="43"/>
        <v>-0.34316047155478197</v>
      </c>
      <c r="L127" s="2">
        <f t="shared" si="44"/>
        <v>-0.17494300410752001</v>
      </c>
      <c r="M127" s="4">
        <f t="shared" si="45"/>
        <v>-0.30100000000000005</v>
      </c>
      <c r="N127" s="1">
        <f t="shared" si="46"/>
        <v>-0.38948626045400236</v>
      </c>
      <c r="O127" s="1">
        <f t="shared" si="47"/>
        <v>-0.43203883495145623</v>
      </c>
      <c r="P127" s="1">
        <f t="shared" si="48"/>
        <v>-0.46998284734133788</v>
      </c>
      <c r="Q127" s="1">
        <f t="shared" si="49"/>
        <v>-0.43539416646693657</v>
      </c>
      <c r="R127" s="1">
        <f t="shared" si="50"/>
        <v>-0.40129788173954145</v>
      </c>
      <c r="S127" s="1">
        <f t="shared" si="51"/>
        <v>-0.37719298245614041</v>
      </c>
      <c r="T127" s="3"/>
    </row>
    <row r="128" spans="1:20">
      <c r="A128" t="s">
        <v>167</v>
      </c>
      <c r="B128" s="7">
        <v>0.55520559930008762</v>
      </c>
      <c r="C128" s="7">
        <v>0.49299999999999999</v>
      </c>
      <c r="D128" s="7">
        <v>0.314</v>
      </c>
      <c r="E128" s="7">
        <v>0.45</v>
      </c>
      <c r="F128" s="7">
        <v>0.25900000000000001</v>
      </c>
      <c r="G128" s="8">
        <v>0.52223911028730308</v>
      </c>
      <c r="H128" s="2">
        <f t="shared" si="40"/>
        <v>-0.28179440069991235</v>
      </c>
      <c r="I128" s="2">
        <f t="shared" si="41"/>
        <v>-0.33099999999999996</v>
      </c>
      <c r="J128" s="2">
        <f t="shared" si="42"/>
        <v>-0.26899999999999996</v>
      </c>
      <c r="K128" s="2">
        <f t="shared" si="43"/>
        <v>-0.33816047155478196</v>
      </c>
      <c r="L128" s="2">
        <f t="shared" si="44"/>
        <v>-0.17694300410752001</v>
      </c>
      <c r="M128" s="4">
        <f t="shared" si="45"/>
        <v>-0.27576088971269697</v>
      </c>
      <c r="N128" s="1">
        <f t="shared" si="46"/>
        <v>-0.33667192437265514</v>
      </c>
      <c r="O128" s="1">
        <f t="shared" si="47"/>
        <v>-0.40169902912621358</v>
      </c>
      <c r="P128" s="1">
        <f t="shared" si="48"/>
        <v>-0.46140651801029153</v>
      </c>
      <c r="Q128" s="1">
        <f t="shared" si="49"/>
        <v>-0.42905028069690215</v>
      </c>
      <c r="R128" s="1">
        <f t="shared" si="50"/>
        <v>-0.40588563743502393</v>
      </c>
      <c r="S128" s="1">
        <f t="shared" si="51"/>
        <v>-0.34556502470262773</v>
      </c>
      <c r="T128" s="3"/>
    </row>
    <row r="129" spans="1:20">
      <c r="A129" t="s">
        <v>134</v>
      </c>
      <c r="B129" s="7">
        <v>0.55500000000000005</v>
      </c>
      <c r="C129" s="7">
        <v>0.49299999999999999</v>
      </c>
      <c r="D129" s="7">
        <v>0.314</v>
      </c>
      <c r="E129" s="7">
        <v>0.45</v>
      </c>
      <c r="F129" s="7">
        <v>0.25900000000000001</v>
      </c>
      <c r="G129" s="8">
        <v>0.52200000000000002</v>
      </c>
      <c r="H129" s="2">
        <f t="shared" si="40"/>
        <v>-0.28199999999999992</v>
      </c>
      <c r="I129" s="2">
        <f t="shared" si="41"/>
        <v>-0.33099999999999996</v>
      </c>
      <c r="J129" s="2">
        <f t="shared" si="42"/>
        <v>-0.26899999999999996</v>
      </c>
      <c r="K129" s="2">
        <f t="shared" si="43"/>
        <v>-0.33816047155478196</v>
      </c>
      <c r="L129" s="2">
        <f t="shared" si="44"/>
        <v>-0.17694300410752001</v>
      </c>
      <c r="M129" s="4">
        <f t="shared" si="45"/>
        <v>-0.27600000000000002</v>
      </c>
      <c r="N129" s="1">
        <f t="shared" si="46"/>
        <v>-0.33691756272401424</v>
      </c>
      <c r="O129" s="1">
        <f t="shared" si="47"/>
        <v>-0.40169902912621358</v>
      </c>
      <c r="P129" s="1">
        <f t="shared" si="48"/>
        <v>-0.46140651801029153</v>
      </c>
      <c r="Q129" s="1">
        <f t="shared" si="49"/>
        <v>-0.42905028069690215</v>
      </c>
      <c r="R129" s="1">
        <f t="shared" si="50"/>
        <v>-0.40588563743502393</v>
      </c>
      <c r="S129" s="1">
        <f t="shared" si="51"/>
        <v>-0.34586466165413537</v>
      </c>
      <c r="T129" s="3"/>
    </row>
    <row r="130" spans="1:20">
      <c r="A130" t="s">
        <v>60</v>
      </c>
      <c r="B130" s="7">
        <v>0.51</v>
      </c>
      <c r="C130" s="7">
        <v>0.46300000000000002</v>
      </c>
      <c r="D130" s="7">
        <v>0.30599999999999999</v>
      </c>
      <c r="E130" s="7">
        <v>0.43837466614142601</v>
      </c>
      <c r="F130" s="7">
        <v>0.25771044031571899</v>
      </c>
      <c r="G130" s="8">
        <v>0.496</v>
      </c>
      <c r="H130" s="2">
        <f t="shared" ref="H130:H161" si="52">B130-V$2</f>
        <v>-0.32699999999999996</v>
      </c>
      <c r="I130" s="2">
        <f t="shared" ref="I130:I161" si="53">C130-W$2</f>
        <v>-0.36099999999999993</v>
      </c>
      <c r="J130" s="2">
        <f t="shared" ref="J130:J161" si="54">D130-X$2</f>
        <v>-0.27699999999999997</v>
      </c>
      <c r="K130" s="2">
        <f t="shared" ref="K130:K161" si="55">E130-Y$2</f>
        <v>-0.34978580541335597</v>
      </c>
      <c r="L130" s="2">
        <f t="shared" ref="L130:L161" si="56">F130-Z$2</f>
        <v>-0.17823256379180102</v>
      </c>
      <c r="M130" s="4">
        <f t="shared" ref="M130:M161" si="57">G130-AA$2</f>
        <v>-0.30200000000000005</v>
      </c>
      <c r="N130" s="1">
        <f t="shared" ref="N130:N161" si="58">(B130-V$2)/V$2</f>
        <v>-0.39068100358422936</v>
      </c>
      <c r="O130" s="1">
        <f t="shared" ref="O130:O161" si="59">(C130-W$2)/W$2</f>
        <v>-0.43810679611650477</v>
      </c>
      <c r="P130" s="1">
        <f t="shared" ref="P130:P161" si="60">(D130-X$2)/X$2</f>
        <v>-0.47512864493996565</v>
      </c>
      <c r="Q130" s="1">
        <f t="shared" ref="Q130:Q161" si="61">(E130-Y$2)/Y$2</f>
        <v>-0.44380023870436353</v>
      </c>
      <c r="R130" s="1">
        <f t="shared" ref="R130:R161" si="62">(F130-Z$2)/Z$2</f>
        <v>-0.40884372982813627</v>
      </c>
      <c r="S130" s="1">
        <f t="shared" ref="S130:S161" si="63">(G130-AA$2)/AA$2</f>
        <v>-0.37844611528822059</v>
      </c>
      <c r="T130" s="3"/>
    </row>
    <row r="131" spans="1:20">
      <c r="A131" t="s">
        <v>128</v>
      </c>
      <c r="B131" s="7">
        <v>0.56000000000000005</v>
      </c>
      <c r="C131" s="7">
        <v>0.502</v>
      </c>
      <c r="D131" s="7">
        <v>0.31</v>
      </c>
      <c r="E131" s="7">
        <v>0.46</v>
      </c>
      <c r="F131" s="7">
        <v>0.25700000000000001</v>
      </c>
      <c r="G131" s="8">
        <v>0.53100000000000003</v>
      </c>
      <c r="H131" s="2">
        <f t="shared" si="52"/>
        <v>-0.27699999999999991</v>
      </c>
      <c r="I131" s="2">
        <f t="shared" si="53"/>
        <v>-0.32199999999999995</v>
      </c>
      <c r="J131" s="2">
        <f t="shared" si="54"/>
        <v>-0.27299999999999996</v>
      </c>
      <c r="K131" s="2">
        <f t="shared" si="55"/>
        <v>-0.32816047155478195</v>
      </c>
      <c r="L131" s="2">
        <f t="shared" si="56"/>
        <v>-0.17894300410752001</v>
      </c>
      <c r="M131" s="4">
        <f t="shared" si="57"/>
        <v>-0.26700000000000002</v>
      </c>
      <c r="N131" s="1">
        <f t="shared" si="58"/>
        <v>-0.33094384707287922</v>
      </c>
      <c r="O131" s="1">
        <f t="shared" si="59"/>
        <v>-0.39077669902912615</v>
      </c>
      <c r="P131" s="1">
        <f t="shared" si="60"/>
        <v>-0.46826758147512859</v>
      </c>
      <c r="Q131" s="1">
        <f t="shared" si="61"/>
        <v>-0.41636250915683332</v>
      </c>
      <c r="R131" s="1">
        <f t="shared" si="62"/>
        <v>-0.41047339313050635</v>
      </c>
      <c r="S131" s="1">
        <f t="shared" si="63"/>
        <v>-0.33458646616541354</v>
      </c>
      <c r="T131" s="3"/>
    </row>
    <row r="132" spans="1:20">
      <c r="A132" t="s">
        <v>140</v>
      </c>
      <c r="B132" s="7">
        <v>0.55600000000000005</v>
      </c>
      <c r="C132" s="7">
        <v>0.49199999999999999</v>
      </c>
      <c r="D132" s="7">
        <v>0.312</v>
      </c>
      <c r="E132" s="7">
        <v>0.45100000000000001</v>
      </c>
      <c r="F132" s="7">
        <v>0.25700000000000001</v>
      </c>
      <c r="G132" s="8">
        <v>0.52200000000000002</v>
      </c>
      <c r="H132" s="2">
        <f t="shared" si="52"/>
        <v>-0.28099999999999992</v>
      </c>
      <c r="I132" s="2">
        <f t="shared" si="53"/>
        <v>-0.33199999999999996</v>
      </c>
      <c r="J132" s="2">
        <f t="shared" si="54"/>
        <v>-0.27099999999999996</v>
      </c>
      <c r="K132" s="2">
        <f t="shared" si="55"/>
        <v>-0.33716047155478196</v>
      </c>
      <c r="L132" s="2">
        <f t="shared" si="56"/>
        <v>-0.17894300410752001</v>
      </c>
      <c r="M132" s="4">
        <f t="shared" si="57"/>
        <v>-0.27600000000000002</v>
      </c>
      <c r="N132" s="1">
        <f t="shared" si="58"/>
        <v>-0.33572281959378725</v>
      </c>
      <c r="O132" s="1">
        <f t="shared" si="59"/>
        <v>-0.40291262135922329</v>
      </c>
      <c r="P132" s="1">
        <f t="shared" si="60"/>
        <v>-0.46483704974271006</v>
      </c>
      <c r="Q132" s="1">
        <f t="shared" si="61"/>
        <v>-0.42778150354289524</v>
      </c>
      <c r="R132" s="1">
        <f t="shared" si="62"/>
        <v>-0.41047339313050635</v>
      </c>
      <c r="S132" s="1">
        <f t="shared" si="63"/>
        <v>-0.34586466165413537</v>
      </c>
      <c r="T132" s="3"/>
    </row>
    <row r="133" spans="1:20">
      <c r="A133" t="s">
        <v>25</v>
      </c>
      <c r="B133" s="7">
        <v>0.53700000000000003</v>
      </c>
      <c r="C133" s="7">
        <v>0.49299999999999999</v>
      </c>
      <c r="D133" s="7">
        <v>0.30399999999999999</v>
      </c>
      <c r="E133" s="7">
        <v>0.44700000000000001</v>
      </c>
      <c r="F133" s="7">
        <v>0.254</v>
      </c>
      <c r="G133" s="8">
        <v>0.51100000000000001</v>
      </c>
      <c r="H133" s="2">
        <f t="shared" si="52"/>
        <v>-0.29999999999999993</v>
      </c>
      <c r="I133" s="2">
        <f t="shared" si="53"/>
        <v>-0.33099999999999996</v>
      </c>
      <c r="J133" s="2">
        <f t="shared" si="54"/>
        <v>-0.27899999999999997</v>
      </c>
      <c r="K133" s="2">
        <f t="shared" si="55"/>
        <v>-0.34116047155478196</v>
      </c>
      <c r="L133" s="2">
        <f t="shared" si="56"/>
        <v>-0.18194300410752001</v>
      </c>
      <c r="M133" s="4">
        <f t="shared" si="57"/>
        <v>-0.28700000000000003</v>
      </c>
      <c r="N133" s="1">
        <f t="shared" si="58"/>
        <v>-0.3584229390681003</v>
      </c>
      <c r="O133" s="1">
        <f t="shared" si="59"/>
        <v>-0.40169902912621358</v>
      </c>
      <c r="P133" s="1">
        <f t="shared" si="60"/>
        <v>-0.47855917667238418</v>
      </c>
      <c r="Q133" s="1">
        <f t="shared" si="61"/>
        <v>-0.43285661215892279</v>
      </c>
      <c r="R133" s="1">
        <f t="shared" si="62"/>
        <v>-0.41735502667373003</v>
      </c>
      <c r="S133" s="1">
        <f t="shared" si="63"/>
        <v>-0.35964912280701755</v>
      </c>
      <c r="T133" s="3"/>
    </row>
    <row r="134" spans="1:20">
      <c r="A134" t="s">
        <v>209</v>
      </c>
      <c r="B134" s="7">
        <v>0.54968571428571433</v>
      </c>
      <c r="C134" s="7">
        <v>0.49299999999999999</v>
      </c>
      <c r="D134" s="7">
        <v>0.307</v>
      </c>
      <c r="E134" s="7">
        <v>0.45100000000000001</v>
      </c>
      <c r="F134" s="7">
        <v>0.251</v>
      </c>
      <c r="G134" s="8">
        <v>0.52077516462841023</v>
      </c>
      <c r="H134" s="2">
        <f t="shared" si="52"/>
        <v>-0.28731428571428563</v>
      </c>
      <c r="I134" s="2">
        <f t="shared" si="53"/>
        <v>-0.33099999999999996</v>
      </c>
      <c r="J134" s="2">
        <f t="shared" si="54"/>
        <v>-0.27599999999999997</v>
      </c>
      <c r="K134" s="2">
        <f t="shared" si="55"/>
        <v>-0.33716047155478196</v>
      </c>
      <c r="L134" s="2">
        <f t="shared" si="56"/>
        <v>-0.18494300410752001</v>
      </c>
      <c r="M134" s="4">
        <f t="shared" si="57"/>
        <v>-0.27722483537158982</v>
      </c>
      <c r="N134" s="1">
        <f t="shared" si="58"/>
        <v>-0.34326676907322062</v>
      </c>
      <c r="O134" s="1">
        <f t="shared" si="59"/>
        <v>-0.40169902912621358</v>
      </c>
      <c r="P134" s="1">
        <f t="shared" si="60"/>
        <v>-0.47341337907375641</v>
      </c>
      <c r="Q134" s="1">
        <f t="shared" si="61"/>
        <v>-0.42778150354289524</v>
      </c>
      <c r="R134" s="1">
        <f t="shared" si="62"/>
        <v>-0.42423666021695366</v>
      </c>
      <c r="S134" s="1">
        <f t="shared" si="63"/>
        <v>-0.34739954307216769</v>
      </c>
      <c r="T134" s="3"/>
    </row>
    <row r="135" spans="1:20">
      <c r="A135" t="s">
        <v>174</v>
      </c>
      <c r="B135" s="7">
        <v>0.53597109304426382</v>
      </c>
      <c r="C135" s="7">
        <v>0.48299999999999998</v>
      </c>
      <c r="D135" s="7">
        <v>0.3</v>
      </c>
      <c r="E135" s="7">
        <v>0.44400000000000001</v>
      </c>
      <c r="F135" s="7">
        <v>0.251</v>
      </c>
      <c r="G135" s="8">
        <v>0.50698859315589351</v>
      </c>
      <c r="H135" s="2">
        <f t="shared" si="52"/>
        <v>-0.30102890695573614</v>
      </c>
      <c r="I135" s="2">
        <f t="shared" si="53"/>
        <v>-0.34099999999999997</v>
      </c>
      <c r="J135" s="2">
        <f t="shared" si="54"/>
        <v>-0.28299999999999997</v>
      </c>
      <c r="K135" s="2">
        <f t="shared" si="55"/>
        <v>-0.34416047155478197</v>
      </c>
      <c r="L135" s="2">
        <f t="shared" si="56"/>
        <v>-0.18494300410752001</v>
      </c>
      <c r="M135" s="4">
        <f t="shared" si="57"/>
        <v>-0.29101140684410653</v>
      </c>
      <c r="N135" s="1">
        <f t="shared" si="58"/>
        <v>-0.35965221858510893</v>
      </c>
      <c r="O135" s="1">
        <f t="shared" si="59"/>
        <v>-0.41383495145631066</v>
      </c>
      <c r="P135" s="1">
        <f t="shared" si="60"/>
        <v>-0.48542024013722124</v>
      </c>
      <c r="Q135" s="1">
        <f t="shared" si="61"/>
        <v>-0.43666294362094343</v>
      </c>
      <c r="R135" s="1">
        <f t="shared" si="62"/>
        <v>-0.42423666021695366</v>
      </c>
      <c r="S135" s="1">
        <f t="shared" si="63"/>
        <v>-0.36467594842619866</v>
      </c>
      <c r="T135" s="3"/>
    </row>
    <row r="136" spans="1:20">
      <c r="A136" t="s">
        <v>202</v>
      </c>
      <c r="B136" s="7">
        <v>0.55639076376554175</v>
      </c>
      <c r="C136" s="7">
        <v>0.503</v>
      </c>
      <c r="D136" s="7">
        <v>0.30499999999999999</v>
      </c>
      <c r="E136" s="7">
        <v>0.44800000000000001</v>
      </c>
      <c r="F136" s="7">
        <v>0.25</v>
      </c>
      <c r="G136" s="8">
        <v>0.52009478672985787</v>
      </c>
      <c r="H136" s="2">
        <f t="shared" si="52"/>
        <v>-0.28060923623445821</v>
      </c>
      <c r="I136" s="2">
        <f t="shared" si="53"/>
        <v>-0.32099999999999995</v>
      </c>
      <c r="J136" s="2">
        <f t="shared" si="54"/>
        <v>-0.27799999999999997</v>
      </c>
      <c r="K136" s="2">
        <f t="shared" si="55"/>
        <v>-0.34016047155478196</v>
      </c>
      <c r="L136" s="2">
        <f t="shared" si="56"/>
        <v>-0.18594300410752002</v>
      </c>
      <c r="M136" s="4">
        <f t="shared" si="57"/>
        <v>-0.27790521327014217</v>
      </c>
      <c r="N136" s="1">
        <f t="shared" si="58"/>
        <v>-0.33525595726936469</v>
      </c>
      <c r="O136" s="1">
        <f t="shared" si="59"/>
        <v>-0.38956310679611644</v>
      </c>
      <c r="P136" s="1">
        <f t="shared" si="60"/>
        <v>-0.47684391080617494</v>
      </c>
      <c r="Q136" s="1">
        <f t="shared" si="61"/>
        <v>-0.43158783500491593</v>
      </c>
      <c r="R136" s="1">
        <f t="shared" si="62"/>
        <v>-0.42653053806469493</v>
      </c>
      <c r="S136" s="1">
        <f t="shared" si="63"/>
        <v>-0.34825214695506534</v>
      </c>
      <c r="T136" s="3"/>
    </row>
    <row r="137" spans="1:20">
      <c r="A137" t="s">
        <v>19</v>
      </c>
      <c r="B137" s="7">
        <v>0.53100000000000003</v>
      </c>
      <c r="C137" s="7">
        <v>0.47799999999999998</v>
      </c>
      <c r="D137" s="7">
        <v>0.28899999999999998</v>
      </c>
      <c r="E137" s="7">
        <v>0.438</v>
      </c>
      <c r="F137" s="7">
        <v>0.247</v>
      </c>
      <c r="G137" s="8">
        <v>0.50800000000000001</v>
      </c>
      <c r="H137" s="2">
        <f t="shared" si="52"/>
        <v>-0.30599999999999994</v>
      </c>
      <c r="I137" s="2">
        <f t="shared" si="53"/>
        <v>-0.34599999999999997</v>
      </c>
      <c r="J137" s="2">
        <f t="shared" si="54"/>
        <v>-0.29399999999999998</v>
      </c>
      <c r="K137" s="2">
        <f t="shared" si="55"/>
        <v>-0.35016047155478197</v>
      </c>
      <c r="L137" s="2">
        <f t="shared" si="56"/>
        <v>-0.18894300410752002</v>
      </c>
      <c r="M137" s="4">
        <f t="shared" si="57"/>
        <v>-0.29000000000000004</v>
      </c>
      <c r="N137" s="1">
        <f t="shared" si="58"/>
        <v>-0.36559139784946232</v>
      </c>
      <c r="O137" s="1">
        <f t="shared" si="59"/>
        <v>-0.4199029126213592</v>
      </c>
      <c r="P137" s="1">
        <f t="shared" si="60"/>
        <v>-0.50428816466552318</v>
      </c>
      <c r="Q137" s="1">
        <f t="shared" si="61"/>
        <v>-0.44427560654498477</v>
      </c>
      <c r="R137" s="1">
        <f t="shared" si="62"/>
        <v>-0.43341217160791856</v>
      </c>
      <c r="S137" s="1">
        <f t="shared" si="63"/>
        <v>-0.36340852130325818</v>
      </c>
      <c r="T137" s="3"/>
    </row>
    <row r="138" spans="1:20">
      <c r="A138" t="s">
        <v>176</v>
      </c>
      <c r="B138" s="7">
        <v>0.54083454545454546</v>
      </c>
      <c r="C138" s="7">
        <v>0.48</v>
      </c>
      <c r="D138" s="7">
        <v>0.28799999999999998</v>
      </c>
      <c r="E138" s="7">
        <v>0.442</v>
      </c>
      <c r="F138" s="7">
        <v>0.246</v>
      </c>
      <c r="G138" s="8">
        <v>0.51517557251908408</v>
      </c>
      <c r="H138" s="2">
        <f t="shared" si="52"/>
        <v>-0.29616545454545451</v>
      </c>
      <c r="I138" s="2">
        <f t="shared" si="53"/>
        <v>-0.34399999999999997</v>
      </c>
      <c r="J138" s="2">
        <f t="shared" si="54"/>
        <v>-0.29499999999999998</v>
      </c>
      <c r="K138" s="2">
        <f t="shared" si="55"/>
        <v>-0.34616047155478197</v>
      </c>
      <c r="L138" s="2">
        <f t="shared" si="56"/>
        <v>-0.18994300410752002</v>
      </c>
      <c r="M138" s="4">
        <f t="shared" si="57"/>
        <v>-0.28282442748091596</v>
      </c>
      <c r="N138" s="1">
        <f t="shared" si="58"/>
        <v>-0.35384164222873898</v>
      </c>
      <c r="O138" s="1">
        <f t="shared" si="59"/>
        <v>-0.41747572815533979</v>
      </c>
      <c r="P138" s="1">
        <f t="shared" si="60"/>
        <v>-0.50600343053173247</v>
      </c>
      <c r="Q138" s="1">
        <f t="shared" si="61"/>
        <v>-0.43920049792895721</v>
      </c>
      <c r="R138" s="1">
        <f t="shared" si="62"/>
        <v>-0.43570604945565983</v>
      </c>
      <c r="S138" s="1">
        <f t="shared" si="63"/>
        <v>-0.35441657579062147</v>
      </c>
      <c r="T138" s="3"/>
    </row>
    <row r="139" spans="1:20">
      <c r="A139" t="s">
        <v>68</v>
      </c>
      <c r="B139" s="7">
        <v>0.496</v>
      </c>
      <c r="C139" s="7">
        <v>0.443</v>
      </c>
      <c r="D139" s="7">
        <v>0.28999999999999998</v>
      </c>
      <c r="E139" s="7">
        <v>0.41688108026196902</v>
      </c>
      <c r="F139" s="7">
        <v>0.241230630014523</v>
      </c>
      <c r="G139" s="8">
        <v>0.48</v>
      </c>
      <c r="H139" s="2">
        <f t="shared" si="52"/>
        <v>-0.34099999999999997</v>
      </c>
      <c r="I139" s="2">
        <f t="shared" si="53"/>
        <v>-0.38099999999999995</v>
      </c>
      <c r="J139" s="2">
        <f t="shared" si="54"/>
        <v>-0.29299999999999998</v>
      </c>
      <c r="K139" s="2">
        <f t="shared" si="55"/>
        <v>-0.37127939129281295</v>
      </c>
      <c r="L139" s="2">
        <f t="shared" si="56"/>
        <v>-0.19471237409299702</v>
      </c>
      <c r="M139" s="4">
        <f t="shared" si="57"/>
        <v>-0.31800000000000006</v>
      </c>
      <c r="N139" s="1">
        <f t="shared" si="58"/>
        <v>-0.40740740740740738</v>
      </c>
      <c r="O139" s="1">
        <f t="shared" si="59"/>
        <v>-0.46237864077669899</v>
      </c>
      <c r="P139" s="1">
        <f t="shared" si="60"/>
        <v>-0.50257289879931388</v>
      </c>
      <c r="Q139" s="1">
        <f t="shared" si="61"/>
        <v>-0.47107080942590351</v>
      </c>
      <c r="R139" s="1">
        <f t="shared" si="62"/>
        <v>-0.44664640161302738</v>
      </c>
      <c r="S139" s="1">
        <f t="shared" si="63"/>
        <v>-0.39849624060150379</v>
      </c>
      <c r="T139" s="3"/>
    </row>
    <row r="140" spans="1:20">
      <c r="A140" t="s">
        <v>190</v>
      </c>
      <c r="B140" s="7">
        <v>0.52452837209302328</v>
      </c>
      <c r="C140" s="7">
        <v>0.46200000000000002</v>
      </c>
      <c r="D140" s="7">
        <v>0.28199999999999997</v>
      </c>
      <c r="E140" s="7">
        <v>0.42899999999999999</v>
      </c>
      <c r="F140" s="7">
        <v>0.24099999999999999</v>
      </c>
      <c r="G140" s="8">
        <v>0.49755945419103309</v>
      </c>
      <c r="H140" s="2">
        <f t="shared" si="52"/>
        <v>-0.31247162790697669</v>
      </c>
      <c r="I140" s="2">
        <f t="shared" si="53"/>
        <v>-0.36199999999999993</v>
      </c>
      <c r="J140" s="2">
        <f t="shared" si="54"/>
        <v>-0.30099999999999999</v>
      </c>
      <c r="K140" s="2">
        <f t="shared" si="55"/>
        <v>-0.35916047155478198</v>
      </c>
      <c r="L140" s="2">
        <f t="shared" si="56"/>
        <v>-0.19494300410752002</v>
      </c>
      <c r="M140" s="4">
        <f t="shared" si="57"/>
        <v>-0.30044054580896695</v>
      </c>
      <c r="N140" s="1">
        <f t="shared" si="58"/>
        <v>-0.37332333083270813</v>
      </c>
      <c r="O140" s="1">
        <f t="shared" si="59"/>
        <v>-0.43932038834951448</v>
      </c>
      <c r="P140" s="1">
        <f t="shared" si="60"/>
        <v>-0.516295025728988</v>
      </c>
      <c r="Q140" s="1">
        <f t="shared" si="61"/>
        <v>-0.45569460093104674</v>
      </c>
      <c r="R140" s="1">
        <f t="shared" si="62"/>
        <v>-0.44717543869436593</v>
      </c>
      <c r="S140" s="1">
        <f t="shared" si="63"/>
        <v>-0.37649191204131194</v>
      </c>
      <c r="T140" s="3"/>
    </row>
    <row r="141" spans="1:20">
      <c r="A141" t="s">
        <v>105</v>
      </c>
      <c r="B141" s="7">
        <v>0.59499999999999997</v>
      </c>
      <c r="C141" s="7">
        <v>0.49</v>
      </c>
      <c r="D141" s="7">
        <v>0.28499999999999998</v>
      </c>
      <c r="E141" s="7">
        <v>0.432</v>
      </c>
      <c r="F141" s="7">
        <v>0.24</v>
      </c>
      <c r="G141" s="8">
        <v>0.56000000000000005</v>
      </c>
      <c r="H141" s="2">
        <f t="shared" si="52"/>
        <v>-0.24199999999999999</v>
      </c>
      <c r="I141" s="2">
        <f t="shared" si="53"/>
        <v>-0.33399999999999996</v>
      </c>
      <c r="J141" s="2">
        <f t="shared" si="54"/>
        <v>-0.29799999999999999</v>
      </c>
      <c r="K141" s="2">
        <f t="shared" si="55"/>
        <v>-0.35616047155478198</v>
      </c>
      <c r="L141" s="2">
        <f t="shared" si="56"/>
        <v>-0.19594300410752002</v>
      </c>
      <c r="M141" s="4">
        <f t="shared" si="57"/>
        <v>-0.23799999999999999</v>
      </c>
      <c r="N141" s="1">
        <f t="shared" si="58"/>
        <v>-0.28912783751493432</v>
      </c>
      <c r="O141" s="1">
        <f t="shared" si="59"/>
        <v>-0.4053398058252427</v>
      </c>
      <c r="P141" s="1">
        <f t="shared" si="60"/>
        <v>-0.51114922813036023</v>
      </c>
      <c r="Q141" s="1">
        <f t="shared" si="61"/>
        <v>-0.45188826946902605</v>
      </c>
      <c r="R141" s="1">
        <f t="shared" si="62"/>
        <v>-0.44946931654210714</v>
      </c>
      <c r="S141" s="1">
        <f t="shared" si="63"/>
        <v>-0.2982456140350877</v>
      </c>
      <c r="T141" s="3"/>
    </row>
    <row r="142" spans="1:20">
      <c r="A142" t="s">
        <v>204</v>
      </c>
      <c r="B142" s="7">
        <v>0.51954795821462485</v>
      </c>
      <c r="C142" s="7">
        <v>0.44800000000000001</v>
      </c>
      <c r="D142" s="7">
        <v>0.26200000000000001</v>
      </c>
      <c r="E142" s="7">
        <v>0.41399999999999998</v>
      </c>
      <c r="F142" s="7">
        <v>0.22900000000000001</v>
      </c>
      <c r="G142" s="8">
        <v>0.49571171171171174</v>
      </c>
      <c r="H142" s="2">
        <f t="shared" si="52"/>
        <v>-0.31745204178537512</v>
      </c>
      <c r="I142" s="2">
        <f t="shared" si="53"/>
        <v>-0.37599999999999995</v>
      </c>
      <c r="J142" s="2">
        <f t="shared" si="54"/>
        <v>-0.32099999999999995</v>
      </c>
      <c r="K142" s="2">
        <f t="shared" si="55"/>
        <v>-0.37416047155478199</v>
      </c>
      <c r="L142" s="2">
        <f t="shared" si="56"/>
        <v>-0.20694300410752001</v>
      </c>
      <c r="M142" s="4">
        <f t="shared" si="57"/>
        <v>-0.3022882882882883</v>
      </c>
      <c r="N142" s="1">
        <f t="shared" si="58"/>
        <v>-0.37927364609961184</v>
      </c>
      <c r="O142" s="1">
        <f t="shared" si="59"/>
        <v>-0.45631067961165045</v>
      </c>
      <c r="P142" s="1">
        <f t="shared" si="60"/>
        <v>-0.55060034305317318</v>
      </c>
      <c r="Q142" s="1">
        <f t="shared" si="61"/>
        <v>-0.47472625824115</v>
      </c>
      <c r="R142" s="1">
        <f t="shared" si="62"/>
        <v>-0.47470197286726051</v>
      </c>
      <c r="S142" s="1">
        <f t="shared" si="63"/>
        <v>-0.3788073788073788</v>
      </c>
      <c r="T142" s="3"/>
    </row>
    <row r="143" spans="1:20">
      <c r="A143" t="s">
        <v>120</v>
      </c>
      <c r="B143" s="7">
        <v>0.46200000000000002</v>
      </c>
      <c r="C143" s="7">
        <v>0.40799999999999997</v>
      </c>
      <c r="D143" s="7">
        <v>0.26500000000000001</v>
      </c>
      <c r="E143" s="7">
        <v>0.38800000000000001</v>
      </c>
      <c r="F143" s="7">
        <v>0.22</v>
      </c>
      <c r="G143" s="8">
        <v>0.45500000000000002</v>
      </c>
      <c r="H143" s="2">
        <f t="shared" si="52"/>
        <v>-0.37499999999999994</v>
      </c>
      <c r="I143" s="2">
        <f t="shared" si="53"/>
        <v>-0.41599999999999998</v>
      </c>
      <c r="J143" s="2">
        <f t="shared" si="54"/>
        <v>-0.31799999999999995</v>
      </c>
      <c r="K143" s="2">
        <f t="shared" si="55"/>
        <v>-0.40016047155478196</v>
      </c>
      <c r="L143" s="2">
        <f t="shared" si="56"/>
        <v>-0.21594300410752001</v>
      </c>
      <c r="M143" s="4">
        <f t="shared" si="57"/>
        <v>-0.34300000000000003</v>
      </c>
      <c r="N143" s="1">
        <f t="shared" si="58"/>
        <v>-0.4480286738351254</v>
      </c>
      <c r="O143" s="1">
        <f t="shared" si="59"/>
        <v>-0.50485436893203883</v>
      </c>
      <c r="P143" s="1">
        <f t="shared" si="60"/>
        <v>-0.54545454545454541</v>
      </c>
      <c r="Q143" s="1">
        <f t="shared" si="61"/>
        <v>-0.50771446424532896</v>
      </c>
      <c r="R143" s="1">
        <f t="shared" si="62"/>
        <v>-0.49534687349693152</v>
      </c>
      <c r="S143" s="1">
        <f t="shared" si="63"/>
        <v>-0.42982456140350878</v>
      </c>
      <c r="T143" s="3"/>
    </row>
    <row r="144" spans="1:20">
      <c r="A144" t="s">
        <v>114</v>
      </c>
      <c r="B144" s="7">
        <v>0.46300000000000002</v>
      </c>
      <c r="C144" s="7">
        <v>0.40600000000000003</v>
      </c>
      <c r="D144" s="7">
        <v>0.26400000000000001</v>
      </c>
      <c r="E144" s="7">
        <v>0.38600000000000001</v>
      </c>
      <c r="F144" s="7">
        <v>0.22</v>
      </c>
      <c r="G144" s="8">
        <v>0.45300000000000001</v>
      </c>
      <c r="H144" s="2">
        <f t="shared" si="52"/>
        <v>-0.37399999999999994</v>
      </c>
      <c r="I144" s="2">
        <f t="shared" si="53"/>
        <v>-0.41799999999999993</v>
      </c>
      <c r="J144" s="2">
        <f t="shared" si="54"/>
        <v>-0.31899999999999995</v>
      </c>
      <c r="K144" s="2">
        <f t="shared" si="55"/>
        <v>-0.40216047155478196</v>
      </c>
      <c r="L144" s="2">
        <f t="shared" si="56"/>
        <v>-0.21594300410752001</v>
      </c>
      <c r="M144" s="4">
        <f t="shared" si="57"/>
        <v>-0.34500000000000003</v>
      </c>
      <c r="N144" s="1">
        <f t="shared" si="58"/>
        <v>-0.44683393070489841</v>
      </c>
      <c r="O144" s="1">
        <f t="shared" si="59"/>
        <v>-0.50728155339805814</v>
      </c>
      <c r="P144" s="1">
        <f t="shared" si="60"/>
        <v>-0.54716981132075471</v>
      </c>
      <c r="Q144" s="1">
        <f t="shared" si="61"/>
        <v>-0.51025201855334268</v>
      </c>
      <c r="R144" s="1">
        <f t="shared" si="62"/>
        <v>-0.49534687349693152</v>
      </c>
      <c r="S144" s="1">
        <f t="shared" si="63"/>
        <v>-0.43233082706766918</v>
      </c>
      <c r="T144" s="3"/>
    </row>
    <row r="145" spans="1:19">
      <c r="A145" t="s">
        <v>42</v>
      </c>
      <c r="B145" s="7">
        <v>0.49299999999999999</v>
      </c>
      <c r="C145" s="7">
        <v>0.42599999999999999</v>
      </c>
      <c r="D145" s="7">
        <v>0.24299999999999999</v>
      </c>
      <c r="E145" s="7">
        <v>0.40100000000000002</v>
      </c>
      <c r="F145" s="7">
        <v>0.218</v>
      </c>
      <c r="G145" s="7">
        <v>0.47499999999999998</v>
      </c>
      <c r="H145" s="2">
        <f t="shared" si="52"/>
        <v>-0.34399999999999997</v>
      </c>
      <c r="I145" s="2">
        <f t="shared" si="53"/>
        <v>-0.39799999999999996</v>
      </c>
      <c r="J145" s="2">
        <f t="shared" si="54"/>
        <v>-0.33999999999999997</v>
      </c>
      <c r="K145" s="2">
        <f t="shared" si="55"/>
        <v>-0.38716047155478195</v>
      </c>
      <c r="L145" s="2">
        <f t="shared" si="56"/>
        <v>-0.21794300410752002</v>
      </c>
      <c r="M145" s="4">
        <f t="shared" si="57"/>
        <v>-0.32300000000000006</v>
      </c>
      <c r="N145" s="1">
        <f t="shared" si="58"/>
        <v>-0.41099163679808842</v>
      </c>
      <c r="O145" s="1">
        <f t="shared" si="59"/>
        <v>-0.48300970873786409</v>
      </c>
      <c r="P145" s="1">
        <f t="shared" si="60"/>
        <v>-0.58319039451114918</v>
      </c>
      <c r="Q145" s="1">
        <f t="shared" si="61"/>
        <v>-0.49122036124323942</v>
      </c>
      <c r="R145" s="1">
        <f t="shared" si="62"/>
        <v>-0.49993462919241394</v>
      </c>
      <c r="S145" s="1">
        <f t="shared" si="63"/>
        <v>-0.40476190476190482</v>
      </c>
    </row>
    <row r="146" spans="1:19">
      <c r="A146" t="s">
        <v>197</v>
      </c>
      <c r="B146" s="7">
        <v>0.49136157635467981</v>
      </c>
      <c r="C146" s="7">
        <v>0.42399999999999999</v>
      </c>
      <c r="D146" s="7">
        <v>0.246</v>
      </c>
      <c r="E146" s="7">
        <v>0.39400000000000002</v>
      </c>
      <c r="F146" s="7">
        <v>0.215</v>
      </c>
      <c r="G146" s="7">
        <v>0.46556639004149369</v>
      </c>
      <c r="H146" s="2">
        <f t="shared" si="52"/>
        <v>-0.34563842364532016</v>
      </c>
      <c r="I146" s="2">
        <f t="shared" si="53"/>
        <v>-0.39999999999999997</v>
      </c>
      <c r="J146" s="2">
        <f t="shared" si="54"/>
        <v>-0.33699999999999997</v>
      </c>
      <c r="K146" s="2">
        <f t="shared" si="55"/>
        <v>-0.39416047155478195</v>
      </c>
      <c r="L146" s="2">
        <f t="shared" si="56"/>
        <v>-0.22094300410752002</v>
      </c>
      <c r="M146" s="4">
        <f t="shared" si="57"/>
        <v>-0.33243360995850635</v>
      </c>
      <c r="N146" s="1">
        <f t="shared" si="58"/>
        <v>-0.41294913219273616</v>
      </c>
      <c r="O146" s="1">
        <f t="shared" si="59"/>
        <v>-0.4854368932038835</v>
      </c>
      <c r="P146" s="1">
        <f t="shared" si="60"/>
        <v>-0.57804459691252141</v>
      </c>
      <c r="Q146" s="1">
        <f t="shared" si="61"/>
        <v>-0.50010180132128768</v>
      </c>
      <c r="R146" s="1">
        <f t="shared" si="62"/>
        <v>-0.50681626273563762</v>
      </c>
      <c r="S146" s="1">
        <f t="shared" si="63"/>
        <v>-0.41658347112594779</v>
      </c>
    </row>
    <row r="147" spans="1:19">
      <c r="A147" t="s">
        <v>13</v>
      </c>
      <c r="B147" s="7">
        <v>0.48799999999999999</v>
      </c>
      <c r="C147" s="7">
        <v>0.42199999999999999</v>
      </c>
      <c r="D147" s="7">
        <v>0.24099999999999999</v>
      </c>
      <c r="E147" s="7">
        <v>0.40100000000000002</v>
      </c>
      <c r="F147" s="7">
        <v>0.21299999999999999</v>
      </c>
      <c r="G147" s="7">
        <v>0.47099999999999997</v>
      </c>
      <c r="H147" s="2">
        <f t="shared" si="52"/>
        <v>-0.34899999999999998</v>
      </c>
      <c r="I147" s="2">
        <f t="shared" si="53"/>
        <v>-0.40199999999999997</v>
      </c>
      <c r="J147" s="2">
        <f t="shared" si="54"/>
        <v>-0.34199999999999997</v>
      </c>
      <c r="K147" s="2">
        <f t="shared" si="55"/>
        <v>-0.38716047155478195</v>
      </c>
      <c r="L147" s="2">
        <f t="shared" si="56"/>
        <v>-0.22294300410752002</v>
      </c>
      <c r="M147" s="4">
        <f t="shared" si="57"/>
        <v>-0.32700000000000007</v>
      </c>
      <c r="N147" s="1">
        <f t="shared" si="58"/>
        <v>-0.41696535244922339</v>
      </c>
      <c r="O147" s="1">
        <f t="shared" si="59"/>
        <v>-0.48786407766990292</v>
      </c>
      <c r="P147" s="1">
        <f t="shared" si="60"/>
        <v>-0.58662092624356776</v>
      </c>
      <c r="Q147" s="1">
        <f t="shared" si="61"/>
        <v>-0.49122036124323942</v>
      </c>
      <c r="R147" s="1">
        <f t="shared" si="62"/>
        <v>-0.51140401843112004</v>
      </c>
      <c r="S147" s="1">
        <f t="shared" si="63"/>
        <v>-0.40977443609022562</v>
      </c>
    </row>
    <row r="148" spans="1:19">
      <c r="A148" t="s">
        <v>169</v>
      </c>
      <c r="B148" s="7">
        <v>0.49130776794493602</v>
      </c>
      <c r="C148" s="7">
        <v>0.43099999999999999</v>
      </c>
      <c r="D148" s="7">
        <v>0.24399999999999999</v>
      </c>
      <c r="E148" s="7">
        <v>0.39400000000000002</v>
      </c>
      <c r="F148" s="7">
        <v>0.20799999999999999</v>
      </c>
      <c r="G148" s="7">
        <v>0.46323632610939108</v>
      </c>
      <c r="H148" s="2">
        <f t="shared" si="52"/>
        <v>-0.34569223205506394</v>
      </c>
      <c r="I148" s="2">
        <f t="shared" si="53"/>
        <v>-0.39299999999999996</v>
      </c>
      <c r="J148" s="2">
        <f t="shared" si="54"/>
        <v>-0.33899999999999997</v>
      </c>
      <c r="K148" s="2">
        <f t="shared" si="55"/>
        <v>-0.39416047155478195</v>
      </c>
      <c r="L148" s="2">
        <f t="shared" si="56"/>
        <v>-0.22794300410752003</v>
      </c>
      <c r="M148" s="4">
        <f t="shared" si="57"/>
        <v>-0.33476367389060896</v>
      </c>
      <c r="N148" s="1">
        <f t="shared" si="58"/>
        <v>-0.41301341942062597</v>
      </c>
      <c r="O148" s="1">
        <f t="shared" si="59"/>
        <v>-0.47694174757281549</v>
      </c>
      <c r="P148" s="1">
        <f t="shared" si="60"/>
        <v>-0.58147512864494</v>
      </c>
      <c r="Q148" s="1">
        <f t="shared" si="61"/>
        <v>-0.50010180132128768</v>
      </c>
      <c r="R148" s="1">
        <f t="shared" si="62"/>
        <v>-0.52287340766982615</v>
      </c>
      <c r="S148" s="1">
        <f t="shared" si="63"/>
        <v>-0.41950335074011147</v>
      </c>
    </row>
    <row r="149" spans="1:19">
      <c r="A149" t="s">
        <v>4</v>
      </c>
      <c r="B149" s="7">
        <v>0.47199999999999998</v>
      </c>
      <c r="C149" s="7">
        <v>0.40699999999999997</v>
      </c>
      <c r="D149" s="7">
        <v>0.224</v>
      </c>
      <c r="E149" s="7">
        <v>0.38900000000000001</v>
      </c>
      <c r="F149" s="7">
        <v>0.20200000000000001</v>
      </c>
      <c r="G149" s="7">
        <v>0.46100000000000002</v>
      </c>
      <c r="H149" s="2">
        <f t="shared" si="52"/>
        <v>-0.36499999999999999</v>
      </c>
      <c r="I149" s="2">
        <f t="shared" si="53"/>
        <v>-0.41699999999999998</v>
      </c>
      <c r="J149" s="2">
        <f t="shared" si="54"/>
        <v>-0.35899999999999999</v>
      </c>
      <c r="K149" s="2">
        <f t="shared" si="55"/>
        <v>-0.39916047155478196</v>
      </c>
      <c r="L149" s="2">
        <f t="shared" si="56"/>
        <v>-0.23394300410752</v>
      </c>
      <c r="M149" s="4">
        <f t="shared" si="57"/>
        <v>-0.33700000000000002</v>
      </c>
      <c r="N149" s="1">
        <f t="shared" si="58"/>
        <v>-0.43608124253285546</v>
      </c>
      <c r="O149" s="1">
        <f t="shared" si="59"/>
        <v>-0.5060679611650486</v>
      </c>
      <c r="P149" s="1">
        <f t="shared" si="60"/>
        <v>-0.61578044596912518</v>
      </c>
      <c r="Q149" s="1">
        <f t="shared" si="61"/>
        <v>-0.50644568709132209</v>
      </c>
      <c r="R149" s="1">
        <f t="shared" si="62"/>
        <v>-0.53663667475627341</v>
      </c>
      <c r="S149" s="1">
        <f t="shared" si="63"/>
        <v>-0.42230576441102757</v>
      </c>
    </row>
    <row r="150" spans="1:19">
      <c r="A150" t="s">
        <v>183</v>
      </c>
      <c r="B150" s="7">
        <v>0.46582947368421057</v>
      </c>
      <c r="C150" s="7">
        <v>0.39600000000000002</v>
      </c>
      <c r="D150" s="7">
        <v>0.22500000000000001</v>
      </c>
      <c r="E150" s="7">
        <v>0.374</v>
      </c>
      <c r="F150" s="7">
        <v>0.19900000000000001</v>
      </c>
      <c r="G150" s="7">
        <v>0.45201737242128126</v>
      </c>
      <c r="H150" s="2">
        <f t="shared" si="52"/>
        <v>-0.3711705263157894</v>
      </c>
      <c r="I150" s="2">
        <f t="shared" si="53"/>
        <v>-0.42799999999999994</v>
      </c>
      <c r="J150" s="2">
        <f t="shared" si="54"/>
        <v>-0.35799999999999998</v>
      </c>
      <c r="K150" s="2">
        <f t="shared" si="55"/>
        <v>-0.41416047155478197</v>
      </c>
      <c r="L150" s="2">
        <f t="shared" si="56"/>
        <v>-0.23694300410752001</v>
      </c>
      <c r="M150" s="4">
        <f t="shared" si="57"/>
        <v>-0.34598262757871878</v>
      </c>
      <c r="N150" s="1">
        <f t="shared" si="58"/>
        <v>-0.44345343645852975</v>
      </c>
      <c r="O150" s="1">
        <f t="shared" si="59"/>
        <v>-0.51941747572815533</v>
      </c>
      <c r="P150" s="1">
        <f t="shared" si="60"/>
        <v>-0.614065180102916</v>
      </c>
      <c r="Q150" s="1">
        <f t="shared" si="61"/>
        <v>-0.52547734440142535</v>
      </c>
      <c r="R150" s="1">
        <f t="shared" si="62"/>
        <v>-0.5435183082994971</v>
      </c>
      <c r="S150" s="1">
        <f t="shared" si="63"/>
        <v>-0.43356218994826912</v>
      </c>
    </row>
    <row r="151" spans="1:19">
      <c r="A151" t="s">
        <v>211</v>
      </c>
      <c r="B151" s="7">
        <v>0.46293333333333336</v>
      </c>
      <c r="C151" s="7">
        <v>0.39100000000000001</v>
      </c>
      <c r="D151" s="7">
        <v>0.222</v>
      </c>
      <c r="E151" s="7">
        <v>0.35899999999999999</v>
      </c>
      <c r="F151" s="7">
        <v>0.192</v>
      </c>
      <c r="G151" s="7">
        <v>0.44049107142857141</v>
      </c>
      <c r="H151" s="2">
        <f t="shared" si="52"/>
        <v>-0.3740666666666666</v>
      </c>
      <c r="I151" s="2">
        <f t="shared" si="53"/>
        <v>-0.43299999999999994</v>
      </c>
      <c r="J151" s="2">
        <f t="shared" si="54"/>
        <v>-0.36099999999999999</v>
      </c>
      <c r="K151" s="2">
        <f t="shared" si="55"/>
        <v>-0.42916047155478199</v>
      </c>
      <c r="L151" s="2">
        <f t="shared" si="56"/>
        <v>-0.24394300410752001</v>
      </c>
      <c r="M151" s="4">
        <f t="shared" si="57"/>
        <v>-0.35750892857142863</v>
      </c>
      <c r="N151" s="1">
        <f t="shared" si="58"/>
        <v>-0.44691358024691352</v>
      </c>
      <c r="O151" s="1">
        <f t="shared" si="59"/>
        <v>-0.52548543689320382</v>
      </c>
      <c r="P151" s="1">
        <f t="shared" si="60"/>
        <v>-0.61921097770154376</v>
      </c>
      <c r="Q151" s="1">
        <f t="shared" si="61"/>
        <v>-0.54450900171152861</v>
      </c>
      <c r="R151" s="1">
        <f t="shared" si="62"/>
        <v>-0.55957545323368563</v>
      </c>
      <c r="S151" s="1">
        <f t="shared" si="63"/>
        <v>-0.44800617615467242</v>
      </c>
    </row>
    <row r="152" spans="1:19">
      <c r="A152" t="s">
        <v>39</v>
      </c>
      <c r="B152" s="7">
        <v>1.6E-2</v>
      </c>
      <c r="C152" s="7">
        <v>0.10100000000000001</v>
      </c>
      <c r="D152" s="7">
        <v>3.6999999999999998E-2</v>
      </c>
      <c r="E152" s="7">
        <v>7.4999999999999997E-2</v>
      </c>
      <c r="F152" s="7">
        <v>2.12E-2</v>
      </c>
      <c r="G152" s="7">
        <v>1.4E-2</v>
      </c>
      <c r="H152" s="2">
        <f t="shared" si="52"/>
        <v>-0.82099999999999995</v>
      </c>
      <c r="I152" s="2">
        <f t="shared" si="53"/>
        <v>-0.72299999999999998</v>
      </c>
      <c r="J152" s="2">
        <f t="shared" si="54"/>
        <v>-0.54599999999999993</v>
      </c>
      <c r="K152" s="2">
        <f t="shared" si="55"/>
        <v>-0.71316047155478202</v>
      </c>
      <c r="L152" s="2">
        <f t="shared" si="56"/>
        <v>-0.41474300410752002</v>
      </c>
      <c r="M152" s="4">
        <f t="shared" si="57"/>
        <v>-0.78400000000000003</v>
      </c>
      <c r="N152" s="1">
        <f t="shared" si="58"/>
        <v>-0.98088410991636799</v>
      </c>
      <c r="O152" s="1">
        <f t="shared" si="59"/>
        <v>-0.87742718446601942</v>
      </c>
      <c r="P152" s="1">
        <f t="shared" si="60"/>
        <v>-0.93653516295025718</v>
      </c>
      <c r="Q152" s="1">
        <f t="shared" si="61"/>
        <v>-0.90484171344948372</v>
      </c>
      <c r="R152" s="1">
        <f t="shared" si="62"/>
        <v>-0.9513697896278861</v>
      </c>
      <c r="S152" s="1">
        <f t="shared" si="63"/>
        <v>-0.98245614035087714</v>
      </c>
    </row>
    <row r="153" spans="1:19">
      <c r="A153" t="s">
        <v>15</v>
      </c>
      <c r="B153" s="7">
        <v>8.0000000000000002E-3</v>
      </c>
      <c r="C153" s="7">
        <v>0.01</v>
      </c>
      <c r="D153" s="7">
        <v>3.0000000000000001E-3</v>
      </c>
      <c r="E153" s="7">
        <v>8.4200000000000004E-3</v>
      </c>
      <c r="F153" s="7">
        <v>2.99E-3</v>
      </c>
      <c r="G153" s="7">
        <v>6.0000000000000001E-3</v>
      </c>
      <c r="H153" s="2">
        <f t="shared" si="52"/>
        <v>-0.82899999999999996</v>
      </c>
      <c r="I153" s="2">
        <f t="shared" si="53"/>
        <v>-0.81399999999999995</v>
      </c>
      <c r="J153" s="2">
        <f t="shared" si="54"/>
        <v>-0.57999999999999996</v>
      </c>
      <c r="K153" s="2">
        <f t="shared" si="55"/>
        <v>-0.77974047155478199</v>
      </c>
      <c r="L153" s="2">
        <f t="shared" si="56"/>
        <v>-0.43295300410752002</v>
      </c>
      <c r="M153" s="4">
        <f t="shared" si="57"/>
        <v>-0.79200000000000004</v>
      </c>
      <c r="N153" s="1">
        <f t="shared" si="58"/>
        <v>-0.99044205495818394</v>
      </c>
      <c r="O153" s="1">
        <f t="shared" si="59"/>
        <v>-0.98786407766990292</v>
      </c>
      <c r="P153" s="1">
        <f t="shared" si="60"/>
        <v>-0.99485420240137223</v>
      </c>
      <c r="Q153" s="1">
        <f t="shared" si="61"/>
        <v>-0.98931689636326203</v>
      </c>
      <c r="R153" s="1">
        <f t="shared" si="62"/>
        <v>-0.99314130523525379</v>
      </c>
      <c r="S153" s="1">
        <f t="shared" si="63"/>
        <v>-0.99248120300751874</v>
      </c>
    </row>
    <row r="154" spans="1:19">
      <c r="A154" t="s">
        <v>3</v>
      </c>
      <c r="B154" s="7">
        <v>0.68700000000000006</v>
      </c>
      <c r="C154" s="7">
        <v>0.67</v>
      </c>
      <c r="D154" s="7">
        <v>0.41499999999999998</v>
      </c>
      <c r="E154" s="7">
        <v>0</v>
      </c>
      <c r="F154" s="7">
        <v>0</v>
      </c>
      <c r="G154" s="7">
        <v>0</v>
      </c>
      <c r="H154" s="2">
        <f t="shared" si="52"/>
        <v>-0.14999999999999991</v>
      </c>
      <c r="I154" s="2">
        <f t="shared" si="53"/>
        <v>-0.15399999999999991</v>
      </c>
      <c r="J154" s="2">
        <f t="shared" si="54"/>
        <v>-0.16799999999999998</v>
      </c>
      <c r="K154" s="2">
        <f t="shared" si="55"/>
        <v>-0.78816047155478197</v>
      </c>
      <c r="L154" s="2">
        <f t="shared" si="56"/>
        <v>-0.43594300410752002</v>
      </c>
      <c r="M154" s="4">
        <f t="shared" si="57"/>
        <v>-0.79800000000000004</v>
      </c>
      <c r="N154" s="1">
        <f t="shared" si="58"/>
        <v>-0.17921146953405009</v>
      </c>
      <c r="O154" s="1">
        <f t="shared" si="59"/>
        <v>-0.18689320388349506</v>
      </c>
      <c r="P154" s="1">
        <f t="shared" si="60"/>
        <v>-0.28816466552315606</v>
      </c>
      <c r="Q154" s="1">
        <f t="shared" si="61"/>
        <v>-1</v>
      </c>
      <c r="R154" s="1">
        <f t="shared" si="62"/>
        <v>-1</v>
      </c>
      <c r="S154" s="1">
        <f t="shared" si="63"/>
        <v>-1</v>
      </c>
    </row>
    <row r="155" spans="1:19">
      <c r="A155" t="s">
        <v>5</v>
      </c>
      <c r="B155" s="7">
        <v>0.439</v>
      </c>
      <c r="C155" s="7">
        <v>0.376</v>
      </c>
      <c r="D155" s="7">
        <v>0.16</v>
      </c>
      <c r="E155" s="7">
        <v>0</v>
      </c>
      <c r="F155" s="7">
        <v>0</v>
      </c>
      <c r="G155" s="7">
        <v>0</v>
      </c>
      <c r="H155" s="2">
        <f t="shared" si="52"/>
        <v>-0.39799999999999996</v>
      </c>
      <c r="I155" s="2">
        <f t="shared" si="53"/>
        <v>-0.44799999999999995</v>
      </c>
      <c r="J155" s="2">
        <f t="shared" si="54"/>
        <v>-0.42299999999999993</v>
      </c>
      <c r="K155" s="2">
        <f t="shared" si="55"/>
        <v>-0.78816047155478197</v>
      </c>
      <c r="L155" s="2">
        <f t="shared" si="56"/>
        <v>-0.43594300410752002</v>
      </c>
      <c r="M155" s="4">
        <f t="shared" si="57"/>
        <v>-0.79800000000000004</v>
      </c>
      <c r="N155" s="1">
        <f t="shared" si="58"/>
        <v>-0.47550776583034643</v>
      </c>
      <c r="O155" s="1">
        <f t="shared" si="59"/>
        <v>-0.5436893203883495</v>
      </c>
      <c r="P155" s="1">
        <f t="shared" si="60"/>
        <v>-0.72555746140651789</v>
      </c>
      <c r="Q155" s="1">
        <f t="shared" si="61"/>
        <v>-1</v>
      </c>
      <c r="R155" s="1">
        <f t="shared" si="62"/>
        <v>-1</v>
      </c>
      <c r="S155" s="1">
        <f t="shared" si="63"/>
        <v>-1</v>
      </c>
    </row>
    <row r="156" spans="1:19">
      <c r="A156" t="s">
        <v>6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2">
        <f t="shared" si="52"/>
        <v>-0.83699999999999997</v>
      </c>
      <c r="I156" s="2">
        <f t="shared" si="53"/>
        <v>-0.82399999999999995</v>
      </c>
      <c r="J156" s="2">
        <f t="shared" si="54"/>
        <v>-0.58299999999999996</v>
      </c>
      <c r="K156" s="2">
        <f t="shared" si="55"/>
        <v>-0.78816047155478197</v>
      </c>
      <c r="L156" s="2">
        <f t="shared" si="56"/>
        <v>-0.43594300410752002</v>
      </c>
      <c r="M156" s="4">
        <f t="shared" si="57"/>
        <v>-0.79800000000000004</v>
      </c>
      <c r="N156" s="1">
        <f t="shared" si="58"/>
        <v>-1</v>
      </c>
      <c r="O156" s="1">
        <f t="shared" si="59"/>
        <v>-1</v>
      </c>
      <c r="P156" s="1">
        <f t="shared" si="60"/>
        <v>-1</v>
      </c>
      <c r="Q156" s="1">
        <f t="shared" si="61"/>
        <v>-1</v>
      </c>
      <c r="R156" s="1">
        <f t="shared" si="62"/>
        <v>-1</v>
      </c>
      <c r="S156" s="1">
        <f t="shared" si="63"/>
        <v>-1</v>
      </c>
    </row>
    <row r="157" spans="1:19">
      <c r="A157" t="s">
        <v>7</v>
      </c>
      <c r="B157" s="7">
        <v>0.73599999999999999</v>
      </c>
      <c r="C157" s="7">
        <v>0.72399999999999998</v>
      </c>
      <c r="D157" s="7">
        <v>0.47699999999999998</v>
      </c>
      <c r="E157" s="7">
        <v>0</v>
      </c>
      <c r="F157" s="7">
        <v>0</v>
      </c>
      <c r="G157" s="7">
        <v>0</v>
      </c>
      <c r="H157" s="2">
        <f t="shared" si="52"/>
        <v>-0.10099999999999998</v>
      </c>
      <c r="I157" s="2">
        <f t="shared" si="53"/>
        <v>-9.9999999999999978E-2</v>
      </c>
      <c r="J157" s="2">
        <f t="shared" si="54"/>
        <v>-0.10599999999999998</v>
      </c>
      <c r="K157" s="2">
        <f t="shared" si="55"/>
        <v>-0.78816047155478197</v>
      </c>
      <c r="L157" s="2">
        <f t="shared" si="56"/>
        <v>-0.43594300410752002</v>
      </c>
      <c r="M157" s="4">
        <f t="shared" si="57"/>
        <v>-0.79800000000000004</v>
      </c>
      <c r="N157" s="1">
        <f t="shared" si="58"/>
        <v>-0.1206690561529271</v>
      </c>
      <c r="O157" s="1">
        <f t="shared" si="59"/>
        <v>-0.12135922330097085</v>
      </c>
      <c r="P157" s="1">
        <f t="shared" si="60"/>
        <v>-0.1818181818181818</v>
      </c>
      <c r="Q157" s="1">
        <f t="shared" si="61"/>
        <v>-1</v>
      </c>
      <c r="R157" s="1">
        <f t="shared" si="62"/>
        <v>-1</v>
      </c>
      <c r="S157" s="1">
        <f t="shared" si="63"/>
        <v>-1</v>
      </c>
    </row>
    <row r="158" spans="1:19">
      <c r="A158" t="s">
        <v>12</v>
      </c>
      <c r="B158" s="7">
        <v>0.69299999999999995</v>
      </c>
      <c r="C158" s="7">
        <v>0.67800000000000005</v>
      </c>
      <c r="D158" s="7">
        <v>0.435</v>
      </c>
      <c r="E158" s="7">
        <v>0</v>
      </c>
      <c r="F158" s="7">
        <v>0</v>
      </c>
      <c r="G158" s="7">
        <v>0</v>
      </c>
      <c r="H158" s="2">
        <f t="shared" si="52"/>
        <v>-0.14400000000000002</v>
      </c>
      <c r="I158" s="2">
        <f t="shared" si="53"/>
        <v>-0.14599999999999991</v>
      </c>
      <c r="J158" s="2">
        <f t="shared" si="54"/>
        <v>-0.14799999999999996</v>
      </c>
      <c r="K158" s="2">
        <f t="shared" si="55"/>
        <v>-0.78816047155478197</v>
      </c>
      <c r="L158" s="2">
        <f t="shared" si="56"/>
        <v>-0.43594300410752002</v>
      </c>
      <c r="M158" s="4">
        <f t="shared" si="57"/>
        <v>-0.79800000000000004</v>
      </c>
      <c r="N158" s="1">
        <f t="shared" si="58"/>
        <v>-0.17204301075268819</v>
      </c>
      <c r="O158" s="1">
        <f t="shared" si="59"/>
        <v>-0.17718446601941737</v>
      </c>
      <c r="P158" s="1">
        <f t="shared" si="60"/>
        <v>-0.25385934819897077</v>
      </c>
      <c r="Q158" s="1">
        <f t="shared" si="61"/>
        <v>-1</v>
      </c>
      <c r="R158" s="1">
        <f t="shared" si="62"/>
        <v>-1</v>
      </c>
      <c r="S158" s="1">
        <f t="shared" si="63"/>
        <v>-1</v>
      </c>
    </row>
    <row r="159" spans="1:19">
      <c r="A159" t="s">
        <v>14</v>
      </c>
      <c r="B159" s="7">
        <v>0.441</v>
      </c>
      <c r="C159" s="7">
        <v>0.39800000000000002</v>
      </c>
      <c r="D159" s="7">
        <v>0.17699999999999999</v>
      </c>
      <c r="E159" s="7">
        <v>0</v>
      </c>
      <c r="F159" s="7">
        <v>0</v>
      </c>
      <c r="G159" s="7">
        <v>0</v>
      </c>
      <c r="H159" s="2">
        <f t="shared" si="52"/>
        <v>-0.39599999999999996</v>
      </c>
      <c r="I159" s="2">
        <f t="shared" si="53"/>
        <v>-0.42599999999999993</v>
      </c>
      <c r="J159" s="2">
        <f t="shared" si="54"/>
        <v>-0.40599999999999997</v>
      </c>
      <c r="K159" s="2">
        <f t="shared" si="55"/>
        <v>-0.78816047155478197</v>
      </c>
      <c r="L159" s="2">
        <f t="shared" si="56"/>
        <v>-0.43594300410752002</v>
      </c>
      <c r="M159" s="4">
        <f t="shared" si="57"/>
        <v>-0.79800000000000004</v>
      </c>
      <c r="N159" s="1">
        <f t="shared" si="58"/>
        <v>-0.47311827956989244</v>
      </c>
      <c r="O159" s="1">
        <f t="shared" si="59"/>
        <v>-0.51699029126213591</v>
      </c>
      <c r="P159" s="1">
        <f t="shared" si="60"/>
        <v>-0.69639794168096059</v>
      </c>
      <c r="Q159" s="1">
        <f t="shared" si="61"/>
        <v>-1</v>
      </c>
      <c r="R159" s="1">
        <f t="shared" si="62"/>
        <v>-1</v>
      </c>
      <c r="S159" s="1">
        <f t="shared" si="63"/>
        <v>-1</v>
      </c>
    </row>
    <row r="160" spans="1:19">
      <c r="A160" t="s">
        <v>16</v>
      </c>
      <c r="B160" s="7">
        <v>0.74199999999999999</v>
      </c>
      <c r="C160" s="7">
        <v>0.72599999999999998</v>
      </c>
      <c r="D160" s="7">
        <v>0.48099999999999998</v>
      </c>
      <c r="E160" s="7">
        <v>0</v>
      </c>
      <c r="F160" s="7">
        <v>0</v>
      </c>
      <c r="G160" s="7">
        <v>0</v>
      </c>
      <c r="H160" s="2">
        <f t="shared" si="52"/>
        <v>-9.4999999999999973E-2</v>
      </c>
      <c r="I160" s="2">
        <f t="shared" si="53"/>
        <v>-9.7999999999999976E-2</v>
      </c>
      <c r="J160" s="2">
        <f t="shared" si="54"/>
        <v>-0.10199999999999998</v>
      </c>
      <c r="K160" s="2">
        <f t="shared" si="55"/>
        <v>-0.78816047155478197</v>
      </c>
      <c r="L160" s="2">
        <f t="shared" si="56"/>
        <v>-0.43594300410752002</v>
      </c>
      <c r="M160" s="4">
        <f t="shared" si="57"/>
        <v>-0.79800000000000004</v>
      </c>
      <c r="N160" s="1">
        <f t="shared" si="58"/>
        <v>-0.11350059737156509</v>
      </c>
      <c r="O160" s="1">
        <f t="shared" si="59"/>
        <v>-0.11893203883495143</v>
      </c>
      <c r="P160" s="1">
        <f t="shared" si="60"/>
        <v>-0.17495711835334474</v>
      </c>
      <c r="Q160" s="1">
        <f t="shared" si="61"/>
        <v>-1</v>
      </c>
      <c r="R160" s="1">
        <f t="shared" si="62"/>
        <v>-1</v>
      </c>
      <c r="S160" s="1">
        <f t="shared" si="63"/>
        <v>-1</v>
      </c>
    </row>
    <row r="161" spans="1:19">
      <c r="A161" t="s">
        <v>18</v>
      </c>
      <c r="B161" s="7">
        <v>0.68400000000000005</v>
      </c>
      <c r="C161" s="7">
        <v>0.67100000000000004</v>
      </c>
      <c r="D161" s="7">
        <v>0.42</v>
      </c>
      <c r="E161" s="7">
        <v>0</v>
      </c>
      <c r="F161" s="7">
        <v>0</v>
      </c>
      <c r="G161" s="7">
        <v>0</v>
      </c>
      <c r="H161" s="2">
        <f t="shared" si="52"/>
        <v>-0.15299999999999991</v>
      </c>
      <c r="I161" s="2">
        <f t="shared" si="53"/>
        <v>-0.15299999999999991</v>
      </c>
      <c r="J161" s="2">
        <f t="shared" si="54"/>
        <v>-0.16299999999999998</v>
      </c>
      <c r="K161" s="2">
        <f t="shared" si="55"/>
        <v>-0.78816047155478197</v>
      </c>
      <c r="L161" s="2">
        <f t="shared" si="56"/>
        <v>-0.43594300410752002</v>
      </c>
      <c r="M161" s="4">
        <f t="shared" si="57"/>
        <v>-0.79800000000000004</v>
      </c>
      <c r="N161" s="1">
        <f t="shared" si="58"/>
        <v>-0.18279569892473108</v>
      </c>
      <c r="O161" s="1">
        <f t="shared" si="59"/>
        <v>-0.18567961165048535</v>
      </c>
      <c r="P161" s="1">
        <f t="shared" si="60"/>
        <v>-0.27958833619210977</v>
      </c>
      <c r="Q161" s="1">
        <f t="shared" si="61"/>
        <v>-1</v>
      </c>
      <c r="R161" s="1">
        <f t="shared" si="62"/>
        <v>-1</v>
      </c>
      <c r="S161" s="1">
        <f t="shared" si="63"/>
        <v>-1</v>
      </c>
    </row>
    <row r="162" spans="1:19">
      <c r="A162" t="s">
        <v>20</v>
      </c>
      <c r="B162" s="7">
        <v>0.42199999999999999</v>
      </c>
      <c r="C162" s="7">
        <v>0.35099999999999998</v>
      </c>
      <c r="D162" s="7">
        <v>0.14499999999999999</v>
      </c>
      <c r="E162" s="7">
        <v>0</v>
      </c>
      <c r="F162" s="7">
        <v>0</v>
      </c>
      <c r="G162" s="7">
        <v>0</v>
      </c>
      <c r="H162" s="2">
        <f t="shared" ref="H162:H193" si="64">B162-V$2</f>
        <v>-0.41499999999999998</v>
      </c>
      <c r="I162" s="2">
        <f t="shared" ref="I162:I193" si="65">C162-W$2</f>
        <v>-0.47299999999999998</v>
      </c>
      <c r="J162" s="2">
        <f t="shared" ref="J162:J193" si="66">D162-X$2</f>
        <v>-0.43799999999999994</v>
      </c>
      <c r="K162" s="2">
        <f t="shared" ref="K162:K193" si="67">E162-Y$2</f>
        <v>-0.78816047155478197</v>
      </c>
      <c r="L162" s="2">
        <f t="shared" ref="L162:L193" si="68">F162-Z$2</f>
        <v>-0.43594300410752002</v>
      </c>
      <c r="M162" s="4">
        <f t="shared" ref="M162:M193" si="69">G162-AA$2</f>
        <v>-0.79800000000000004</v>
      </c>
      <c r="N162" s="1">
        <f t="shared" ref="N162:N193" si="70">(B162-V$2)/V$2</f>
        <v>-0.49581839904420549</v>
      </c>
      <c r="O162" s="1">
        <f t="shared" ref="O162:O193" si="71">(C162-W$2)/W$2</f>
        <v>-0.57402912621359226</v>
      </c>
      <c r="P162" s="1">
        <f t="shared" ref="P162:P193" si="72">(D162-X$2)/X$2</f>
        <v>-0.75128644939965694</v>
      </c>
      <c r="Q162" s="1">
        <f t="shared" ref="Q162:Q193" si="73">(E162-Y$2)/Y$2</f>
        <v>-1</v>
      </c>
      <c r="R162" s="1">
        <f t="shared" ref="R162:R193" si="74">(F162-Z$2)/Z$2</f>
        <v>-1</v>
      </c>
      <c r="S162" s="1">
        <f t="shared" ref="S162:S193" si="75">(G162-AA$2)/AA$2</f>
        <v>-1</v>
      </c>
    </row>
    <row r="163" spans="1:19">
      <c r="A163" t="s">
        <v>21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2">
        <f t="shared" si="64"/>
        <v>-0.83699999999999997</v>
      </c>
      <c r="I163" s="2">
        <f t="shared" si="65"/>
        <v>-0.82399999999999995</v>
      </c>
      <c r="J163" s="2">
        <f t="shared" si="66"/>
        <v>-0.58299999999999996</v>
      </c>
      <c r="K163" s="2">
        <f t="shared" si="67"/>
        <v>-0.78816047155478197</v>
      </c>
      <c r="L163" s="2">
        <f t="shared" si="68"/>
        <v>-0.43594300410752002</v>
      </c>
      <c r="M163" s="4">
        <f t="shared" si="69"/>
        <v>-0.79800000000000004</v>
      </c>
      <c r="N163" s="1">
        <f t="shared" si="70"/>
        <v>-1</v>
      </c>
      <c r="O163" s="1">
        <f t="shared" si="71"/>
        <v>-1</v>
      </c>
      <c r="P163" s="1">
        <f t="shared" si="72"/>
        <v>-1</v>
      </c>
      <c r="Q163" s="1">
        <f t="shared" si="73"/>
        <v>-1</v>
      </c>
      <c r="R163" s="1">
        <f t="shared" si="74"/>
        <v>-1</v>
      </c>
      <c r="S163" s="1">
        <f t="shared" si="75"/>
        <v>-1</v>
      </c>
    </row>
    <row r="164" spans="1:19">
      <c r="A164" t="s">
        <v>22</v>
      </c>
      <c r="B164" s="7">
        <v>0.73899999999999999</v>
      </c>
      <c r="C164" s="7">
        <v>0.72899999999999998</v>
      </c>
      <c r="D164" s="7">
        <v>0.48399999999999999</v>
      </c>
      <c r="E164" s="7">
        <v>0</v>
      </c>
      <c r="F164" s="7">
        <v>0</v>
      </c>
      <c r="G164" s="7">
        <v>0</v>
      </c>
      <c r="H164" s="2">
        <f t="shared" si="64"/>
        <v>-9.7999999999999976E-2</v>
      </c>
      <c r="I164" s="2">
        <f t="shared" si="65"/>
        <v>-9.4999999999999973E-2</v>
      </c>
      <c r="J164" s="2">
        <f t="shared" si="66"/>
        <v>-9.8999999999999977E-2</v>
      </c>
      <c r="K164" s="2">
        <f t="shared" si="67"/>
        <v>-0.78816047155478197</v>
      </c>
      <c r="L164" s="2">
        <f t="shared" si="68"/>
        <v>-0.43594300410752002</v>
      </c>
      <c r="M164" s="4">
        <f t="shared" si="69"/>
        <v>-0.79800000000000004</v>
      </c>
      <c r="N164" s="1">
        <f t="shared" si="70"/>
        <v>-0.11708482676224609</v>
      </c>
      <c r="O164" s="1">
        <f t="shared" si="71"/>
        <v>-0.11529126213592231</v>
      </c>
      <c r="P164" s="1">
        <f t="shared" si="72"/>
        <v>-0.16981132075471694</v>
      </c>
      <c r="Q164" s="1">
        <f t="shared" si="73"/>
        <v>-1</v>
      </c>
      <c r="R164" s="1">
        <f t="shared" si="74"/>
        <v>-1</v>
      </c>
      <c r="S164" s="1">
        <f t="shared" si="75"/>
        <v>-1</v>
      </c>
    </row>
    <row r="165" spans="1:19">
      <c r="A165" t="s">
        <v>24</v>
      </c>
      <c r="B165" s="7">
        <v>0.71099999999999997</v>
      </c>
      <c r="C165" s="7">
        <v>0.69599999999999995</v>
      </c>
      <c r="D165" s="7">
        <v>0.45100000000000001</v>
      </c>
      <c r="E165" s="7">
        <v>0</v>
      </c>
      <c r="F165" s="7">
        <v>0</v>
      </c>
      <c r="G165" s="7">
        <v>0</v>
      </c>
      <c r="H165" s="2">
        <f t="shared" si="64"/>
        <v>-0.126</v>
      </c>
      <c r="I165" s="2">
        <f t="shared" si="65"/>
        <v>-0.128</v>
      </c>
      <c r="J165" s="2">
        <f t="shared" si="66"/>
        <v>-0.13199999999999995</v>
      </c>
      <c r="K165" s="2">
        <f t="shared" si="67"/>
        <v>-0.78816047155478197</v>
      </c>
      <c r="L165" s="2">
        <f t="shared" si="68"/>
        <v>-0.43594300410752002</v>
      </c>
      <c r="M165" s="4">
        <f t="shared" si="69"/>
        <v>-0.79800000000000004</v>
      </c>
      <c r="N165" s="1">
        <f t="shared" si="70"/>
        <v>-0.15053763440860216</v>
      </c>
      <c r="O165" s="1">
        <f t="shared" si="71"/>
        <v>-0.15533980582524273</v>
      </c>
      <c r="P165" s="1">
        <f t="shared" si="72"/>
        <v>-0.22641509433962256</v>
      </c>
      <c r="Q165" s="1">
        <f t="shared" si="73"/>
        <v>-1</v>
      </c>
      <c r="R165" s="1">
        <f t="shared" si="74"/>
        <v>-1</v>
      </c>
      <c r="S165" s="1">
        <f t="shared" si="75"/>
        <v>-1</v>
      </c>
    </row>
    <row r="166" spans="1:19">
      <c r="A166" t="s">
        <v>26</v>
      </c>
      <c r="B166" s="7">
        <v>0.42099999999999999</v>
      </c>
      <c r="C166" s="7">
        <v>0.35699999999999998</v>
      </c>
      <c r="D166" s="7">
        <v>0.152</v>
      </c>
      <c r="E166" s="7">
        <v>0</v>
      </c>
      <c r="F166" s="7">
        <v>0</v>
      </c>
      <c r="G166" s="7">
        <v>0</v>
      </c>
      <c r="H166" s="2">
        <f t="shared" si="64"/>
        <v>-0.41599999999999998</v>
      </c>
      <c r="I166" s="2">
        <f t="shared" si="65"/>
        <v>-0.46699999999999997</v>
      </c>
      <c r="J166" s="2">
        <f t="shared" si="66"/>
        <v>-0.43099999999999994</v>
      </c>
      <c r="K166" s="2">
        <f t="shared" si="67"/>
        <v>-0.78816047155478197</v>
      </c>
      <c r="L166" s="2">
        <f t="shared" si="68"/>
        <v>-0.43594300410752002</v>
      </c>
      <c r="M166" s="4">
        <f t="shared" si="69"/>
        <v>-0.79800000000000004</v>
      </c>
      <c r="N166" s="1">
        <f t="shared" si="70"/>
        <v>-0.49701314217443249</v>
      </c>
      <c r="O166" s="1">
        <f t="shared" si="71"/>
        <v>-0.56674757281553401</v>
      </c>
      <c r="P166" s="1">
        <f t="shared" si="72"/>
        <v>-0.73927958833619201</v>
      </c>
      <c r="Q166" s="1">
        <f t="shared" si="73"/>
        <v>-1</v>
      </c>
      <c r="R166" s="1">
        <f t="shared" si="74"/>
        <v>-1</v>
      </c>
      <c r="S166" s="1">
        <f t="shared" si="75"/>
        <v>-1</v>
      </c>
    </row>
    <row r="167" spans="1:19">
      <c r="A167" t="s">
        <v>27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2">
        <f t="shared" si="64"/>
        <v>-0.83699999999999997</v>
      </c>
      <c r="I167" s="2">
        <f t="shared" si="65"/>
        <v>-0.82399999999999995</v>
      </c>
      <c r="J167" s="2">
        <f t="shared" si="66"/>
        <v>-0.58299999999999996</v>
      </c>
      <c r="K167" s="2">
        <f t="shared" si="67"/>
        <v>-0.78816047155478197</v>
      </c>
      <c r="L167" s="2">
        <f t="shared" si="68"/>
        <v>-0.43594300410752002</v>
      </c>
      <c r="M167" s="4">
        <f t="shared" si="69"/>
        <v>-0.79800000000000004</v>
      </c>
      <c r="N167" s="1">
        <f t="shared" si="70"/>
        <v>-1</v>
      </c>
      <c r="O167" s="1">
        <f t="shared" si="71"/>
        <v>-1</v>
      </c>
      <c r="P167" s="1">
        <f t="shared" si="72"/>
        <v>-1</v>
      </c>
      <c r="Q167" s="1">
        <f t="shared" si="73"/>
        <v>-1</v>
      </c>
      <c r="R167" s="1">
        <f t="shared" si="74"/>
        <v>-1</v>
      </c>
      <c r="S167" s="1">
        <f t="shared" si="75"/>
        <v>-1</v>
      </c>
    </row>
    <row r="168" spans="1:19">
      <c r="A168" t="s">
        <v>28</v>
      </c>
      <c r="B168" s="7">
        <v>0.74099999999999999</v>
      </c>
      <c r="C168" s="7">
        <v>0.72899999999999998</v>
      </c>
      <c r="D168" s="7">
        <v>0.47799999999999998</v>
      </c>
      <c r="E168" s="7">
        <v>0</v>
      </c>
      <c r="F168" s="7">
        <v>0</v>
      </c>
      <c r="G168" s="7">
        <v>0</v>
      </c>
      <c r="H168" s="2">
        <f t="shared" si="64"/>
        <v>-9.5999999999999974E-2</v>
      </c>
      <c r="I168" s="2">
        <f t="shared" si="65"/>
        <v>-9.4999999999999973E-2</v>
      </c>
      <c r="J168" s="2">
        <f t="shared" si="66"/>
        <v>-0.10499999999999998</v>
      </c>
      <c r="K168" s="2">
        <f t="shared" si="67"/>
        <v>-0.78816047155478197</v>
      </c>
      <c r="L168" s="2">
        <f t="shared" si="68"/>
        <v>-0.43594300410752002</v>
      </c>
      <c r="M168" s="4">
        <f t="shared" si="69"/>
        <v>-0.79800000000000004</v>
      </c>
      <c r="N168" s="1">
        <f t="shared" si="70"/>
        <v>-0.11469534050179209</v>
      </c>
      <c r="O168" s="1">
        <f t="shared" si="71"/>
        <v>-0.11529126213592231</v>
      </c>
      <c r="P168" s="1">
        <f t="shared" si="72"/>
        <v>-0.18010291595197253</v>
      </c>
      <c r="Q168" s="1">
        <f t="shared" si="73"/>
        <v>-1</v>
      </c>
      <c r="R168" s="1">
        <f t="shared" si="74"/>
        <v>-1</v>
      </c>
      <c r="S168" s="1">
        <f t="shared" si="75"/>
        <v>-1</v>
      </c>
    </row>
    <row r="169" spans="1:19">
      <c r="A169" t="s">
        <v>30</v>
      </c>
      <c r="B169" s="7">
        <v>0.70799999999999996</v>
      </c>
      <c r="C169" s="7">
        <v>0.70099999999999996</v>
      </c>
      <c r="D169" s="7">
        <v>0.44500000000000001</v>
      </c>
      <c r="E169" s="7">
        <v>0</v>
      </c>
      <c r="F169" s="7">
        <v>0</v>
      </c>
      <c r="G169" s="7">
        <v>0</v>
      </c>
      <c r="H169" s="2">
        <f t="shared" si="64"/>
        <v>-0.129</v>
      </c>
      <c r="I169" s="2">
        <f t="shared" si="65"/>
        <v>-0.123</v>
      </c>
      <c r="J169" s="2">
        <f t="shared" si="66"/>
        <v>-0.13799999999999996</v>
      </c>
      <c r="K169" s="2">
        <f t="shared" si="67"/>
        <v>-0.78816047155478197</v>
      </c>
      <c r="L169" s="2">
        <f t="shared" si="68"/>
        <v>-0.43594300410752002</v>
      </c>
      <c r="M169" s="4">
        <f t="shared" si="69"/>
        <v>-0.79800000000000004</v>
      </c>
      <c r="N169" s="1">
        <f t="shared" si="70"/>
        <v>-0.15412186379928317</v>
      </c>
      <c r="O169" s="1">
        <f t="shared" si="71"/>
        <v>-0.14927184466019419</v>
      </c>
      <c r="P169" s="1">
        <f t="shared" si="72"/>
        <v>-0.23670668953687815</v>
      </c>
      <c r="Q169" s="1">
        <f t="shared" si="73"/>
        <v>-1</v>
      </c>
      <c r="R169" s="1">
        <f t="shared" si="74"/>
        <v>-1</v>
      </c>
      <c r="S169" s="1">
        <f t="shared" si="75"/>
        <v>-1</v>
      </c>
    </row>
    <row r="170" spans="1:19">
      <c r="A170" t="s">
        <v>32</v>
      </c>
      <c r="B170" s="7">
        <v>0.47899999999999998</v>
      </c>
      <c r="C170" s="7">
        <v>0.442</v>
      </c>
      <c r="D170" s="7">
        <v>0.2</v>
      </c>
      <c r="E170" s="7">
        <v>0</v>
      </c>
      <c r="F170" s="7">
        <v>0</v>
      </c>
      <c r="G170" s="7">
        <v>0</v>
      </c>
      <c r="H170" s="2">
        <f t="shared" si="64"/>
        <v>-0.35799999999999998</v>
      </c>
      <c r="I170" s="2">
        <f t="shared" si="65"/>
        <v>-0.38199999999999995</v>
      </c>
      <c r="J170" s="2">
        <f t="shared" si="66"/>
        <v>-0.38299999999999995</v>
      </c>
      <c r="K170" s="2">
        <f t="shared" si="67"/>
        <v>-0.78816047155478197</v>
      </c>
      <c r="L170" s="2">
        <f t="shared" si="68"/>
        <v>-0.43594300410752002</v>
      </c>
      <c r="M170" s="4">
        <f t="shared" si="69"/>
        <v>-0.79800000000000004</v>
      </c>
      <c r="N170" s="1">
        <f t="shared" si="70"/>
        <v>-0.42771804062126645</v>
      </c>
      <c r="O170" s="1">
        <f t="shared" si="71"/>
        <v>-0.4635922330097087</v>
      </c>
      <c r="P170" s="1">
        <f t="shared" si="72"/>
        <v>-0.65694682675814742</v>
      </c>
      <c r="Q170" s="1">
        <f t="shared" si="73"/>
        <v>-1</v>
      </c>
      <c r="R170" s="1">
        <f t="shared" si="74"/>
        <v>-1</v>
      </c>
      <c r="S170" s="1">
        <f t="shared" si="75"/>
        <v>-1</v>
      </c>
    </row>
    <row r="171" spans="1:19">
      <c r="A171" t="s">
        <v>33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2">
        <f t="shared" si="64"/>
        <v>-0.83699999999999997</v>
      </c>
      <c r="I171" s="2">
        <f t="shared" si="65"/>
        <v>-0.82399999999999995</v>
      </c>
      <c r="J171" s="2">
        <f t="shared" si="66"/>
        <v>-0.58299999999999996</v>
      </c>
      <c r="K171" s="2">
        <f t="shared" si="67"/>
        <v>-0.78816047155478197</v>
      </c>
      <c r="L171" s="2">
        <f t="shared" si="68"/>
        <v>-0.43594300410752002</v>
      </c>
      <c r="M171" s="4">
        <f t="shared" si="69"/>
        <v>-0.79800000000000004</v>
      </c>
      <c r="N171" s="1">
        <f t="shared" si="70"/>
        <v>-1</v>
      </c>
      <c r="O171" s="1">
        <f t="shared" si="71"/>
        <v>-1</v>
      </c>
      <c r="P171" s="1">
        <f t="shared" si="72"/>
        <v>-1</v>
      </c>
      <c r="Q171" s="1">
        <f t="shared" si="73"/>
        <v>-1</v>
      </c>
      <c r="R171" s="1">
        <f t="shared" si="74"/>
        <v>-1</v>
      </c>
      <c r="S171" s="1">
        <f t="shared" si="75"/>
        <v>-1</v>
      </c>
    </row>
    <row r="172" spans="1:19">
      <c r="A172" t="s">
        <v>34</v>
      </c>
      <c r="B172" s="7">
        <v>0.72499999999999998</v>
      </c>
      <c r="C172" s="7">
        <v>0.71199999999999997</v>
      </c>
      <c r="D172" s="7">
        <v>0.45700000000000002</v>
      </c>
      <c r="E172" s="7">
        <v>0</v>
      </c>
      <c r="F172" s="7">
        <v>0</v>
      </c>
      <c r="G172" s="7">
        <v>0</v>
      </c>
      <c r="H172" s="2">
        <f t="shared" si="64"/>
        <v>-0.11199999999999999</v>
      </c>
      <c r="I172" s="2">
        <f t="shared" si="65"/>
        <v>-0.11199999999999999</v>
      </c>
      <c r="J172" s="2">
        <f t="shared" si="66"/>
        <v>-0.12599999999999995</v>
      </c>
      <c r="K172" s="2">
        <f t="shared" si="67"/>
        <v>-0.78816047155478197</v>
      </c>
      <c r="L172" s="2">
        <f t="shared" si="68"/>
        <v>-0.43594300410752002</v>
      </c>
      <c r="M172" s="4">
        <f t="shared" si="69"/>
        <v>-0.79800000000000004</v>
      </c>
      <c r="N172" s="1">
        <f t="shared" si="70"/>
        <v>-0.13381123058542413</v>
      </c>
      <c r="O172" s="1">
        <f t="shared" si="71"/>
        <v>-0.13592233009708737</v>
      </c>
      <c r="P172" s="1">
        <f t="shared" si="72"/>
        <v>-0.21612349914236698</v>
      </c>
      <c r="Q172" s="1">
        <f t="shared" si="73"/>
        <v>-1</v>
      </c>
      <c r="R172" s="1">
        <f t="shared" si="74"/>
        <v>-1</v>
      </c>
      <c r="S172" s="1">
        <f t="shared" si="75"/>
        <v>-1</v>
      </c>
    </row>
    <row r="173" spans="1:19">
      <c r="A173" t="s">
        <v>36</v>
      </c>
      <c r="B173" s="7">
        <v>0.7</v>
      </c>
      <c r="C173" s="7">
        <v>0.68899999999999995</v>
      </c>
      <c r="D173" s="7">
        <v>0.434</v>
      </c>
      <c r="E173" s="7">
        <v>0</v>
      </c>
      <c r="F173" s="7">
        <v>0</v>
      </c>
      <c r="G173" s="7">
        <v>0</v>
      </c>
      <c r="H173" s="2">
        <f t="shared" si="64"/>
        <v>-0.13700000000000001</v>
      </c>
      <c r="I173" s="2">
        <f t="shared" si="65"/>
        <v>-0.13500000000000001</v>
      </c>
      <c r="J173" s="2">
        <f t="shared" si="66"/>
        <v>-0.14899999999999997</v>
      </c>
      <c r="K173" s="2">
        <f t="shared" si="67"/>
        <v>-0.78816047155478197</v>
      </c>
      <c r="L173" s="2">
        <f t="shared" si="68"/>
        <v>-0.43594300410752002</v>
      </c>
      <c r="M173" s="4">
        <f t="shared" si="69"/>
        <v>-0.79800000000000004</v>
      </c>
      <c r="N173" s="1">
        <f t="shared" si="70"/>
        <v>-0.16367980884109917</v>
      </c>
      <c r="O173" s="1">
        <f t="shared" si="71"/>
        <v>-0.16383495145631069</v>
      </c>
      <c r="P173" s="1">
        <f t="shared" si="72"/>
        <v>-0.25557461406518006</v>
      </c>
      <c r="Q173" s="1">
        <f t="shared" si="73"/>
        <v>-1</v>
      </c>
      <c r="R173" s="1">
        <f t="shared" si="74"/>
        <v>-1</v>
      </c>
      <c r="S173" s="1">
        <f t="shared" si="75"/>
        <v>-1</v>
      </c>
    </row>
    <row r="174" spans="1:19">
      <c r="A174" t="s">
        <v>38</v>
      </c>
      <c r="B174" s="7">
        <v>0.378</v>
      </c>
      <c r="C174" s="7">
        <v>0.31900000000000001</v>
      </c>
      <c r="D174" s="7">
        <v>0.13200000000000001</v>
      </c>
      <c r="E174" s="7">
        <v>0</v>
      </c>
      <c r="F174" s="7">
        <v>0</v>
      </c>
      <c r="G174" s="7">
        <v>0</v>
      </c>
      <c r="H174" s="2">
        <f t="shared" si="64"/>
        <v>-0.45899999999999996</v>
      </c>
      <c r="I174" s="2">
        <f t="shared" si="65"/>
        <v>-0.50499999999999989</v>
      </c>
      <c r="J174" s="2">
        <f t="shared" si="66"/>
        <v>-0.45099999999999996</v>
      </c>
      <c r="K174" s="2">
        <f t="shared" si="67"/>
        <v>-0.78816047155478197</v>
      </c>
      <c r="L174" s="2">
        <f t="shared" si="68"/>
        <v>-0.43594300410752002</v>
      </c>
      <c r="M174" s="4">
        <f t="shared" si="69"/>
        <v>-0.79800000000000004</v>
      </c>
      <c r="N174" s="1">
        <f t="shared" si="70"/>
        <v>-0.54838709677419351</v>
      </c>
      <c r="O174" s="1">
        <f t="shared" si="71"/>
        <v>-0.61286407766990281</v>
      </c>
      <c r="P174" s="1">
        <f t="shared" si="72"/>
        <v>-0.7735849056603773</v>
      </c>
      <c r="Q174" s="1">
        <f t="shared" si="73"/>
        <v>-1</v>
      </c>
      <c r="R174" s="1">
        <f t="shared" si="74"/>
        <v>-1</v>
      </c>
      <c r="S174" s="1">
        <f t="shared" si="75"/>
        <v>-1</v>
      </c>
    </row>
    <row r="175" spans="1:19">
      <c r="A175" t="s">
        <v>40</v>
      </c>
      <c r="B175" s="7">
        <v>0.73699999999999999</v>
      </c>
      <c r="C175" s="7">
        <v>0.72199999999999998</v>
      </c>
      <c r="D175" s="7">
        <v>0.46899999999999997</v>
      </c>
      <c r="E175" s="7">
        <v>0</v>
      </c>
      <c r="F175" s="7">
        <v>0</v>
      </c>
      <c r="G175" s="7">
        <v>0</v>
      </c>
      <c r="H175" s="2">
        <f t="shared" si="64"/>
        <v>-9.9999999999999978E-2</v>
      </c>
      <c r="I175" s="2">
        <f t="shared" si="65"/>
        <v>-0.10199999999999998</v>
      </c>
      <c r="J175" s="2">
        <f t="shared" si="66"/>
        <v>-0.11399999999999999</v>
      </c>
      <c r="K175" s="2">
        <f t="shared" si="67"/>
        <v>-0.78816047155478197</v>
      </c>
      <c r="L175" s="2">
        <f t="shared" si="68"/>
        <v>-0.43594300410752002</v>
      </c>
      <c r="M175" s="4">
        <f t="shared" si="69"/>
        <v>-0.79800000000000004</v>
      </c>
      <c r="N175" s="1">
        <f t="shared" si="70"/>
        <v>-0.1194743130227001</v>
      </c>
      <c r="O175" s="1">
        <f t="shared" si="71"/>
        <v>-0.12378640776699028</v>
      </c>
      <c r="P175" s="1">
        <f t="shared" si="72"/>
        <v>-0.19554030874785591</v>
      </c>
      <c r="Q175" s="1">
        <f t="shared" si="73"/>
        <v>-1</v>
      </c>
      <c r="R175" s="1">
        <f t="shared" si="74"/>
        <v>-1</v>
      </c>
      <c r="S175" s="1">
        <f t="shared" si="75"/>
        <v>-1</v>
      </c>
    </row>
    <row r="176" spans="1:19">
      <c r="A176" t="s">
        <v>75</v>
      </c>
      <c r="B176" s="7">
        <v>0.10299999999999999</v>
      </c>
      <c r="C176" s="7">
        <v>2.8000000000000001E-2</v>
      </c>
      <c r="D176" s="7">
        <v>6.0000000000000001E-3</v>
      </c>
      <c r="E176" s="7">
        <v>0</v>
      </c>
      <c r="F176" s="7">
        <v>0</v>
      </c>
      <c r="G176" s="7">
        <v>0</v>
      </c>
      <c r="H176" s="2">
        <f t="shared" si="64"/>
        <v>-0.73399999999999999</v>
      </c>
      <c r="I176" s="2">
        <f t="shared" si="65"/>
        <v>-0.79599999999999993</v>
      </c>
      <c r="J176" s="2">
        <f t="shared" si="66"/>
        <v>-0.57699999999999996</v>
      </c>
      <c r="K176" s="2">
        <f t="shared" si="67"/>
        <v>-0.78816047155478197</v>
      </c>
      <c r="L176" s="2">
        <f t="shared" si="68"/>
        <v>-0.43594300410752002</v>
      </c>
      <c r="M176" s="4">
        <f t="shared" si="69"/>
        <v>-0.79800000000000004</v>
      </c>
      <c r="N176" s="1">
        <f t="shared" si="70"/>
        <v>-0.8769414575866189</v>
      </c>
      <c r="O176" s="1">
        <f t="shared" si="71"/>
        <v>-0.96601941747572817</v>
      </c>
      <c r="P176" s="1">
        <f t="shared" si="72"/>
        <v>-0.98970840480274447</v>
      </c>
      <c r="Q176" s="1">
        <f t="shared" si="73"/>
        <v>-1</v>
      </c>
      <c r="R176" s="1">
        <f t="shared" si="74"/>
        <v>-1</v>
      </c>
      <c r="S176" s="1">
        <f t="shared" si="75"/>
        <v>-1</v>
      </c>
    </row>
    <row r="177" spans="1:19">
      <c r="A177" t="s">
        <v>74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2">
        <f t="shared" si="64"/>
        <v>-0.83699999999999997</v>
      </c>
      <c r="I177" s="2">
        <f t="shared" si="65"/>
        <v>-0.82399999999999995</v>
      </c>
      <c r="J177" s="2">
        <f t="shared" si="66"/>
        <v>-0.58299999999999996</v>
      </c>
      <c r="K177" s="2">
        <f t="shared" si="67"/>
        <v>-0.78816047155478197</v>
      </c>
      <c r="L177" s="2">
        <f t="shared" si="68"/>
        <v>-0.43594300410752002</v>
      </c>
      <c r="M177" s="4">
        <f t="shared" si="69"/>
        <v>-0.79800000000000004</v>
      </c>
      <c r="N177" s="1">
        <f t="shared" si="70"/>
        <v>-1</v>
      </c>
      <c r="O177" s="1">
        <f t="shared" si="71"/>
        <v>-1</v>
      </c>
      <c r="P177" s="1">
        <f t="shared" si="72"/>
        <v>-1</v>
      </c>
      <c r="Q177" s="1">
        <f t="shared" si="73"/>
        <v>-1</v>
      </c>
      <c r="R177" s="1">
        <f t="shared" si="74"/>
        <v>-1</v>
      </c>
      <c r="S177" s="1">
        <f t="shared" si="75"/>
        <v>-1</v>
      </c>
    </row>
    <row r="178" spans="1:19">
      <c r="A178" t="s">
        <v>79</v>
      </c>
      <c r="B178" s="7">
        <v>0.10299999999999999</v>
      </c>
      <c r="C178" s="7">
        <v>2.8000000000000001E-2</v>
      </c>
      <c r="D178" s="7">
        <v>6.0000000000000001E-3</v>
      </c>
      <c r="E178" s="7">
        <v>0</v>
      </c>
      <c r="F178" s="7">
        <v>0</v>
      </c>
      <c r="G178" s="7">
        <v>0</v>
      </c>
      <c r="H178" s="2">
        <f t="shared" si="64"/>
        <v>-0.73399999999999999</v>
      </c>
      <c r="I178" s="2">
        <f t="shared" si="65"/>
        <v>-0.79599999999999993</v>
      </c>
      <c r="J178" s="2">
        <f t="shared" si="66"/>
        <v>-0.57699999999999996</v>
      </c>
      <c r="K178" s="2">
        <f t="shared" si="67"/>
        <v>-0.78816047155478197</v>
      </c>
      <c r="L178" s="2">
        <f t="shared" si="68"/>
        <v>-0.43594300410752002</v>
      </c>
      <c r="M178" s="4">
        <f t="shared" si="69"/>
        <v>-0.79800000000000004</v>
      </c>
      <c r="N178" s="1">
        <f t="shared" si="70"/>
        <v>-0.8769414575866189</v>
      </c>
      <c r="O178" s="1">
        <f t="shared" si="71"/>
        <v>-0.96601941747572817</v>
      </c>
      <c r="P178" s="1">
        <f t="shared" si="72"/>
        <v>-0.98970840480274447</v>
      </c>
      <c r="Q178" s="1">
        <f t="shared" si="73"/>
        <v>-1</v>
      </c>
      <c r="R178" s="1">
        <f t="shared" si="74"/>
        <v>-1</v>
      </c>
      <c r="S178" s="1">
        <f t="shared" si="75"/>
        <v>-1</v>
      </c>
    </row>
    <row r="179" spans="1:19">
      <c r="A179" t="s">
        <v>78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2">
        <f t="shared" si="64"/>
        <v>-0.83699999999999997</v>
      </c>
      <c r="I179" s="2">
        <f t="shared" si="65"/>
        <v>-0.82399999999999995</v>
      </c>
      <c r="J179" s="2">
        <f t="shared" si="66"/>
        <v>-0.58299999999999996</v>
      </c>
      <c r="K179" s="2">
        <f t="shared" si="67"/>
        <v>-0.78816047155478197</v>
      </c>
      <c r="L179" s="2">
        <f t="shared" si="68"/>
        <v>-0.43594300410752002</v>
      </c>
      <c r="M179" s="4">
        <f t="shared" si="69"/>
        <v>-0.79800000000000004</v>
      </c>
      <c r="N179" s="1">
        <f t="shared" si="70"/>
        <v>-1</v>
      </c>
      <c r="O179" s="1">
        <f t="shared" si="71"/>
        <v>-1</v>
      </c>
      <c r="P179" s="1">
        <f t="shared" si="72"/>
        <v>-1</v>
      </c>
      <c r="Q179" s="1">
        <f t="shared" si="73"/>
        <v>-1</v>
      </c>
      <c r="R179" s="1">
        <f t="shared" si="74"/>
        <v>-1</v>
      </c>
      <c r="S179" s="1">
        <f t="shared" si="75"/>
        <v>-1</v>
      </c>
    </row>
    <row r="180" spans="1:19">
      <c r="A180" t="s">
        <v>83</v>
      </c>
      <c r="B180" s="7">
        <v>5.0000000000000001E-3</v>
      </c>
      <c r="C180" s="7">
        <v>2E-3</v>
      </c>
      <c r="D180" s="7">
        <v>1E-3</v>
      </c>
      <c r="E180" s="7">
        <v>0</v>
      </c>
      <c r="F180" s="7">
        <v>0</v>
      </c>
      <c r="G180" s="7">
        <v>0</v>
      </c>
      <c r="H180" s="2">
        <f t="shared" si="64"/>
        <v>-0.83199999999999996</v>
      </c>
      <c r="I180" s="2">
        <f t="shared" si="65"/>
        <v>-0.82199999999999995</v>
      </c>
      <c r="J180" s="2">
        <f t="shared" si="66"/>
        <v>-0.58199999999999996</v>
      </c>
      <c r="K180" s="2">
        <f t="shared" si="67"/>
        <v>-0.78816047155478197</v>
      </c>
      <c r="L180" s="2">
        <f t="shared" si="68"/>
        <v>-0.43594300410752002</v>
      </c>
      <c r="M180" s="4">
        <f t="shared" si="69"/>
        <v>-0.79800000000000004</v>
      </c>
      <c r="N180" s="1">
        <f t="shared" si="70"/>
        <v>-0.99402628434886497</v>
      </c>
      <c r="O180" s="1">
        <f t="shared" si="71"/>
        <v>-0.99757281553398058</v>
      </c>
      <c r="P180" s="1">
        <f t="shared" si="72"/>
        <v>-0.99828473413379071</v>
      </c>
      <c r="Q180" s="1">
        <f t="shared" si="73"/>
        <v>-1</v>
      </c>
      <c r="R180" s="1">
        <f t="shared" si="74"/>
        <v>-1</v>
      </c>
      <c r="S180" s="1">
        <f t="shared" si="75"/>
        <v>-1</v>
      </c>
    </row>
    <row r="181" spans="1:19">
      <c r="A181" t="s">
        <v>82</v>
      </c>
      <c r="B181" s="7">
        <v>3.0000000000000001E-3</v>
      </c>
      <c r="C181" s="7">
        <v>1E-3</v>
      </c>
      <c r="D181" s="7">
        <v>0</v>
      </c>
      <c r="E181" s="7">
        <v>0</v>
      </c>
      <c r="F181" s="7">
        <v>0</v>
      </c>
      <c r="G181" s="7">
        <v>0</v>
      </c>
      <c r="H181" s="2">
        <f t="shared" si="64"/>
        <v>-0.83399999999999996</v>
      </c>
      <c r="I181" s="2">
        <f t="shared" si="65"/>
        <v>-0.82299999999999995</v>
      </c>
      <c r="J181" s="2">
        <f t="shared" si="66"/>
        <v>-0.58299999999999996</v>
      </c>
      <c r="K181" s="2">
        <f t="shared" si="67"/>
        <v>-0.78816047155478197</v>
      </c>
      <c r="L181" s="2">
        <f t="shared" si="68"/>
        <v>-0.43594300410752002</v>
      </c>
      <c r="M181" s="4">
        <f t="shared" si="69"/>
        <v>-0.79800000000000004</v>
      </c>
      <c r="N181" s="1">
        <f t="shared" si="70"/>
        <v>-0.99641577060931896</v>
      </c>
      <c r="O181" s="1">
        <f t="shared" si="71"/>
        <v>-0.99878640776699024</v>
      </c>
      <c r="P181" s="1">
        <f t="shared" si="72"/>
        <v>-1</v>
      </c>
      <c r="Q181" s="1">
        <f t="shared" si="73"/>
        <v>-1</v>
      </c>
      <c r="R181" s="1">
        <f t="shared" si="74"/>
        <v>-1</v>
      </c>
      <c r="S181" s="1">
        <f t="shared" si="75"/>
        <v>-1</v>
      </c>
    </row>
    <row r="182" spans="1:19">
      <c r="A182" t="s">
        <v>87</v>
      </c>
      <c r="B182" s="7">
        <v>5.0000000000000001E-3</v>
      </c>
      <c r="C182" s="7">
        <v>2E-3</v>
      </c>
      <c r="D182" s="7">
        <v>1E-3</v>
      </c>
      <c r="E182" s="7">
        <v>0</v>
      </c>
      <c r="F182" s="7">
        <v>0</v>
      </c>
      <c r="G182" s="7">
        <v>0</v>
      </c>
      <c r="H182" s="2">
        <f t="shared" si="64"/>
        <v>-0.83199999999999996</v>
      </c>
      <c r="I182" s="2">
        <f t="shared" si="65"/>
        <v>-0.82199999999999995</v>
      </c>
      <c r="J182" s="2">
        <f t="shared" si="66"/>
        <v>-0.58199999999999996</v>
      </c>
      <c r="K182" s="2">
        <f t="shared" si="67"/>
        <v>-0.78816047155478197</v>
      </c>
      <c r="L182" s="2">
        <f t="shared" si="68"/>
        <v>-0.43594300410752002</v>
      </c>
      <c r="M182" s="4">
        <f t="shared" si="69"/>
        <v>-0.79800000000000004</v>
      </c>
      <c r="N182" s="1">
        <f t="shared" si="70"/>
        <v>-0.99402628434886497</v>
      </c>
      <c r="O182" s="1">
        <f t="shared" si="71"/>
        <v>-0.99757281553398058</v>
      </c>
      <c r="P182" s="1">
        <f t="shared" si="72"/>
        <v>-0.99828473413379071</v>
      </c>
      <c r="Q182" s="1">
        <f t="shared" si="73"/>
        <v>-1</v>
      </c>
      <c r="R182" s="1">
        <f t="shared" si="74"/>
        <v>-1</v>
      </c>
      <c r="S182" s="1">
        <f t="shared" si="75"/>
        <v>-1</v>
      </c>
    </row>
    <row r="183" spans="1:19">
      <c r="A183" t="s">
        <v>86</v>
      </c>
      <c r="B183" s="7">
        <v>3.0000000000000001E-3</v>
      </c>
      <c r="C183" s="7">
        <v>1E-3</v>
      </c>
      <c r="D183" s="7">
        <v>0</v>
      </c>
      <c r="E183" s="7">
        <v>0</v>
      </c>
      <c r="F183" s="7">
        <v>0</v>
      </c>
      <c r="G183" s="7">
        <v>0</v>
      </c>
      <c r="H183" s="2">
        <f t="shared" si="64"/>
        <v>-0.83399999999999996</v>
      </c>
      <c r="I183" s="2">
        <f t="shared" si="65"/>
        <v>-0.82299999999999995</v>
      </c>
      <c r="J183" s="2">
        <f t="shared" si="66"/>
        <v>-0.58299999999999996</v>
      </c>
      <c r="K183" s="2">
        <f t="shared" si="67"/>
        <v>-0.78816047155478197</v>
      </c>
      <c r="L183" s="2">
        <f t="shared" si="68"/>
        <v>-0.43594300410752002</v>
      </c>
      <c r="M183" s="4">
        <f t="shared" si="69"/>
        <v>-0.79800000000000004</v>
      </c>
      <c r="N183" s="1">
        <f t="shared" si="70"/>
        <v>-0.99641577060931896</v>
      </c>
      <c r="O183" s="1">
        <f t="shared" si="71"/>
        <v>-0.99878640776699024</v>
      </c>
      <c r="P183" s="1">
        <f t="shared" si="72"/>
        <v>-1</v>
      </c>
      <c r="Q183" s="1">
        <f t="shared" si="73"/>
        <v>-1</v>
      </c>
      <c r="R183" s="1">
        <f t="shared" si="74"/>
        <v>-1</v>
      </c>
      <c r="S183" s="1">
        <f t="shared" si="75"/>
        <v>-1</v>
      </c>
    </row>
    <row r="184" spans="1:19">
      <c r="A184" t="s">
        <v>91</v>
      </c>
      <c r="B184" s="7">
        <v>5.0000000000000001E-3</v>
      </c>
      <c r="C184" s="7">
        <v>2E-3</v>
      </c>
      <c r="D184" s="7">
        <v>1E-3</v>
      </c>
      <c r="E184" s="7">
        <v>0</v>
      </c>
      <c r="F184" s="7">
        <v>0</v>
      </c>
      <c r="G184" s="7">
        <v>0</v>
      </c>
      <c r="H184" s="2">
        <f t="shared" si="64"/>
        <v>-0.83199999999999996</v>
      </c>
      <c r="I184" s="2">
        <f t="shared" si="65"/>
        <v>-0.82199999999999995</v>
      </c>
      <c r="J184" s="2">
        <f t="shared" si="66"/>
        <v>-0.58199999999999996</v>
      </c>
      <c r="K184" s="2">
        <f t="shared" si="67"/>
        <v>-0.78816047155478197</v>
      </c>
      <c r="L184" s="2">
        <f t="shared" si="68"/>
        <v>-0.43594300410752002</v>
      </c>
      <c r="M184" s="4">
        <f t="shared" si="69"/>
        <v>-0.79800000000000004</v>
      </c>
      <c r="N184" s="1">
        <f t="shared" si="70"/>
        <v>-0.99402628434886497</v>
      </c>
      <c r="O184" s="1">
        <f t="shared" si="71"/>
        <v>-0.99757281553398058</v>
      </c>
      <c r="P184" s="1">
        <f t="shared" si="72"/>
        <v>-0.99828473413379071</v>
      </c>
      <c r="Q184" s="1">
        <f t="shared" si="73"/>
        <v>-1</v>
      </c>
      <c r="R184" s="1">
        <f t="shared" si="74"/>
        <v>-1</v>
      </c>
      <c r="S184" s="1">
        <f t="shared" si="75"/>
        <v>-1</v>
      </c>
    </row>
    <row r="185" spans="1:19">
      <c r="A185" t="s">
        <v>90</v>
      </c>
      <c r="B185" s="7">
        <v>3.0000000000000001E-3</v>
      </c>
      <c r="C185" s="7">
        <v>1E-3</v>
      </c>
      <c r="D185" s="7">
        <v>0</v>
      </c>
      <c r="E185" s="7">
        <v>0</v>
      </c>
      <c r="F185" s="7">
        <v>0</v>
      </c>
      <c r="G185" s="7">
        <v>0</v>
      </c>
      <c r="H185" s="2">
        <f t="shared" si="64"/>
        <v>-0.83399999999999996</v>
      </c>
      <c r="I185" s="2">
        <f t="shared" si="65"/>
        <v>-0.82299999999999995</v>
      </c>
      <c r="J185" s="2">
        <f t="shared" si="66"/>
        <v>-0.58299999999999996</v>
      </c>
      <c r="K185" s="2">
        <f t="shared" si="67"/>
        <v>-0.78816047155478197</v>
      </c>
      <c r="L185" s="2">
        <f t="shared" si="68"/>
        <v>-0.43594300410752002</v>
      </c>
      <c r="M185" s="4">
        <f t="shared" si="69"/>
        <v>-0.79800000000000004</v>
      </c>
      <c r="N185" s="1">
        <f t="shared" si="70"/>
        <v>-0.99641577060931896</v>
      </c>
      <c r="O185" s="1">
        <f t="shared" si="71"/>
        <v>-0.99878640776699024</v>
      </c>
      <c r="P185" s="1">
        <f t="shared" si="72"/>
        <v>-1</v>
      </c>
      <c r="Q185" s="1">
        <f t="shared" si="73"/>
        <v>-1</v>
      </c>
      <c r="R185" s="1">
        <f t="shared" si="74"/>
        <v>-1</v>
      </c>
      <c r="S185" s="1">
        <f t="shared" si="75"/>
        <v>-1</v>
      </c>
    </row>
    <row r="186" spans="1:19">
      <c r="A186" t="s">
        <v>95</v>
      </c>
      <c r="B186" s="7">
        <v>6.0000000000000001E-3</v>
      </c>
      <c r="C186" s="7">
        <v>8.9999999999999993E-3</v>
      </c>
      <c r="D186" s="7">
        <v>1E-3</v>
      </c>
      <c r="E186" s="7">
        <v>0</v>
      </c>
      <c r="F186" s="7">
        <v>0</v>
      </c>
      <c r="G186" s="7">
        <v>0</v>
      </c>
      <c r="H186" s="2">
        <f t="shared" si="64"/>
        <v>-0.83099999999999996</v>
      </c>
      <c r="I186" s="2">
        <f t="shared" si="65"/>
        <v>-0.81499999999999995</v>
      </c>
      <c r="J186" s="2">
        <f t="shared" si="66"/>
        <v>-0.58199999999999996</v>
      </c>
      <c r="K186" s="2">
        <f t="shared" si="67"/>
        <v>-0.78816047155478197</v>
      </c>
      <c r="L186" s="2">
        <f t="shared" si="68"/>
        <v>-0.43594300410752002</v>
      </c>
      <c r="M186" s="4">
        <f t="shared" si="69"/>
        <v>-0.79800000000000004</v>
      </c>
      <c r="N186" s="1">
        <f t="shared" si="70"/>
        <v>-0.99283154121863804</v>
      </c>
      <c r="O186" s="1">
        <f t="shared" si="71"/>
        <v>-0.98907766990291257</v>
      </c>
      <c r="P186" s="1">
        <f t="shared" si="72"/>
        <v>-0.99828473413379071</v>
      </c>
      <c r="Q186" s="1">
        <f t="shared" si="73"/>
        <v>-1</v>
      </c>
      <c r="R186" s="1">
        <f t="shared" si="74"/>
        <v>-1</v>
      </c>
      <c r="S186" s="1">
        <f t="shared" si="75"/>
        <v>-1</v>
      </c>
    </row>
    <row r="187" spans="1:19">
      <c r="A187" t="s">
        <v>94</v>
      </c>
      <c r="B187" s="7">
        <v>3.0000000000000001E-3</v>
      </c>
      <c r="C187" s="7">
        <v>1E-3</v>
      </c>
      <c r="D187" s="7">
        <v>0</v>
      </c>
      <c r="E187" s="7">
        <v>0</v>
      </c>
      <c r="F187" s="7">
        <v>0</v>
      </c>
      <c r="G187" s="7">
        <v>0</v>
      </c>
      <c r="H187" s="2">
        <f t="shared" si="64"/>
        <v>-0.83399999999999996</v>
      </c>
      <c r="I187" s="2">
        <f t="shared" si="65"/>
        <v>-0.82299999999999995</v>
      </c>
      <c r="J187" s="2">
        <f t="shared" si="66"/>
        <v>-0.58299999999999996</v>
      </c>
      <c r="K187" s="2">
        <f t="shared" si="67"/>
        <v>-0.78816047155478197</v>
      </c>
      <c r="L187" s="2">
        <f t="shared" si="68"/>
        <v>-0.43594300410752002</v>
      </c>
      <c r="M187" s="4">
        <f t="shared" si="69"/>
        <v>-0.79800000000000004</v>
      </c>
      <c r="N187" s="1">
        <f t="shared" si="70"/>
        <v>-0.99641577060931896</v>
      </c>
      <c r="O187" s="1">
        <f t="shared" si="71"/>
        <v>-0.99878640776699024</v>
      </c>
      <c r="P187" s="1">
        <f t="shared" si="72"/>
        <v>-1</v>
      </c>
      <c r="Q187" s="1">
        <f t="shared" si="73"/>
        <v>-1</v>
      </c>
      <c r="R187" s="1">
        <f t="shared" si="74"/>
        <v>-1</v>
      </c>
      <c r="S187" s="1">
        <f t="shared" si="75"/>
        <v>-1</v>
      </c>
    </row>
    <row r="188" spans="1:19">
      <c r="A188" t="s">
        <v>99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2">
        <f t="shared" si="64"/>
        <v>-0.83699999999999997</v>
      </c>
      <c r="I188" s="2">
        <f t="shared" si="65"/>
        <v>-0.82399999999999995</v>
      </c>
      <c r="J188" s="2">
        <f t="shared" si="66"/>
        <v>-0.58299999999999996</v>
      </c>
      <c r="K188" s="2">
        <f t="shared" si="67"/>
        <v>-0.78816047155478197</v>
      </c>
      <c r="L188" s="2">
        <f t="shared" si="68"/>
        <v>-0.43594300410752002</v>
      </c>
      <c r="M188" s="4">
        <f t="shared" si="69"/>
        <v>-0.79800000000000004</v>
      </c>
      <c r="N188" s="1">
        <f t="shared" si="70"/>
        <v>-1</v>
      </c>
      <c r="O188" s="1">
        <f t="shared" si="71"/>
        <v>-1</v>
      </c>
      <c r="P188" s="1">
        <f t="shared" si="72"/>
        <v>-1</v>
      </c>
      <c r="Q188" s="1">
        <f t="shared" si="73"/>
        <v>-1</v>
      </c>
      <c r="R188" s="1">
        <f t="shared" si="74"/>
        <v>-1</v>
      </c>
      <c r="S188" s="1">
        <f t="shared" si="75"/>
        <v>-1</v>
      </c>
    </row>
    <row r="189" spans="1:19">
      <c r="A189" t="s">
        <v>98</v>
      </c>
      <c r="B189" s="7">
        <v>7.0000000000000001E-3</v>
      </c>
      <c r="C189" s="7">
        <v>2E-3</v>
      </c>
      <c r="D189" s="7">
        <v>0</v>
      </c>
      <c r="E189" s="7">
        <v>0</v>
      </c>
      <c r="F189" s="7">
        <v>0</v>
      </c>
      <c r="G189" s="7">
        <v>0</v>
      </c>
      <c r="H189" s="2">
        <f t="shared" si="64"/>
        <v>-0.83</v>
      </c>
      <c r="I189" s="2">
        <f t="shared" si="65"/>
        <v>-0.82199999999999995</v>
      </c>
      <c r="J189" s="2">
        <f t="shared" si="66"/>
        <v>-0.58299999999999996</v>
      </c>
      <c r="K189" s="2">
        <f t="shared" si="67"/>
        <v>-0.78816047155478197</v>
      </c>
      <c r="L189" s="2">
        <f t="shared" si="68"/>
        <v>-0.43594300410752002</v>
      </c>
      <c r="M189" s="4">
        <f t="shared" si="69"/>
        <v>-0.79800000000000004</v>
      </c>
      <c r="N189" s="1">
        <f t="shared" si="70"/>
        <v>-0.99163679808841099</v>
      </c>
      <c r="O189" s="1">
        <f t="shared" si="71"/>
        <v>-0.99757281553398058</v>
      </c>
      <c r="P189" s="1">
        <f t="shared" si="72"/>
        <v>-1</v>
      </c>
      <c r="Q189" s="1">
        <f t="shared" si="73"/>
        <v>-1</v>
      </c>
      <c r="R189" s="1">
        <f t="shared" si="74"/>
        <v>-1</v>
      </c>
      <c r="S189" s="1">
        <f t="shared" si="75"/>
        <v>-1</v>
      </c>
    </row>
    <row r="190" spans="1:19">
      <c r="A190" t="s">
        <v>103</v>
      </c>
      <c r="B190" s="7">
        <v>8.0000000000000002E-3</v>
      </c>
      <c r="C190" s="7">
        <v>1.2E-2</v>
      </c>
      <c r="D190" s="7">
        <v>2E-3</v>
      </c>
      <c r="E190" s="7">
        <v>0</v>
      </c>
      <c r="F190" s="7">
        <v>0</v>
      </c>
      <c r="G190" s="7">
        <v>0</v>
      </c>
      <c r="H190" s="2">
        <f t="shared" si="64"/>
        <v>-0.82899999999999996</v>
      </c>
      <c r="I190" s="2">
        <f t="shared" si="65"/>
        <v>-0.81199999999999994</v>
      </c>
      <c r="J190" s="2">
        <f t="shared" si="66"/>
        <v>-0.58099999999999996</v>
      </c>
      <c r="K190" s="2">
        <f t="shared" si="67"/>
        <v>-0.78816047155478197</v>
      </c>
      <c r="L190" s="2">
        <f t="shared" si="68"/>
        <v>-0.43594300410752002</v>
      </c>
      <c r="M190" s="4">
        <f t="shared" si="69"/>
        <v>-0.79800000000000004</v>
      </c>
      <c r="N190" s="1">
        <f t="shared" si="70"/>
        <v>-0.99044205495818394</v>
      </c>
      <c r="O190" s="1">
        <f t="shared" si="71"/>
        <v>-0.9854368932038835</v>
      </c>
      <c r="P190" s="1">
        <f t="shared" si="72"/>
        <v>-0.99656946826758153</v>
      </c>
      <c r="Q190" s="1">
        <f t="shared" si="73"/>
        <v>-1</v>
      </c>
      <c r="R190" s="1">
        <f t="shared" si="74"/>
        <v>-1</v>
      </c>
      <c r="S190" s="1">
        <f t="shared" si="75"/>
        <v>-1</v>
      </c>
    </row>
    <row r="191" spans="1:19">
      <c r="A191" t="s">
        <v>102</v>
      </c>
      <c r="B191" s="7">
        <v>6.0000000000000001E-3</v>
      </c>
      <c r="C191" s="7">
        <v>2E-3</v>
      </c>
      <c r="D191" s="7">
        <v>1E-3</v>
      </c>
      <c r="E191" s="7">
        <v>0</v>
      </c>
      <c r="F191" s="7">
        <v>0</v>
      </c>
      <c r="G191" s="7">
        <v>0</v>
      </c>
      <c r="H191" s="2">
        <f t="shared" si="64"/>
        <v>-0.83099999999999996</v>
      </c>
      <c r="I191" s="2">
        <f t="shared" si="65"/>
        <v>-0.82199999999999995</v>
      </c>
      <c r="J191" s="2">
        <f t="shared" si="66"/>
        <v>-0.58199999999999996</v>
      </c>
      <c r="K191" s="2">
        <f t="shared" si="67"/>
        <v>-0.78816047155478197</v>
      </c>
      <c r="L191" s="2">
        <f t="shared" si="68"/>
        <v>-0.43594300410752002</v>
      </c>
      <c r="M191" s="4">
        <f t="shared" si="69"/>
        <v>-0.79800000000000004</v>
      </c>
      <c r="N191" s="1">
        <f t="shared" si="70"/>
        <v>-0.99283154121863804</v>
      </c>
      <c r="O191" s="1">
        <f t="shared" si="71"/>
        <v>-0.99757281553398058</v>
      </c>
      <c r="P191" s="1">
        <f t="shared" si="72"/>
        <v>-0.99828473413379071</v>
      </c>
      <c r="Q191" s="1">
        <f t="shared" si="73"/>
        <v>-1</v>
      </c>
      <c r="R191" s="1">
        <f t="shared" si="74"/>
        <v>-1</v>
      </c>
      <c r="S191" s="1">
        <f t="shared" si="75"/>
        <v>-1</v>
      </c>
    </row>
    <row r="192" spans="1:19">
      <c r="A192" t="s">
        <v>107</v>
      </c>
      <c r="B192" s="7">
        <v>8.0000000000000002E-3</v>
      </c>
      <c r="C192" s="7">
        <v>1.2E-2</v>
      </c>
      <c r="D192" s="7">
        <v>2E-3</v>
      </c>
      <c r="E192" s="7">
        <v>0</v>
      </c>
      <c r="F192" s="7">
        <v>0</v>
      </c>
      <c r="G192" s="7">
        <v>0</v>
      </c>
      <c r="H192" s="2">
        <f t="shared" si="64"/>
        <v>-0.82899999999999996</v>
      </c>
      <c r="I192" s="2">
        <f t="shared" si="65"/>
        <v>-0.81199999999999994</v>
      </c>
      <c r="J192" s="2">
        <f t="shared" si="66"/>
        <v>-0.58099999999999996</v>
      </c>
      <c r="K192" s="2">
        <f t="shared" si="67"/>
        <v>-0.78816047155478197</v>
      </c>
      <c r="L192" s="2">
        <f t="shared" si="68"/>
        <v>-0.43594300410752002</v>
      </c>
      <c r="M192" s="4">
        <f t="shared" si="69"/>
        <v>-0.79800000000000004</v>
      </c>
      <c r="N192" s="1">
        <f t="shared" si="70"/>
        <v>-0.99044205495818394</v>
      </c>
      <c r="O192" s="1">
        <f t="shared" si="71"/>
        <v>-0.9854368932038835</v>
      </c>
      <c r="P192" s="1">
        <f t="shared" si="72"/>
        <v>-0.99656946826758153</v>
      </c>
      <c r="Q192" s="1">
        <f t="shared" si="73"/>
        <v>-1</v>
      </c>
      <c r="R192" s="1">
        <f t="shared" si="74"/>
        <v>-1</v>
      </c>
      <c r="S192" s="1">
        <f t="shared" si="75"/>
        <v>-1</v>
      </c>
    </row>
    <row r="193" spans="1:19">
      <c r="A193" t="s">
        <v>106</v>
      </c>
      <c r="B193" s="7">
        <v>6.0000000000000001E-3</v>
      </c>
      <c r="C193" s="7">
        <v>2E-3</v>
      </c>
      <c r="D193" s="7">
        <v>1E-3</v>
      </c>
      <c r="E193" s="7">
        <v>0</v>
      </c>
      <c r="F193" s="7">
        <v>0</v>
      </c>
      <c r="G193" s="7">
        <v>0</v>
      </c>
      <c r="H193" s="2">
        <f t="shared" si="64"/>
        <v>-0.83099999999999996</v>
      </c>
      <c r="I193" s="2">
        <f t="shared" si="65"/>
        <v>-0.82199999999999995</v>
      </c>
      <c r="J193" s="2">
        <f t="shared" si="66"/>
        <v>-0.58199999999999996</v>
      </c>
      <c r="K193" s="2">
        <f t="shared" si="67"/>
        <v>-0.78816047155478197</v>
      </c>
      <c r="L193" s="2">
        <f t="shared" si="68"/>
        <v>-0.43594300410752002</v>
      </c>
      <c r="M193" s="4">
        <f t="shared" si="69"/>
        <v>-0.79800000000000004</v>
      </c>
      <c r="N193" s="1">
        <f t="shared" si="70"/>
        <v>-0.99283154121863804</v>
      </c>
      <c r="O193" s="1">
        <f t="shared" si="71"/>
        <v>-0.99757281553398058</v>
      </c>
      <c r="P193" s="1">
        <f t="shared" si="72"/>
        <v>-0.99828473413379071</v>
      </c>
      <c r="Q193" s="1">
        <f t="shared" si="73"/>
        <v>-1</v>
      </c>
      <c r="R193" s="1">
        <f t="shared" si="74"/>
        <v>-1</v>
      </c>
      <c r="S193" s="1">
        <f t="shared" si="75"/>
        <v>-1</v>
      </c>
    </row>
  </sheetData>
  <autoFilter ref="A1:G144">
    <filterColumn colId="4"/>
    <filterColumn colId="5"/>
    <sortState ref="A2:G144">
      <sortCondition descending="1" ref="G2:G144"/>
      <sortCondition descending="1" ref="B2:B144"/>
    </sortState>
  </autoFilter>
  <sortState ref="A2:S193">
    <sortCondition descending="1" ref="F2:F193"/>
    <sortCondition descending="1" ref="G2:G19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93"/>
  <sheetViews>
    <sheetView workbookViewId="0">
      <selection activeCell="D4" sqref="D4"/>
    </sheetView>
  </sheetViews>
  <sheetFormatPr defaultRowHeight="13.8"/>
  <cols>
    <col min="1" max="1" width="31.296875" bestFit="1" customWidth="1"/>
    <col min="2" max="3" width="9.796875" style="2" bestFit="1" customWidth="1"/>
    <col min="4" max="4" width="12.3984375" style="2" bestFit="1" customWidth="1"/>
    <col min="5" max="6" width="12.3984375" style="2" customWidth="1"/>
    <col min="7" max="7" width="11.09765625" style="2" bestFit="1" customWidth="1"/>
    <col min="8" max="8" width="9" customWidth="1"/>
  </cols>
  <sheetData>
    <row r="1" spans="1:27">
      <c r="A1" t="s">
        <v>0</v>
      </c>
      <c r="B1" s="2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4" t="s">
        <v>2</v>
      </c>
      <c r="H1" s="2" t="str">
        <f>CONCATENATE("r",B1)</f>
        <v>rBox-F1</v>
      </c>
      <c r="I1" s="2" t="str">
        <f t="shared" ref="I1:M1" si="0">CONCATENATE("r",C1)</f>
        <v>rB-mAP50</v>
      </c>
      <c r="J1" s="2" t="str">
        <f t="shared" si="0"/>
        <v>rB-mAP50-95</v>
      </c>
      <c r="K1" s="2" t="str">
        <f t="shared" si="0"/>
        <v>rM-mAP50</v>
      </c>
      <c r="L1" s="2" t="str">
        <f t="shared" si="0"/>
        <v>rM-mAP50-95</v>
      </c>
      <c r="M1" s="4" t="str">
        <f t="shared" si="0"/>
        <v>rMask-F1</v>
      </c>
      <c r="N1" t="str">
        <f>CONCATENATE("d",B1)</f>
        <v>dBox-F1</v>
      </c>
      <c r="O1" t="str">
        <f t="shared" ref="O1:R1" si="1">CONCATENATE("d",C1)</f>
        <v>dB-mAP50</v>
      </c>
      <c r="P1" t="str">
        <f t="shared" si="1"/>
        <v>dB-mAP50-95</v>
      </c>
      <c r="Q1" t="str">
        <f t="shared" si="1"/>
        <v>dM-mAP50</v>
      </c>
      <c r="R1" t="str">
        <f t="shared" si="1"/>
        <v>dM-mAP50-95</v>
      </c>
      <c r="S1" t="str">
        <f>CONCATENATE("d",G1)</f>
        <v>dMask-F1</v>
      </c>
      <c r="V1" s="2" t="s">
        <v>1</v>
      </c>
      <c r="W1" s="2" t="s">
        <v>147</v>
      </c>
      <c r="X1" s="2" t="s">
        <v>148</v>
      </c>
      <c r="Y1" s="2" t="s">
        <v>149</v>
      </c>
      <c r="Z1" s="2" t="s">
        <v>150</v>
      </c>
      <c r="AA1" s="2" t="s">
        <v>2</v>
      </c>
    </row>
    <row r="2" spans="1:27">
      <c r="A2" t="s">
        <v>46</v>
      </c>
      <c r="B2" s="2">
        <v>0.99099999999999999</v>
      </c>
      <c r="C2" s="2">
        <v>0.995</v>
      </c>
      <c r="D2" s="2">
        <v>0.84699999999999998</v>
      </c>
      <c r="E2" s="2">
        <v>0.995</v>
      </c>
      <c r="F2" s="2">
        <v>0.76900000000000002</v>
      </c>
      <c r="G2" s="4">
        <v>0.99099999999999999</v>
      </c>
      <c r="H2" s="2">
        <f t="shared" ref="H2:H33" si="2">B2-V$2</f>
        <v>0.93100000000000005</v>
      </c>
      <c r="I2" s="2">
        <f t="shared" ref="I2:I33" si="3">C2-W$2</f>
        <v>0.95799999999999996</v>
      </c>
      <c r="J2" s="2">
        <f t="shared" ref="J2:J33" si="4">D2-X$2</f>
        <v>0.84299999999999997</v>
      </c>
      <c r="K2" s="2">
        <f t="shared" ref="K2:K33" si="5">E2-Y$2</f>
        <v>0.995</v>
      </c>
      <c r="L2" s="2">
        <f t="shared" ref="L2:L33" si="6">F2-Z$2</f>
        <v>0.76900000000000002</v>
      </c>
      <c r="M2" s="4">
        <f t="shared" ref="M2:M33" si="7">G2-AA$2</f>
        <v>0.99099999999999999</v>
      </c>
      <c r="N2" s="1">
        <f t="shared" ref="N2:N33" si="8">(B2-V$2)/V$2</f>
        <v>15.516666666666667</v>
      </c>
      <c r="O2" s="1">
        <f t="shared" ref="O2:O33" si="9">(C2-W$2)/W$2</f>
        <v>25.891891891891891</v>
      </c>
      <c r="P2" s="1">
        <f t="shared" ref="P2:P33" si="10">(D2-X$2)/X$2</f>
        <v>210.75</v>
      </c>
      <c r="Q2" s="1" t="e">
        <f t="shared" ref="Q2:Q33" si="11">(E2-Y$2)/Y$2</f>
        <v>#DIV/0!</v>
      </c>
      <c r="R2" s="1" t="e">
        <f t="shared" ref="R2:R33" si="12">(F2-Z$2)/Z$2</f>
        <v>#DIV/0!</v>
      </c>
      <c r="S2" s="1" t="e">
        <f t="shared" ref="S2:S33" si="13">(G2-AA$2)/AA$2</f>
        <v>#DIV/0!</v>
      </c>
      <c r="U2" t="s">
        <v>146</v>
      </c>
      <c r="V2">
        <v>0.06</v>
      </c>
      <c r="W2">
        <v>3.6999999999999998E-2</v>
      </c>
      <c r="X2">
        <v>4.0000000000000001E-3</v>
      </c>
      <c r="Y2">
        <v>0</v>
      </c>
      <c r="Z2">
        <v>0</v>
      </c>
      <c r="AA2">
        <v>0</v>
      </c>
    </row>
    <row r="3" spans="1:27">
      <c r="A3" t="s">
        <v>134</v>
      </c>
      <c r="B3" s="2">
        <v>0.995</v>
      </c>
      <c r="C3" s="2">
        <v>0.995</v>
      </c>
      <c r="D3" s="2">
        <v>0.80700000000000005</v>
      </c>
      <c r="E3" s="2">
        <v>0.995</v>
      </c>
      <c r="F3" s="2">
        <v>0.76</v>
      </c>
      <c r="G3" s="4">
        <v>0.995</v>
      </c>
      <c r="H3" s="2">
        <f t="shared" si="2"/>
        <v>0.93500000000000005</v>
      </c>
      <c r="I3" s="2">
        <f t="shared" si="3"/>
        <v>0.95799999999999996</v>
      </c>
      <c r="J3" s="2">
        <f t="shared" si="4"/>
        <v>0.80300000000000005</v>
      </c>
      <c r="K3" s="2">
        <f t="shared" si="5"/>
        <v>0.995</v>
      </c>
      <c r="L3" s="2">
        <f t="shared" si="6"/>
        <v>0.76</v>
      </c>
      <c r="M3" s="4">
        <f t="shared" si="7"/>
        <v>0.995</v>
      </c>
      <c r="N3" s="1">
        <f t="shared" si="8"/>
        <v>15.583333333333334</v>
      </c>
      <c r="O3" s="1">
        <f t="shared" si="9"/>
        <v>25.891891891891891</v>
      </c>
      <c r="P3" s="1">
        <f t="shared" si="10"/>
        <v>200.75</v>
      </c>
      <c r="Q3" s="1" t="e">
        <f t="shared" si="11"/>
        <v>#DIV/0!</v>
      </c>
      <c r="R3" s="1" t="e">
        <f t="shared" si="12"/>
        <v>#DIV/0!</v>
      </c>
      <c r="S3" s="1" t="e">
        <f t="shared" si="13"/>
        <v>#DIV/0!</v>
      </c>
    </row>
    <row r="4" spans="1:27">
      <c r="A4" t="s">
        <v>167</v>
      </c>
      <c r="B4" s="2">
        <v>0.99498391959798982</v>
      </c>
      <c r="C4" s="2">
        <v>0.995</v>
      </c>
      <c r="D4" s="2">
        <v>0.80700000000000005</v>
      </c>
      <c r="E4" s="2">
        <v>0.995</v>
      </c>
      <c r="F4" s="2">
        <v>0.76</v>
      </c>
      <c r="G4" s="4">
        <v>0.99498391959798982</v>
      </c>
      <c r="H4" s="2">
        <f t="shared" si="2"/>
        <v>0.93498391959798988</v>
      </c>
      <c r="I4" s="2">
        <f t="shared" si="3"/>
        <v>0.95799999999999996</v>
      </c>
      <c r="J4" s="2">
        <f t="shared" si="4"/>
        <v>0.80300000000000005</v>
      </c>
      <c r="K4" s="2">
        <f t="shared" si="5"/>
        <v>0.995</v>
      </c>
      <c r="L4" s="2">
        <f t="shared" si="6"/>
        <v>0.76</v>
      </c>
      <c r="M4" s="4">
        <f t="shared" si="7"/>
        <v>0.99498391959798982</v>
      </c>
      <c r="N4" s="1">
        <f t="shared" si="8"/>
        <v>15.583065326633164</v>
      </c>
      <c r="O4" s="1">
        <f t="shared" si="9"/>
        <v>25.891891891891891</v>
      </c>
      <c r="P4" s="1">
        <f t="shared" si="10"/>
        <v>200.75</v>
      </c>
      <c r="Q4" s="1" t="e">
        <f t="shared" si="11"/>
        <v>#DIV/0!</v>
      </c>
      <c r="R4" s="1" t="e">
        <f t="shared" si="12"/>
        <v>#DIV/0!</v>
      </c>
      <c r="S4" s="1" t="e">
        <f t="shared" si="13"/>
        <v>#DIV/0!</v>
      </c>
    </row>
    <row r="5" spans="1:27">
      <c r="A5" t="s">
        <v>54</v>
      </c>
      <c r="B5" s="2">
        <v>0.99299999999999999</v>
      </c>
      <c r="C5" s="2">
        <v>0.995</v>
      </c>
      <c r="D5" s="2">
        <v>0.79700000000000004</v>
      </c>
      <c r="E5" s="2">
        <v>0.99482608695652097</v>
      </c>
      <c r="F5" s="2">
        <v>0.758249632598195</v>
      </c>
      <c r="G5" s="4">
        <v>0.99299999999999999</v>
      </c>
      <c r="H5" s="2">
        <f t="shared" si="2"/>
        <v>0.93300000000000005</v>
      </c>
      <c r="I5" s="2">
        <f t="shared" si="3"/>
        <v>0.95799999999999996</v>
      </c>
      <c r="J5" s="2">
        <f t="shared" si="4"/>
        <v>0.79300000000000004</v>
      </c>
      <c r="K5" s="2">
        <f t="shared" si="5"/>
        <v>0.99482608695652097</v>
      </c>
      <c r="L5" s="2">
        <f t="shared" si="6"/>
        <v>0.758249632598195</v>
      </c>
      <c r="M5" s="4">
        <f t="shared" si="7"/>
        <v>0.99299999999999999</v>
      </c>
      <c r="N5" s="1">
        <f t="shared" si="8"/>
        <v>15.55</v>
      </c>
      <c r="O5" s="1">
        <f t="shared" si="9"/>
        <v>25.891891891891891</v>
      </c>
      <c r="P5" s="1">
        <f t="shared" si="10"/>
        <v>198.25</v>
      </c>
      <c r="Q5" s="1" t="e">
        <f t="shared" si="11"/>
        <v>#DIV/0!</v>
      </c>
      <c r="R5" s="1" t="e">
        <f t="shared" si="12"/>
        <v>#DIV/0!</v>
      </c>
      <c r="S5" s="1" t="e">
        <f t="shared" si="13"/>
        <v>#DIV/0!</v>
      </c>
    </row>
    <row r="6" spans="1:27">
      <c r="A6" t="s">
        <v>181</v>
      </c>
      <c r="B6" s="2">
        <v>0.99547965846308406</v>
      </c>
      <c r="C6" s="2">
        <v>0.995</v>
      </c>
      <c r="D6" s="2">
        <v>0.82899999999999996</v>
      </c>
      <c r="E6" s="2">
        <v>0.995</v>
      </c>
      <c r="F6" s="2">
        <v>0.75800000000000001</v>
      </c>
      <c r="G6" s="4">
        <v>0.99547965846308406</v>
      </c>
      <c r="H6" s="2">
        <f t="shared" si="2"/>
        <v>0.93547965846308401</v>
      </c>
      <c r="I6" s="2">
        <f t="shared" si="3"/>
        <v>0.95799999999999996</v>
      </c>
      <c r="J6" s="2">
        <f t="shared" si="4"/>
        <v>0.82499999999999996</v>
      </c>
      <c r="K6" s="2">
        <f t="shared" si="5"/>
        <v>0.995</v>
      </c>
      <c r="L6" s="2">
        <f t="shared" si="6"/>
        <v>0.75800000000000001</v>
      </c>
      <c r="M6" s="4">
        <f t="shared" si="7"/>
        <v>0.99547965846308406</v>
      </c>
      <c r="N6" s="1">
        <f t="shared" si="8"/>
        <v>15.5913276410514</v>
      </c>
      <c r="O6" s="1">
        <f t="shared" si="9"/>
        <v>25.891891891891891</v>
      </c>
      <c r="P6" s="1">
        <f t="shared" si="10"/>
        <v>206.24999999999997</v>
      </c>
      <c r="Q6" s="1" t="e">
        <f t="shared" si="11"/>
        <v>#DIV/0!</v>
      </c>
      <c r="R6" s="1" t="e">
        <f t="shared" si="12"/>
        <v>#DIV/0!</v>
      </c>
      <c r="S6" s="1" t="e">
        <f t="shared" si="13"/>
        <v>#DIV/0!</v>
      </c>
    </row>
    <row r="7" spans="1:27">
      <c r="A7" t="s">
        <v>122</v>
      </c>
      <c r="B7" s="2">
        <v>0.995</v>
      </c>
      <c r="C7" s="2">
        <v>0.995</v>
      </c>
      <c r="D7" s="2">
        <v>0.83699999999999997</v>
      </c>
      <c r="E7" s="2">
        <v>0.995</v>
      </c>
      <c r="F7" s="2">
        <v>0.755</v>
      </c>
      <c r="G7" s="4">
        <v>0.995</v>
      </c>
      <c r="H7" s="2">
        <f t="shared" si="2"/>
        <v>0.93500000000000005</v>
      </c>
      <c r="I7" s="2">
        <f t="shared" si="3"/>
        <v>0.95799999999999996</v>
      </c>
      <c r="J7" s="2">
        <f t="shared" si="4"/>
        <v>0.83299999999999996</v>
      </c>
      <c r="K7" s="2">
        <f t="shared" si="5"/>
        <v>0.995</v>
      </c>
      <c r="L7" s="2">
        <f t="shared" si="6"/>
        <v>0.755</v>
      </c>
      <c r="M7" s="4">
        <f t="shared" si="7"/>
        <v>0.995</v>
      </c>
      <c r="N7" s="1">
        <f t="shared" si="8"/>
        <v>15.583333333333334</v>
      </c>
      <c r="O7" s="1">
        <f t="shared" si="9"/>
        <v>25.891891891891891</v>
      </c>
      <c r="P7" s="1">
        <f t="shared" si="10"/>
        <v>208.25</v>
      </c>
      <c r="Q7" s="1" t="e">
        <f t="shared" si="11"/>
        <v>#DIV/0!</v>
      </c>
      <c r="R7" s="1" t="e">
        <f t="shared" si="12"/>
        <v>#DIV/0!</v>
      </c>
      <c r="S7" s="1" t="e">
        <f t="shared" si="13"/>
        <v>#DIV/0!</v>
      </c>
    </row>
    <row r="8" spans="1:27">
      <c r="A8" t="s">
        <v>50</v>
      </c>
      <c r="B8" s="2">
        <v>0.995</v>
      </c>
      <c r="C8" s="2">
        <v>0.995</v>
      </c>
      <c r="D8" s="2">
        <v>0.81200000000000006</v>
      </c>
      <c r="E8" s="2">
        <v>0.995</v>
      </c>
      <c r="F8" s="2">
        <v>0.753</v>
      </c>
      <c r="G8" s="4">
        <v>0.995</v>
      </c>
      <c r="H8" s="2">
        <f t="shared" si="2"/>
        <v>0.93500000000000005</v>
      </c>
      <c r="I8" s="2">
        <f t="shared" si="3"/>
        <v>0.95799999999999996</v>
      </c>
      <c r="J8" s="2">
        <f t="shared" si="4"/>
        <v>0.80800000000000005</v>
      </c>
      <c r="K8" s="2">
        <f t="shared" si="5"/>
        <v>0.995</v>
      </c>
      <c r="L8" s="2">
        <f t="shared" si="6"/>
        <v>0.753</v>
      </c>
      <c r="M8" s="4">
        <f t="shared" si="7"/>
        <v>0.995</v>
      </c>
      <c r="N8" s="1">
        <f t="shared" si="8"/>
        <v>15.583333333333334</v>
      </c>
      <c r="O8" s="1">
        <f t="shared" si="9"/>
        <v>25.891891891891891</v>
      </c>
      <c r="P8" s="1">
        <f t="shared" si="10"/>
        <v>202</v>
      </c>
      <c r="Q8" s="1" t="e">
        <f t="shared" si="11"/>
        <v>#DIV/0!</v>
      </c>
      <c r="R8" s="1" t="e">
        <f t="shared" si="12"/>
        <v>#DIV/0!</v>
      </c>
      <c r="S8" s="1" t="e">
        <f t="shared" si="13"/>
        <v>#DIV/0!</v>
      </c>
    </row>
    <row r="9" spans="1:27">
      <c r="A9" t="s">
        <v>140</v>
      </c>
      <c r="B9" s="2">
        <v>0.995</v>
      </c>
      <c r="C9" s="2">
        <v>0.995</v>
      </c>
      <c r="D9" s="2">
        <v>0.79</v>
      </c>
      <c r="E9" s="2">
        <v>0.995</v>
      </c>
      <c r="F9" s="2">
        <v>0.749</v>
      </c>
      <c r="G9" s="4">
        <v>0.995</v>
      </c>
      <c r="H9" s="2">
        <f t="shared" si="2"/>
        <v>0.93500000000000005</v>
      </c>
      <c r="I9" s="2">
        <f t="shared" si="3"/>
        <v>0.95799999999999996</v>
      </c>
      <c r="J9" s="2">
        <f t="shared" si="4"/>
        <v>0.78600000000000003</v>
      </c>
      <c r="K9" s="2">
        <f t="shared" si="5"/>
        <v>0.995</v>
      </c>
      <c r="L9" s="2">
        <f t="shared" si="6"/>
        <v>0.749</v>
      </c>
      <c r="M9" s="4">
        <f t="shared" si="7"/>
        <v>0.995</v>
      </c>
      <c r="N9" s="1">
        <f t="shared" si="8"/>
        <v>15.583333333333334</v>
      </c>
      <c r="O9" s="1">
        <f t="shared" si="9"/>
        <v>25.891891891891891</v>
      </c>
      <c r="P9" s="1">
        <f t="shared" si="10"/>
        <v>196.5</v>
      </c>
      <c r="Q9" s="1" t="e">
        <f t="shared" si="11"/>
        <v>#DIV/0!</v>
      </c>
      <c r="R9" s="1" t="e">
        <f t="shared" si="12"/>
        <v>#DIV/0!</v>
      </c>
      <c r="S9" s="1" t="e">
        <f t="shared" si="13"/>
        <v>#DIV/0!</v>
      </c>
    </row>
    <row r="10" spans="1:27">
      <c r="A10" t="s">
        <v>195</v>
      </c>
      <c r="B10" s="2">
        <v>0.99498391959798982</v>
      </c>
      <c r="C10" s="2">
        <v>0.995</v>
      </c>
      <c r="D10" s="2">
        <v>0.84</v>
      </c>
      <c r="E10" s="2">
        <v>0.995</v>
      </c>
      <c r="F10" s="2">
        <v>0.74199999999999999</v>
      </c>
      <c r="G10" s="4">
        <v>0.99498391959798982</v>
      </c>
      <c r="H10" s="2">
        <f t="shared" si="2"/>
        <v>0.93498391959798988</v>
      </c>
      <c r="I10" s="2">
        <f t="shared" si="3"/>
        <v>0.95799999999999996</v>
      </c>
      <c r="J10" s="2">
        <f t="shared" si="4"/>
        <v>0.83599999999999997</v>
      </c>
      <c r="K10" s="2">
        <f t="shared" si="5"/>
        <v>0.995</v>
      </c>
      <c r="L10" s="2">
        <f t="shared" si="6"/>
        <v>0.74199999999999999</v>
      </c>
      <c r="M10" s="4">
        <f t="shared" si="7"/>
        <v>0.99498391959798982</v>
      </c>
      <c r="N10" s="1">
        <f t="shared" si="8"/>
        <v>15.583065326633164</v>
      </c>
      <c r="O10" s="1">
        <f t="shared" si="9"/>
        <v>25.891891891891891</v>
      </c>
      <c r="P10" s="1">
        <f t="shared" si="10"/>
        <v>209</v>
      </c>
      <c r="Q10" s="1" t="e">
        <f t="shared" si="11"/>
        <v>#DIV/0!</v>
      </c>
      <c r="R10" s="1" t="e">
        <f t="shared" si="12"/>
        <v>#DIV/0!</v>
      </c>
      <c r="S10" s="1" t="e">
        <f t="shared" si="13"/>
        <v>#DIV/0!</v>
      </c>
    </row>
    <row r="11" spans="1:27">
      <c r="A11" t="s">
        <v>174</v>
      </c>
      <c r="B11" s="2">
        <v>0.99091826437941488</v>
      </c>
      <c r="C11" s="2">
        <v>0.995</v>
      </c>
      <c r="D11" s="2">
        <v>0.82399999999999995</v>
      </c>
      <c r="E11" s="2">
        <v>0.995</v>
      </c>
      <c r="F11" s="2">
        <v>0.73899999999999999</v>
      </c>
      <c r="G11" s="4">
        <v>0.99091826437941488</v>
      </c>
      <c r="H11" s="2">
        <f t="shared" si="2"/>
        <v>0.93091826437941494</v>
      </c>
      <c r="I11" s="2">
        <f t="shared" si="3"/>
        <v>0.95799999999999996</v>
      </c>
      <c r="J11" s="2">
        <f t="shared" si="4"/>
        <v>0.82</v>
      </c>
      <c r="K11" s="2">
        <f t="shared" si="5"/>
        <v>0.995</v>
      </c>
      <c r="L11" s="2">
        <f t="shared" si="6"/>
        <v>0.73899999999999999</v>
      </c>
      <c r="M11" s="4">
        <f t="shared" si="7"/>
        <v>0.99091826437941488</v>
      </c>
      <c r="N11" s="1">
        <f t="shared" si="8"/>
        <v>15.515304406323583</v>
      </c>
      <c r="O11" s="1">
        <f t="shared" si="9"/>
        <v>25.891891891891891</v>
      </c>
      <c r="P11" s="1">
        <f t="shared" si="10"/>
        <v>204.99999999999997</v>
      </c>
      <c r="Q11" s="1" t="e">
        <f t="shared" si="11"/>
        <v>#DIV/0!</v>
      </c>
      <c r="R11" s="1" t="e">
        <f t="shared" si="12"/>
        <v>#DIV/0!</v>
      </c>
      <c r="S11" s="1" t="e">
        <f t="shared" si="13"/>
        <v>#DIV/0!</v>
      </c>
    </row>
    <row r="12" spans="1:27">
      <c r="A12" t="s">
        <v>42</v>
      </c>
      <c r="B12" s="2">
        <v>0.995</v>
      </c>
      <c r="C12" s="2">
        <v>0.995</v>
      </c>
      <c r="D12" s="2">
        <v>0.82199999999999995</v>
      </c>
      <c r="E12" s="2">
        <v>0.995</v>
      </c>
      <c r="F12" s="2">
        <v>0.73699999999999999</v>
      </c>
      <c r="G12" s="4">
        <v>0.995</v>
      </c>
      <c r="H12" s="2">
        <f t="shared" si="2"/>
        <v>0.93500000000000005</v>
      </c>
      <c r="I12" s="2">
        <f t="shared" si="3"/>
        <v>0.95799999999999996</v>
      </c>
      <c r="J12" s="2">
        <f t="shared" si="4"/>
        <v>0.81799999999999995</v>
      </c>
      <c r="K12" s="2">
        <f t="shared" si="5"/>
        <v>0.995</v>
      </c>
      <c r="L12" s="2">
        <f t="shared" si="6"/>
        <v>0.73699999999999999</v>
      </c>
      <c r="M12" s="4">
        <f t="shared" si="7"/>
        <v>0.995</v>
      </c>
      <c r="N12" s="1">
        <f t="shared" si="8"/>
        <v>15.583333333333334</v>
      </c>
      <c r="O12" s="1">
        <f t="shared" si="9"/>
        <v>25.891891891891891</v>
      </c>
      <c r="P12" s="1">
        <f t="shared" si="10"/>
        <v>204.49999999999997</v>
      </c>
      <c r="Q12" s="1" t="e">
        <f t="shared" si="11"/>
        <v>#DIV/0!</v>
      </c>
      <c r="R12" s="1" t="e">
        <f t="shared" si="12"/>
        <v>#DIV/0!</v>
      </c>
      <c r="S12" s="1" t="e">
        <f t="shared" si="13"/>
        <v>#DIV/0!</v>
      </c>
    </row>
    <row r="13" spans="1:27">
      <c r="A13" t="s">
        <v>13</v>
      </c>
      <c r="B13" s="2">
        <v>0.995</v>
      </c>
      <c r="C13" s="2">
        <v>0.995</v>
      </c>
      <c r="D13" s="2">
        <v>0.83399999999999996</v>
      </c>
      <c r="E13" s="2">
        <v>0.995</v>
      </c>
      <c r="F13" s="2">
        <v>0.73</v>
      </c>
      <c r="G13" s="4">
        <v>0.995</v>
      </c>
      <c r="H13" s="2">
        <f t="shared" si="2"/>
        <v>0.93500000000000005</v>
      </c>
      <c r="I13" s="2">
        <f t="shared" si="3"/>
        <v>0.95799999999999996</v>
      </c>
      <c r="J13" s="2">
        <f t="shared" si="4"/>
        <v>0.83</v>
      </c>
      <c r="K13" s="2">
        <f t="shared" si="5"/>
        <v>0.995</v>
      </c>
      <c r="L13" s="2">
        <f t="shared" si="6"/>
        <v>0.73</v>
      </c>
      <c r="M13" s="4">
        <f t="shared" si="7"/>
        <v>0.995</v>
      </c>
      <c r="N13" s="1">
        <f t="shared" si="8"/>
        <v>15.583333333333334</v>
      </c>
      <c r="O13" s="1">
        <f t="shared" si="9"/>
        <v>25.891891891891891</v>
      </c>
      <c r="P13" s="1">
        <f t="shared" si="10"/>
        <v>207.49999999999997</v>
      </c>
      <c r="Q13" s="1" t="e">
        <f t="shared" si="11"/>
        <v>#DIV/0!</v>
      </c>
      <c r="R13" s="1" t="e">
        <f t="shared" si="12"/>
        <v>#DIV/0!</v>
      </c>
      <c r="S13" s="1" t="e">
        <f t="shared" si="13"/>
        <v>#DIV/0!</v>
      </c>
    </row>
    <row r="14" spans="1:27">
      <c r="A14" t="s">
        <v>128</v>
      </c>
      <c r="B14" s="2">
        <v>0.995</v>
      </c>
      <c r="C14" s="2">
        <v>0.995</v>
      </c>
      <c r="D14" s="2">
        <v>0.81499999999999995</v>
      </c>
      <c r="E14" s="2">
        <v>0.995</v>
      </c>
      <c r="F14" s="2">
        <v>0.72799999999999998</v>
      </c>
      <c r="G14" s="4">
        <v>0.995</v>
      </c>
      <c r="H14" s="2">
        <f t="shared" si="2"/>
        <v>0.93500000000000005</v>
      </c>
      <c r="I14" s="2">
        <f t="shared" si="3"/>
        <v>0.95799999999999996</v>
      </c>
      <c r="J14" s="2">
        <f t="shared" si="4"/>
        <v>0.81099999999999994</v>
      </c>
      <c r="K14" s="2">
        <f t="shared" si="5"/>
        <v>0.995</v>
      </c>
      <c r="L14" s="2">
        <f t="shared" si="6"/>
        <v>0.72799999999999998</v>
      </c>
      <c r="M14" s="4">
        <f t="shared" si="7"/>
        <v>0.995</v>
      </c>
      <c r="N14" s="1">
        <f t="shared" si="8"/>
        <v>15.583333333333334</v>
      </c>
      <c r="O14" s="1">
        <f t="shared" si="9"/>
        <v>25.891891891891891</v>
      </c>
      <c r="P14" s="1">
        <f t="shared" si="10"/>
        <v>202.74999999999997</v>
      </c>
      <c r="Q14" s="1" t="e">
        <f t="shared" si="11"/>
        <v>#DIV/0!</v>
      </c>
      <c r="R14" s="1" t="e">
        <f t="shared" si="12"/>
        <v>#DIV/0!</v>
      </c>
      <c r="S14" s="1" t="e">
        <f t="shared" si="13"/>
        <v>#DIV/0!</v>
      </c>
    </row>
    <row r="15" spans="1:27">
      <c r="A15" t="s">
        <v>4</v>
      </c>
      <c r="B15" s="2">
        <v>0.995</v>
      </c>
      <c r="C15" s="2">
        <v>0.995</v>
      </c>
      <c r="D15" s="2">
        <v>0.79100000000000004</v>
      </c>
      <c r="E15" s="2">
        <v>0.995</v>
      </c>
      <c r="F15" s="2">
        <v>0.72499999999999998</v>
      </c>
      <c r="G15" s="4">
        <v>0.995</v>
      </c>
      <c r="H15" s="2">
        <f t="shared" si="2"/>
        <v>0.93500000000000005</v>
      </c>
      <c r="I15" s="2">
        <f t="shared" si="3"/>
        <v>0.95799999999999996</v>
      </c>
      <c r="J15" s="2">
        <f t="shared" si="4"/>
        <v>0.78700000000000003</v>
      </c>
      <c r="K15" s="2">
        <f t="shared" si="5"/>
        <v>0.995</v>
      </c>
      <c r="L15" s="2">
        <f t="shared" si="6"/>
        <v>0.72499999999999998</v>
      </c>
      <c r="M15" s="4">
        <f t="shared" si="7"/>
        <v>0.995</v>
      </c>
      <c r="N15" s="1">
        <f t="shared" si="8"/>
        <v>15.583333333333334</v>
      </c>
      <c r="O15" s="1">
        <f t="shared" si="9"/>
        <v>25.891891891891891</v>
      </c>
      <c r="P15" s="1">
        <f t="shared" si="10"/>
        <v>196.75</v>
      </c>
      <c r="Q15" s="1" t="e">
        <f t="shared" si="11"/>
        <v>#DIV/0!</v>
      </c>
      <c r="R15" s="1" t="e">
        <f t="shared" si="12"/>
        <v>#DIV/0!</v>
      </c>
      <c r="S15" s="1" t="e">
        <f t="shared" si="13"/>
        <v>#DIV/0!</v>
      </c>
    </row>
    <row r="16" spans="1:27">
      <c r="A16" t="s">
        <v>190</v>
      </c>
      <c r="B16" s="2">
        <v>0.99497487437185916</v>
      </c>
      <c r="C16" s="2">
        <v>0.995</v>
      </c>
      <c r="D16" s="2">
        <v>0.83399999999999996</v>
      </c>
      <c r="E16" s="2">
        <v>0.995</v>
      </c>
      <c r="F16" s="2">
        <v>0.71499999999999997</v>
      </c>
      <c r="G16" s="4">
        <v>0.99497487437185916</v>
      </c>
      <c r="H16" s="2">
        <f t="shared" si="2"/>
        <v>0.93497487437185911</v>
      </c>
      <c r="I16" s="2">
        <f t="shared" si="3"/>
        <v>0.95799999999999996</v>
      </c>
      <c r="J16" s="2">
        <f t="shared" si="4"/>
        <v>0.83</v>
      </c>
      <c r="K16" s="2">
        <f t="shared" si="5"/>
        <v>0.995</v>
      </c>
      <c r="L16" s="2">
        <f t="shared" si="6"/>
        <v>0.71499999999999997</v>
      </c>
      <c r="M16" s="4">
        <f t="shared" si="7"/>
        <v>0.99497487437185916</v>
      </c>
      <c r="N16" s="1">
        <f t="shared" si="8"/>
        <v>15.582914572864318</v>
      </c>
      <c r="O16" s="1">
        <f t="shared" si="9"/>
        <v>25.891891891891891</v>
      </c>
      <c r="P16" s="1">
        <f t="shared" si="10"/>
        <v>207.49999999999997</v>
      </c>
      <c r="Q16" s="1" t="e">
        <f t="shared" si="11"/>
        <v>#DIV/0!</v>
      </c>
      <c r="R16" s="1" t="e">
        <f t="shared" si="12"/>
        <v>#DIV/0!</v>
      </c>
      <c r="S16" s="1" t="e">
        <f t="shared" si="13"/>
        <v>#DIV/0!</v>
      </c>
    </row>
    <row r="17" spans="1:19">
      <c r="A17" t="s">
        <v>209</v>
      </c>
      <c r="B17" s="2">
        <v>0.99399094567404433</v>
      </c>
      <c r="C17" s="2">
        <v>0.995</v>
      </c>
      <c r="D17" s="2">
        <v>0.82199999999999995</v>
      </c>
      <c r="E17" s="2">
        <v>0.995</v>
      </c>
      <c r="F17" s="2">
        <v>0.71499999999999997</v>
      </c>
      <c r="G17" s="4">
        <v>0.99399094567404433</v>
      </c>
      <c r="H17" s="2">
        <f t="shared" si="2"/>
        <v>0.93399094567404428</v>
      </c>
      <c r="I17" s="2">
        <f t="shared" si="3"/>
        <v>0.95799999999999996</v>
      </c>
      <c r="J17" s="2">
        <f t="shared" si="4"/>
        <v>0.81799999999999995</v>
      </c>
      <c r="K17" s="2">
        <f t="shared" si="5"/>
        <v>0.995</v>
      </c>
      <c r="L17" s="2">
        <f t="shared" si="6"/>
        <v>0.71499999999999997</v>
      </c>
      <c r="M17" s="4">
        <f t="shared" si="7"/>
        <v>0.99399094567404433</v>
      </c>
      <c r="N17" s="1">
        <f t="shared" si="8"/>
        <v>15.566515761234072</v>
      </c>
      <c r="O17" s="1">
        <f t="shared" si="9"/>
        <v>25.891891891891891</v>
      </c>
      <c r="P17" s="1">
        <f t="shared" si="10"/>
        <v>204.49999999999997</v>
      </c>
      <c r="Q17" s="1" t="e">
        <f t="shared" si="11"/>
        <v>#DIV/0!</v>
      </c>
      <c r="R17" s="1" t="e">
        <f t="shared" si="12"/>
        <v>#DIV/0!</v>
      </c>
      <c r="S17" s="1" t="e">
        <f t="shared" si="13"/>
        <v>#DIV/0!</v>
      </c>
    </row>
    <row r="18" spans="1:19">
      <c r="A18" t="s">
        <v>169</v>
      </c>
      <c r="B18" s="2">
        <v>0.99498391959798982</v>
      </c>
      <c r="C18" s="2">
        <v>0.995</v>
      </c>
      <c r="D18" s="2">
        <v>0.82199999999999995</v>
      </c>
      <c r="E18" s="2">
        <v>0.995</v>
      </c>
      <c r="F18" s="2">
        <v>0.71199999999999997</v>
      </c>
      <c r="G18" s="4">
        <v>0.99498391959798982</v>
      </c>
      <c r="H18" s="2">
        <f t="shared" si="2"/>
        <v>0.93498391959798988</v>
      </c>
      <c r="I18" s="2">
        <f t="shared" si="3"/>
        <v>0.95799999999999996</v>
      </c>
      <c r="J18" s="2">
        <f t="shared" si="4"/>
        <v>0.81799999999999995</v>
      </c>
      <c r="K18" s="2">
        <f t="shared" si="5"/>
        <v>0.995</v>
      </c>
      <c r="L18" s="2">
        <f t="shared" si="6"/>
        <v>0.71199999999999997</v>
      </c>
      <c r="M18" s="4">
        <f t="shared" si="7"/>
        <v>0.99498391959798982</v>
      </c>
      <c r="N18" s="1">
        <f t="shared" si="8"/>
        <v>15.583065326633164</v>
      </c>
      <c r="O18" s="1">
        <f t="shared" si="9"/>
        <v>25.891891891891891</v>
      </c>
      <c r="P18" s="1">
        <f t="shared" si="10"/>
        <v>204.49999999999997</v>
      </c>
      <c r="Q18" s="1" t="e">
        <f t="shared" si="11"/>
        <v>#DIV/0!</v>
      </c>
      <c r="R18" s="1" t="e">
        <f t="shared" si="12"/>
        <v>#DIV/0!</v>
      </c>
      <c r="S18" s="1" t="e">
        <f t="shared" si="13"/>
        <v>#DIV/0!</v>
      </c>
    </row>
    <row r="19" spans="1:19">
      <c r="A19" t="s">
        <v>202</v>
      </c>
      <c r="B19" s="2">
        <v>0.99498391959798982</v>
      </c>
      <c r="C19" s="2">
        <v>0.995</v>
      </c>
      <c r="D19" s="2">
        <v>0.81599999999999995</v>
      </c>
      <c r="E19" s="2">
        <v>0.995</v>
      </c>
      <c r="F19" s="2">
        <v>0.70799999999999996</v>
      </c>
      <c r="G19" s="4">
        <v>0.99498391959798982</v>
      </c>
      <c r="H19" s="2">
        <f t="shared" si="2"/>
        <v>0.93498391959798988</v>
      </c>
      <c r="I19" s="2">
        <f t="shared" si="3"/>
        <v>0.95799999999999996</v>
      </c>
      <c r="J19" s="2">
        <f t="shared" si="4"/>
        <v>0.81199999999999994</v>
      </c>
      <c r="K19" s="2">
        <f t="shared" si="5"/>
        <v>0.995</v>
      </c>
      <c r="L19" s="2">
        <f t="shared" si="6"/>
        <v>0.70799999999999996</v>
      </c>
      <c r="M19" s="4">
        <f t="shared" si="7"/>
        <v>0.99498391959798982</v>
      </c>
      <c r="N19" s="1">
        <f t="shared" si="8"/>
        <v>15.583065326633164</v>
      </c>
      <c r="O19" s="1">
        <f t="shared" si="9"/>
        <v>25.891891891891891</v>
      </c>
      <c r="P19" s="1">
        <f t="shared" si="10"/>
        <v>202.99999999999997</v>
      </c>
      <c r="Q19" s="1" t="e">
        <f t="shared" si="11"/>
        <v>#DIV/0!</v>
      </c>
      <c r="R19" s="1" t="e">
        <f t="shared" si="12"/>
        <v>#DIV/0!</v>
      </c>
      <c r="S19" s="1" t="e">
        <f t="shared" si="13"/>
        <v>#DIV/0!</v>
      </c>
    </row>
    <row r="20" spans="1:19">
      <c r="A20" t="s">
        <v>197</v>
      </c>
      <c r="B20" s="2">
        <v>0.98895045500505574</v>
      </c>
      <c r="C20" s="2">
        <v>0.98699999999999999</v>
      </c>
      <c r="D20" s="2">
        <v>0.79400000000000004</v>
      </c>
      <c r="E20" s="2">
        <v>0.98699999999999999</v>
      </c>
      <c r="F20" s="2">
        <v>0.70599999999999996</v>
      </c>
      <c r="G20" s="4">
        <v>0.98895045500505574</v>
      </c>
      <c r="H20" s="2">
        <f t="shared" si="2"/>
        <v>0.9289504550050558</v>
      </c>
      <c r="I20" s="2">
        <f t="shared" si="3"/>
        <v>0.95</v>
      </c>
      <c r="J20" s="2">
        <f t="shared" si="4"/>
        <v>0.79</v>
      </c>
      <c r="K20" s="2">
        <f t="shared" si="5"/>
        <v>0.98699999999999999</v>
      </c>
      <c r="L20" s="2">
        <f t="shared" si="6"/>
        <v>0.70599999999999996</v>
      </c>
      <c r="M20" s="4">
        <f t="shared" si="7"/>
        <v>0.98895045500505574</v>
      </c>
      <c r="N20" s="1">
        <f t="shared" si="8"/>
        <v>15.482507583417597</v>
      </c>
      <c r="O20" s="1">
        <f t="shared" si="9"/>
        <v>25.675675675675677</v>
      </c>
      <c r="P20" s="1">
        <f t="shared" si="10"/>
        <v>197.5</v>
      </c>
      <c r="Q20" s="1" t="e">
        <f t="shared" si="11"/>
        <v>#DIV/0!</v>
      </c>
      <c r="R20" s="1" t="e">
        <f t="shared" si="12"/>
        <v>#DIV/0!</v>
      </c>
      <c r="S20" s="1" t="e">
        <f t="shared" si="13"/>
        <v>#DIV/0!</v>
      </c>
    </row>
    <row r="21" spans="1:19">
      <c r="A21" t="s">
        <v>19</v>
      </c>
      <c r="B21" s="2">
        <v>0.995</v>
      </c>
      <c r="C21" s="2">
        <v>0.995</v>
      </c>
      <c r="D21" s="2">
        <v>0.80900000000000005</v>
      </c>
      <c r="E21" s="2">
        <v>0.995</v>
      </c>
      <c r="F21" s="2">
        <v>0.7</v>
      </c>
      <c r="G21" s="4">
        <v>0.995</v>
      </c>
      <c r="H21" s="2">
        <f t="shared" si="2"/>
        <v>0.93500000000000005</v>
      </c>
      <c r="I21" s="2">
        <f t="shared" si="3"/>
        <v>0.95799999999999996</v>
      </c>
      <c r="J21" s="2">
        <f t="shared" si="4"/>
        <v>0.80500000000000005</v>
      </c>
      <c r="K21" s="2">
        <f t="shared" si="5"/>
        <v>0.995</v>
      </c>
      <c r="L21" s="2">
        <f t="shared" si="6"/>
        <v>0.7</v>
      </c>
      <c r="M21" s="4">
        <f t="shared" si="7"/>
        <v>0.995</v>
      </c>
      <c r="N21" s="1">
        <f t="shared" si="8"/>
        <v>15.583333333333334</v>
      </c>
      <c r="O21" s="1">
        <f t="shared" si="9"/>
        <v>25.891891891891891</v>
      </c>
      <c r="P21" s="1">
        <f t="shared" si="10"/>
        <v>201.25</v>
      </c>
      <c r="Q21" s="1" t="e">
        <f t="shared" si="11"/>
        <v>#DIV/0!</v>
      </c>
      <c r="R21" s="1" t="e">
        <f t="shared" si="12"/>
        <v>#DIV/0!</v>
      </c>
      <c r="S21" s="1" t="e">
        <f t="shared" si="13"/>
        <v>#DIV/0!</v>
      </c>
    </row>
    <row r="22" spans="1:19">
      <c r="A22" t="s">
        <v>25</v>
      </c>
      <c r="B22" s="2">
        <v>0.99099999999999999</v>
      </c>
      <c r="C22" s="2">
        <v>0.995</v>
      </c>
      <c r="D22" s="2">
        <v>0.77300000000000002</v>
      </c>
      <c r="E22" s="2">
        <v>0.995</v>
      </c>
      <c r="F22" s="2">
        <v>0.7</v>
      </c>
      <c r="G22" s="4">
        <v>0.99099999999999999</v>
      </c>
      <c r="H22" s="2">
        <f t="shared" si="2"/>
        <v>0.93100000000000005</v>
      </c>
      <c r="I22" s="2">
        <f t="shared" si="3"/>
        <v>0.95799999999999996</v>
      </c>
      <c r="J22" s="2">
        <f t="shared" si="4"/>
        <v>0.76900000000000002</v>
      </c>
      <c r="K22" s="2">
        <f t="shared" si="5"/>
        <v>0.995</v>
      </c>
      <c r="L22" s="2">
        <f t="shared" si="6"/>
        <v>0.7</v>
      </c>
      <c r="M22" s="4">
        <f t="shared" si="7"/>
        <v>0.99099999999999999</v>
      </c>
      <c r="N22" s="1">
        <f t="shared" si="8"/>
        <v>15.516666666666667</v>
      </c>
      <c r="O22" s="1">
        <f t="shared" si="9"/>
        <v>25.891891891891891</v>
      </c>
      <c r="P22" s="1">
        <f t="shared" si="10"/>
        <v>192.25</v>
      </c>
      <c r="Q22" s="1" t="e">
        <f t="shared" si="11"/>
        <v>#DIV/0!</v>
      </c>
      <c r="R22" s="1" t="e">
        <f t="shared" si="12"/>
        <v>#DIV/0!</v>
      </c>
      <c r="S22" s="1" t="e">
        <f t="shared" si="13"/>
        <v>#DIV/0!</v>
      </c>
    </row>
    <row r="23" spans="1:19">
      <c r="A23" t="s">
        <v>31</v>
      </c>
      <c r="B23" s="2">
        <v>0.995</v>
      </c>
      <c r="C23" s="2">
        <v>0.995</v>
      </c>
      <c r="D23" s="2">
        <v>0.79300000000000004</v>
      </c>
      <c r="E23" s="2">
        <v>0.995</v>
      </c>
      <c r="F23" s="2">
        <v>0.69599999999999995</v>
      </c>
      <c r="G23" s="4">
        <v>0.995</v>
      </c>
      <c r="H23" s="2">
        <f t="shared" si="2"/>
        <v>0.93500000000000005</v>
      </c>
      <c r="I23" s="2">
        <f t="shared" si="3"/>
        <v>0.95799999999999996</v>
      </c>
      <c r="J23" s="2">
        <f t="shared" si="4"/>
        <v>0.78900000000000003</v>
      </c>
      <c r="K23" s="2">
        <f t="shared" si="5"/>
        <v>0.995</v>
      </c>
      <c r="L23" s="2">
        <f t="shared" si="6"/>
        <v>0.69599999999999995</v>
      </c>
      <c r="M23" s="4">
        <f t="shared" si="7"/>
        <v>0.995</v>
      </c>
      <c r="N23" s="1">
        <f t="shared" si="8"/>
        <v>15.583333333333334</v>
      </c>
      <c r="O23" s="1">
        <f t="shared" si="9"/>
        <v>25.891891891891891</v>
      </c>
      <c r="P23" s="1">
        <f t="shared" si="10"/>
        <v>197.25</v>
      </c>
      <c r="Q23" s="1" t="e">
        <f t="shared" si="11"/>
        <v>#DIV/0!</v>
      </c>
      <c r="R23" s="1" t="e">
        <f t="shared" si="12"/>
        <v>#DIV/0!</v>
      </c>
      <c r="S23" s="1" t="e">
        <f t="shared" si="13"/>
        <v>#DIV/0!</v>
      </c>
    </row>
    <row r="24" spans="1:19">
      <c r="A24" t="s">
        <v>110</v>
      </c>
      <c r="B24" s="2">
        <v>0.996</v>
      </c>
      <c r="C24" s="2">
        <v>0.995</v>
      </c>
      <c r="D24" s="2">
        <v>0.755</v>
      </c>
      <c r="E24" s="2">
        <v>0.995</v>
      </c>
      <c r="F24" s="2">
        <v>0.68981263380585001</v>
      </c>
      <c r="G24" s="4">
        <v>0.996</v>
      </c>
      <c r="H24" s="2">
        <f t="shared" si="2"/>
        <v>0.93599999999999994</v>
      </c>
      <c r="I24" s="2">
        <f t="shared" si="3"/>
        <v>0.95799999999999996</v>
      </c>
      <c r="J24" s="2">
        <f t="shared" si="4"/>
        <v>0.751</v>
      </c>
      <c r="K24" s="2">
        <f t="shared" si="5"/>
        <v>0.995</v>
      </c>
      <c r="L24" s="2">
        <f t="shared" si="6"/>
        <v>0.68981263380585001</v>
      </c>
      <c r="M24" s="4">
        <f t="shared" si="7"/>
        <v>0.996</v>
      </c>
      <c r="N24" s="1">
        <f t="shared" si="8"/>
        <v>15.6</v>
      </c>
      <c r="O24" s="1">
        <f t="shared" si="9"/>
        <v>25.891891891891891</v>
      </c>
      <c r="P24" s="1">
        <f t="shared" si="10"/>
        <v>187.75</v>
      </c>
      <c r="Q24" s="1" t="e">
        <f t="shared" si="11"/>
        <v>#DIV/0!</v>
      </c>
      <c r="R24" s="1" t="e">
        <f t="shared" si="12"/>
        <v>#DIV/0!</v>
      </c>
      <c r="S24" s="1" t="e">
        <f t="shared" si="13"/>
        <v>#DIV/0!</v>
      </c>
    </row>
    <row r="25" spans="1:19">
      <c r="A25" t="s">
        <v>176</v>
      </c>
      <c r="B25" s="2">
        <v>0.99498391959798982</v>
      </c>
      <c r="C25" s="2">
        <v>0.995</v>
      </c>
      <c r="D25" s="2">
        <v>0.82399999999999995</v>
      </c>
      <c r="E25" s="2">
        <v>0.995</v>
      </c>
      <c r="F25" s="2">
        <v>0.68899999999999995</v>
      </c>
      <c r="G25" s="4">
        <v>0.99498391959798982</v>
      </c>
      <c r="H25" s="2">
        <f t="shared" si="2"/>
        <v>0.93498391959798988</v>
      </c>
      <c r="I25" s="2">
        <f t="shared" si="3"/>
        <v>0.95799999999999996</v>
      </c>
      <c r="J25" s="2">
        <f t="shared" si="4"/>
        <v>0.82</v>
      </c>
      <c r="K25" s="2">
        <f t="shared" si="5"/>
        <v>0.995</v>
      </c>
      <c r="L25" s="2">
        <f t="shared" si="6"/>
        <v>0.68899999999999995</v>
      </c>
      <c r="M25" s="4">
        <f t="shared" si="7"/>
        <v>0.99498391959798982</v>
      </c>
      <c r="N25" s="1">
        <f t="shared" si="8"/>
        <v>15.583065326633164</v>
      </c>
      <c r="O25" s="1">
        <f t="shared" si="9"/>
        <v>25.891891891891891</v>
      </c>
      <c r="P25" s="1">
        <f t="shared" si="10"/>
        <v>204.99999999999997</v>
      </c>
      <c r="Q25" s="1" t="e">
        <f t="shared" si="11"/>
        <v>#DIV/0!</v>
      </c>
      <c r="R25" s="1" t="e">
        <f t="shared" si="12"/>
        <v>#DIV/0!</v>
      </c>
      <c r="S25" s="1" t="e">
        <f t="shared" si="13"/>
        <v>#DIV/0!</v>
      </c>
    </row>
    <row r="26" spans="1:19">
      <c r="A26" t="s">
        <v>183</v>
      </c>
      <c r="B26" s="2">
        <v>0.9853658041603246</v>
      </c>
      <c r="C26" s="2">
        <v>0.99399999999999999</v>
      </c>
      <c r="D26" s="2">
        <v>0.79600000000000004</v>
      </c>
      <c r="E26" s="2">
        <v>0.99399999999999999</v>
      </c>
      <c r="F26" s="2">
        <v>0.68899999999999995</v>
      </c>
      <c r="G26" s="4">
        <v>0.9853658041603246</v>
      </c>
      <c r="H26" s="2">
        <f t="shared" si="2"/>
        <v>0.92536580416032455</v>
      </c>
      <c r="I26" s="2">
        <f t="shared" si="3"/>
        <v>0.95699999999999996</v>
      </c>
      <c r="J26" s="2">
        <f t="shared" si="4"/>
        <v>0.79200000000000004</v>
      </c>
      <c r="K26" s="2">
        <f t="shared" si="5"/>
        <v>0.99399999999999999</v>
      </c>
      <c r="L26" s="2">
        <f t="shared" si="6"/>
        <v>0.68899999999999995</v>
      </c>
      <c r="M26" s="4">
        <f t="shared" si="7"/>
        <v>0.9853658041603246</v>
      </c>
      <c r="N26" s="1">
        <f t="shared" si="8"/>
        <v>15.422763402672077</v>
      </c>
      <c r="O26" s="1">
        <f t="shared" si="9"/>
        <v>25.864864864864867</v>
      </c>
      <c r="P26" s="1">
        <f t="shared" si="10"/>
        <v>198</v>
      </c>
      <c r="Q26" s="1" t="e">
        <f t="shared" si="11"/>
        <v>#DIV/0!</v>
      </c>
      <c r="R26" s="1" t="e">
        <f t="shared" si="12"/>
        <v>#DIV/0!</v>
      </c>
      <c r="S26" s="1" t="e">
        <f t="shared" si="13"/>
        <v>#DIV/0!</v>
      </c>
    </row>
    <row r="27" spans="1:19">
      <c r="A27" t="s">
        <v>66</v>
      </c>
      <c r="B27" s="2">
        <v>0.99099999999999999</v>
      </c>
      <c r="C27" s="2">
        <v>0.995</v>
      </c>
      <c r="D27" s="2">
        <v>0.75700000000000001</v>
      </c>
      <c r="E27" s="2">
        <v>0.99491228070175397</v>
      </c>
      <c r="F27" s="2">
        <v>0.68513827649415504</v>
      </c>
      <c r="G27" s="4">
        <v>0.99099999999999999</v>
      </c>
      <c r="H27" s="2">
        <f t="shared" si="2"/>
        <v>0.93100000000000005</v>
      </c>
      <c r="I27" s="2">
        <f t="shared" si="3"/>
        <v>0.95799999999999996</v>
      </c>
      <c r="J27" s="2">
        <f t="shared" si="4"/>
        <v>0.753</v>
      </c>
      <c r="K27" s="2">
        <f t="shared" si="5"/>
        <v>0.99491228070175397</v>
      </c>
      <c r="L27" s="2">
        <f t="shared" si="6"/>
        <v>0.68513827649415504</v>
      </c>
      <c r="M27" s="4">
        <f t="shared" si="7"/>
        <v>0.99099999999999999</v>
      </c>
      <c r="N27" s="1">
        <f t="shared" si="8"/>
        <v>15.516666666666667</v>
      </c>
      <c r="O27" s="1">
        <f t="shared" si="9"/>
        <v>25.891891891891891</v>
      </c>
      <c r="P27" s="1">
        <f t="shared" si="10"/>
        <v>188.25</v>
      </c>
      <c r="Q27" s="1" t="e">
        <f t="shared" si="11"/>
        <v>#DIV/0!</v>
      </c>
      <c r="R27" s="1" t="e">
        <f t="shared" si="12"/>
        <v>#DIV/0!</v>
      </c>
      <c r="S27" s="1" t="e">
        <f t="shared" si="13"/>
        <v>#DIV/0!</v>
      </c>
    </row>
    <row r="28" spans="1:19">
      <c r="A28" t="s">
        <v>199</v>
      </c>
      <c r="B28" s="2">
        <v>0.99498391959798982</v>
      </c>
      <c r="C28" s="2">
        <v>0.995</v>
      </c>
      <c r="D28" s="2">
        <v>0.75</v>
      </c>
      <c r="E28" s="2">
        <v>0.995</v>
      </c>
      <c r="F28" s="2">
        <v>0.68400000000000005</v>
      </c>
      <c r="G28" s="4">
        <v>0.99498391959798982</v>
      </c>
      <c r="H28" s="2">
        <f t="shared" si="2"/>
        <v>0.93498391959798988</v>
      </c>
      <c r="I28" s="2">
        <f t="shared" si="3"/>
        <v>0.95799999999999996</v>
      </c>
      <c r="J28" s="2">
        <f t="shared" si="4"/>
        <v>0.746</v>
      </c>
      <c r="K28" s="2">
        <f t="shared" si="5"/>
        <v>0.995</v>
      </c>
      <c r="L28" s="2">
        <f t="shared" si="6"/>
        <v>0.68400000000000005</v>
      </c>
      <c r="M28" s="4">
        <f t="shared" si="7"/>
        <v>0.99498391959798982</v>
      </c>
      <c r="N28" s="1">
        <f t="shared" si="8"/>
        <v>15.583065326633164</v>
      </c>
      <c r="O28" s="1">
        <f t="shared" si="9"/>
        <v>25.891891891891891</v>
      </c>
      <c r="P28" s="1">
        <f t="shared" si="10"/>
        <v>186.5</v>
      </c>
      <c r="Q28" s="1" t="e">
        <f t="shared" si="11"/>
        <v>#DIV/0!</v>
      </c>
      <c r="R28" s="1" t="e">
        <f t="shared" si="12"/>
        <v>#DIV/0!</v>
      </c>
      <c r="S28" s="1" t="e">
        <f t="shared" si="13"/>
        <v>#DIV/0!</v>
      </c>
    </row>
    <row r="29" spans="1:19">
      <c r="A29" t="s">
        <v>37</v>
      </c>
      <c r="B29" s="2">
        <v>0.995</v>
      </c>
      <c r="C29" s="2">
        <v>0.995</v>
      </c>
      <c r="D29" s="2">
        <v>0.74399999999999999</v>
      </c>
      <c r="E29" s="2">
        <v>0.995</v>
      </c>
      <c r="F29" s="2">
        <v>0.68300000000000005</v>
      </c>
      <c r="G29" s="4">
        <v>0.995</v>
      </c>
      <c r="H29" s="2">
        <f t="shared" si="2"/>
        <v>0.93500000000000005</v>
      </c>
      <c r="I29" s="2">
        <f t="shared" si="3"/>
        <v>0.95799999999999996</v>
      </c>
      <c r="J29" s="2">
        <f t="shared" si="4"/>
        <v>0.74</v>
      </c>
      <c r="K29" s="2">
        <f t="shared" si="5"/>
        <v>0.995</v>
      </c>
      <c r="L29" s="2">
        <f t="shared" si="6"/>
        <v>0.68300000000000005</v>
      </c>
      <c r="M29" s="4">
        <f t="shared" si="7"/>
        <v>0.995</v>
      </c>
      <c r="N29" s="1">
        <f t="shared" si="8"/>
        <v>15.583333333333334</v>
      </c>
      <c r="O29" s="1">
        <f t="shared" si="9"/>
        <v>25.891891891891891</v>
      </c>
      <c r="P29" s="1">
        <f t="shared" si="10"/>
        <v>185</v>
      </c>
      <c r="Q29" s="1" t="e">
        <f t="shared" si="11"/>
        <v>#DIV/0!</v>
      </c>
      <c r="R29" s="1" t="e">
        <f t="shared" si="12"/>
        <v>#DIV/0!</v>
      </c>
      <c r="S29" s="1" t="e">
        <f t="shared" si="13"/>
        <v>#DIV/0!</v>
      </c>
    </row>
    <row r="30" spans="1:19">
      <c r="A30" t="s">
        <v>178</v>
      </c>
      <c r="B30" s="2">
        <v>0.99448768225238826</v>
      </c>
      <c r="C30" s="2">
        <v>0.995</v>
      </c>
      <c r="D30" s="2">
        <v>0.77300000000000002</v>
      </c>
      <c r="E30" s="2">
        <v>0.995</v>
      </c>
      <c r="F30" s="2">
        <v>0.68</v>
      </c>
      <c r="G30" s="4">
        <v>0.99448768225238826</v>
      </c>
      <c r="H30" s="2">
        <f t="shared" si="2"/>
        <v>0.93448768225238821</v>
      </c>
      <c r="I30" s="2">
        <f t="shared" si="3"/>
        <v>0.95799999999999996</v>
      </c>
      <c r="J30" s="2">
        <f t="shared" si="4"/>
        <v>0.76900000000000002</v>
      </c>
      <c r="K30" s="2">
        <f t="shared" si="5"/>
        <v>0.995</v>
      </c>
      <c r="L30" s="2">
        <f t="shared" si="6"/>
        <v>0.68</v>
      </c>
      <c r="M30" s="4">
        <f t="shared" si="7"/>
        <v>0.99448768225238826</v>
      </c>
      <c r="N30" s="1">
        <f t="shared" si="8"/>
        <v>15.57479470420647</v>
      </c>
      <c r="O30" s="1">
        <f t="shared" si="9"/>
        <v>25.891891891891891</v>
      </c>
      <c r="P30" s="1">
        <f t="shared" si="10"/>
        <v>192.25</v>
      </c>
      <c r="Q30" s="1" t="e">
        <f t="shared" si="11"/>
        <v>#DIV/0!</v>
      </c>
      <c r="R30" s="1" t="e">
        <f t="shared" si="12"/>
        <v>#DIV/0!</v>
      </c>
      <c r="S30" s="1" t="e">
        <f t="shared" si="13"/>
        <v>#DIV/0!</v>
      </c>
    </row>
    <row r="31" spans="1:19">
      <c r="A31" t="s">
        <v>62</v>
      </c>
      <c r="B31" s="2">
        <v>0.995</v>
      </c>
      <c r="C31" s="2">
        <v>0.995</v>
      </c>
      <c r="D31" s="2">
        <v>0.753</v>
      </c>
      <c r="E31" s="2">
        <v>0.995</v>
      </c>
      <c r="F31" s="2">
        <v>0.67992665293256105</v>
      </c>
      <c r="G31" s="4">
        <v>0.995</v>
      </c>
      <c r="H31" s="2">
        <f t="shared" si="2"/>
        <v>0.93500000000000005</v>
      </c>
      <c r="I31" s="2">
        <f t="shared" si="3"/>
        <v>0.95799999999999996</v>
      </c>
      <c r="J31" s="2">
        <f t="shared" si="4"/>
        <v>0.749</v>
      </c>
      <c r="K31" s="2">
        <f t="shared" si="5"/>
        <v>0.995</v>
      </c>
      <c r="L31" s="2">
        <f t="shared" si="6"/>
        <v>0.67992665293256105</v>
      </c>
      <c r="M31" s="4">
        <f t="shared" si="7"/>
        <v>0.995</v>
      </c>
      <c r="N31" s="1">
        <f t="shared" si="8"/>
        <v>15.583333333333334</v>
      </c>
      <c r="O31" s="1">
        <f t="shared" si="9"/>
        <v>25.891891891891891</v>
      </c>
      <c r="P31" s="1">
        <f t="shared" si="10"/>
        <v>187.25</v>
      </c>
      <c r="Q31" s="1" t="e">
        <f t="shared" si="11"/>
        <v>#DIV/0!</v>
      </c>
      <c r="R31" s="1" t="e">
        <f t="shared" si="12"/>
        <v>#DIV/0!</v>
      </c>
      <c r="S31" s="1" t="e">
        <f t="shared" si="13"/>
        <v>#DIV/0!</v>
      </c>
    </row>
    <row r="32" spans="1:19">
      <c r="A32" t="s">
        <v>8</v>
      </c>
      <c r="B32" s="2">
        <v>0.995</v>
      </c>
      <c r="C32" s="2">
        <v>0.995</v>
      </c>
      <c r="D32" s="2">
        <v>0.75</v>
      </c>
      <c r="E32" s="2">
        <v>0.995</v>
      </c>
      <c r="F32" s="2">
        <v>0.67700000000000005</v>
      </c>
      <c r="G32" s="4">
        <v>0.995</v>
      </c>
      <c r="H32" s="2">
        <f t="shared" si="2"/>
        <v>0.93500000000000005</v>
      </c>
      <c r="I32" s="2">
        <f t="shared" si="3"/>
        <v>0.95799999999999996</v>
      </c>
      <c r="J32" s="2">
        <f t="shared" si="4"/>
        <v>0.746</v>
      </c>
      <c r="K32" s="2">
        <f t="shared" si="5"/>
        <v>0.995</v>
      </c>
      <c r="L32" s="2">
        <f t="shared" si="6"/>
        <v>0.67700000000000005</v>
      </c>
      <c r="M32" s="4">
        <f t="shared" si="7"/>
        <v>0.995</v>
      </c>
      <c r="N32" s="1">
        <f t="shared" si="8"/>
        <v>15.583333333333334</v>
      </c>
      <c r="O32" s="1">
        <f t="shared" si="9"/>
        <v>25.891891891891891</v>
      </c>
      <c r="P32" s="1">
        <f t="shared" si="10"/>
        <v>186.5</v>
      </c>
      <c r="Q32" s="1" t="e">
        <f t="shared" si="11"/>
        <v>#DIV/0!</v>
      </c>
      <c r="R32" s="1" t="e">
        <f t="shared" si="12"/>
        <v>#DIV/0!</v>
      </c>
      <c r="S32" s="1" t="e">
        <f t="shared" si="13"/>
        <v>#DIV/0!</v>
      </c>
    </row>
    <row r="33" spans="1:19">
      <c r="A33" t="s">
        <v>70</v>
      </c>
      <c r="B33" s="2">
        <v>0.97699999999999998</v>
      </c>
      <c r="C33" s="2">
        <v>0.98599999999999999</v>
      </c>
      <c r="D33" s="2">
        <v>0.75600000000000001</v>
      </c>
      <c r="E33" s="2">
        <v>0.99298268845681703</v>
      </c>
      <c r="F33" s="2">
        <v>0.675345561606987</v>
      </c>
      <c r="G33" s="4">
        <v>0.98099999999999998</v>
      </c>
      <c r="H33" s="2">
        <f t="shared" si="2"/>
        <v>0.91700000000000004</v>
      </c>
      <c r="I33" s="2">
        <f t="shared" si="3"/>
        <v>0.94899999999999995</v>
      </c>
      <c r="J33" s="2">
        <f t="shared" si="4"/>
        <v>0.752</v>
      </c>
      <c r="K33" s="2">
        <f t="shared" si="5"/>
        <v>0.99298268845681703</v>
      </c>
      <c r="L33" s="2">
        <f t="shared" si="6"/>
        <v>0.675345561606987</v>
      </c>
      <c r="M33" s="4">
        <f t="shared" si="7"/>
        <v>0.98099999999999998</v>
      </c>
      <c r="N33" s="1">
        <f t="shared" si="8"/>
        <v>15.283333333333335</v>
      </c>
      <c r="O33" s="1">
        <f t="shared" si="9"/>
        <v>25.648648648648649</v>
      </c>
      <c r="P33" s="1">
        <f t="shared" si="10"/>
        <v>188</v>
      </c>
      <c r="Q33" s="1" t="e">
        <f t="shared" si="11"/>
        <v>#DIV/0!</v>
      </c>
      <c r="R33" s="1" t="e">
        <f t="shared" si="12"/>
        <v>#DIV/0!</v>
      </c>
      <c r="S33" s="1" t="e">
        <f t="shared" si="13"/>
        <v>#DIV/0!</v>
      </c>
    </row>
    <row r="34" spans="1:19">
      <c r="A34" t="s">
        <v>44</v>
      </c>
      <c r="B34" s="2">
        <v>0.995</v>
      </c>
      <c r="C34" s="2">
        <v>0.995</v>
      </c>
      <c r="D34" s="2">
        <v>0.74299999999999999</v>
      </c>
      <c r="E34" s="2">
        <v>0.995</v>
      </c>
      <c r="F34" s="2">
        <v>0.67300000000000004</v>
      </c>
      <c r="G34" s="4">
        <v>0.995</v>
      </c>
      <c r="H34" s="2">
        <f t="shared" ref="H34:H65" si="14">B34-V$2</f>
        <v>0.93500000000000005</v>
      </c>
      <c r="I34" s="2">
        <f t="shared" ref="I34:I65" si="15">C34-W$2</f>
        <v>0.95799999999999996</v>
      </c>
      <c r="J34" s="2">
        <f t="shared" ref="J34:J65" si="16">D34-X$2</f>
        <v>0.73899999999999999</v>
      </c>
      <c r="K34" s="2">
        <f t="shared" ref="K34:K65" si="17">E34-Y$2</f>
        <v>0.995</v>
      </c>
      <c r="L34" s="2">
        <f t="shared" ref="L34:L65" si="18">F34-Z$2</f>
        <v>0.67300000000000004</v>
      </c>
      <c r="M34" s="4">
        <f t="shared" ref="M34:M65" si="19">G34-AA$2</f>
        <v>0.995</v>
      </c>
      <c r="N34" s="1">
        <f t="shared" ref="N34:N65" si="20">(B34-V$2)/V$2</f>
        <v>15.583333333333334</v>
      </c>
      <c r="O34" s="1">
        <f t="shared" ref="O34:O65" si="21">(C34-W$2)/W$2</f>
        <v>25.891891891891891</v>
      </c>
      <c r="P34" s="1">
        <f t="shared" ref="P34:P65" si="22">(D34-X$2)/X$2</f>
        <v>184.75</v>
      </c>
      <c r="Q34" s="1" t="e">
        <f t="shared" ref="Q34:Q65" si="23">(E34-Y$2)/Y$2</f>
        <v>#DIV/0!</v>
      </c>
      <c r="R34" s="1" t="e">
        <f t="shared" ref="R34:R65" si="24">(F34-Z$2)/Z$2</f>
        <v>#DIV/0!</v>
      </c>
      <c r="S34" s="1" t="e">
        <f t="shared" ref="S34:S65" si="25">(G34-AA$2)/AA$2</f>
        <v>#DIV/0!</v>
      </c>
    </row>
    <row r="35" spans="1:19">
      <c r="A35" t="s">
        <v>23</v>
      </c>
      <c r="B35" s="2">
        <v>0.995</v>
      </c>
      <c r="C35" s="2">
        <v>0.995</v>
      </c>
      <c r="D35" s="2">
        <v>0.72199999999999998</v>
      </c>
      <c r="E35" s="2">
        <v>0.995</v>
      </c>
      <c r="F35" s="2">
        <v>0.67200000000000004</v>
      </c>
      <c r="G35" s="4">
        <v>0.995</v>
      </c>
      <c r="H35" s="2">
        <f t="shared" si="14"/>
        <v>0.93500000000000005</v>
      </c>
      <c r="I35" s="2">
        <f t="shared" si="15"/>
        <v>0.95799999999999996</v>
      </c>
      <c r="J35" s="2">
        <f t="shared" si="16"/>
        <v>0.71799999999999997</v>
      </c>
      <c r="K35" s="2">
        <f t="shared" si="17"/>
        <v>0.995</v>
      </c>
      <c r="L35" s="2">
        <f t="shared" si="18"/>
        <v>0.67200000000000004</v>
      </c>
      <c r="M35" s="4">
        <f t="shared" si="19"/>
        <v>0.995</v>
      </c>
      <c r="N35" s="1">
        <f t="shared" si="20"/>
        <v>15.583333333333334</v>
      </c>
      <c r="O35" s="1">
        <f t="shared" si="21"/>
        <v>25.891891891891891</v>
      </c>
      <c r="P35" s="1">
        <f t="shared" si="22"/>
        <v>179.5</v>
      </c>
      <c r="Q35" s="1" t="e">
        <f t="shared" si="23"/>
        <v>#DIV/0!</v>
      </c>
      <c r="R35" s="1" t="e">
        <f t="shared" si="24"/>
        <v>#DIV/0!</v>
      </c>
      <c r="S35" s="1" t="e">
        <f t="shared" si="25"/>
        <v>#DIV/0!</v>
      </c>
    </row>
    <row r="36" spans="1:19">
      <c r="A36" t="s">
        <v>58</v>
      </c>
      <c r="B36" s="2">
        <v>0.995</v>
      </c>
      <c r="C36" s="2">
        <v>0.995</v>
      </c>
      <c r="D36" s="2">
        <v>0.75800000000000001</v>
      </c>
      <c r="E36" s="2">
        <v>0.995</v>
      </c>
      <c r="F36" s="2">
        <v>0.671515033153535</v>
      </c>
      <c r="G36" s="4">
        <v>0.995</v>
      </c>
      <c r="H36" s="2">
        <f t="shared" si="14"/>
        <v>0.93500000000000005</v>
      </c>
      <c r="I36" s="2">
        <f t="shared" si="15"/>
        <v>0.95799999999999996</v>
      </c>
      <c r="J36" s="2">
        <f t="shared" si="16"/>
        <v>0.754</v>
      </c>
      <c r="K36" s="2">
        <f t="shared" si="17"/>
        <v>0.995</v>
      </c>
      <c r="L36" s="2">
        <f t="shared" si="18"/>
        <v>0.671515033153535</v>
      </c>
      <c r="M36" s="4">
        <f t="shared" si="19"/>
        <v>0.995</v>
      </c>
      <c r="N36" s="1">
        <f t="shared" si="20"/>
        <v>15.583333333333334</v>
      </c>
      <c r="O36" s="1">
        <f t="shared" si="21"/>
        <v>25.891891891891891</v>
      </c>
      <c r="P36" s="1">
        <f t="shared" si="22"/>
        <v>188.5</v>
      </c>
      <c r="Q36" s="1" t="e">
        <f t="shared" si="23"/>
        <v>#DIV/0!</v>
      </c>
      <c r="R36" s="1" t="e">
        <f t="shared" si="24"/>
        <v>#DIV/0!</v>
      </c>
      <c r="S36" s="1" t="e">
        <f t="shared" si="25"/>
        <v>#DIV/0!</v>
      </c>
    </row>
    <row r="37" spans="1:19">
      <c r="A37" t="s">
        <v>211</v>
      </c>
      <c r="B37" s="2">
        <v>0.99345747357825864</v>
      </c>
      <c r="C37" s="2">
        <v>0.995</v>
      </c>
      <c r="D37" s="2">
        <v>0.79400000000000004</v>
      </c>
      <c r="E37" s="2">
        <v>0.995</v>
      </c>
      <c r="F37" s="2">
        <v>0.67100000000000004</v>
      </c>
      <c r="G37" s="4">
        <v>0.99345747357825864</v>
      </c>
      <c r="H37" s="2">
        <f t="shared" si="14"/>
        <v>0.93345747357825859</v>
      </c>
      <c r="I37" s="2">
        <f t="shared" si="15"/>
        <v>0.95799999999999996</v>
      </c>
      <c r="J37" s="2">
        <f t="shared" si="16"/>
        <v>0.79</v>
      </c>
      <c r="K37" s="2">
        <f t="shared" si="17"/>
        <v>0.995</v>
      </c>
      <c r="L37" s="2">
        <f t="shared" si="18"/>
        <v>0.67100000000000004</v>
      </c>
      <c r="M37" s="4">
        <f t="shared" si="19"/>
        <v>0.99345747357825864</v>
      </c>
      <c r="N37" s="1">
        <f t="shared" si="20"/>
        <v>15.557624559637643</v>
      </c>
      <c r="O37" s="1">
        <f t="shared" si="21"/>
        <v>25.891891891891891</v>
      </c>
      <c r="P37" s="1">
        <f t="shared" si="22"/>
        <v>197.5</v>
      </c>
      <c r="Q37" s="1" t="e">
        <f t="shared" si="23"/>
        <v>#DIV/0!</v>
      </c>
      <c r="R37" s="1" t="e">
        <f t="shared" si="24"/>
        <v>#DIV/0!</v>
      </c>
      <c r="S37" s="1" t="e">
        <f t="shared" si="25"/>
        <v>#DIV/0!</v>
      </c>
    </row>
    <row r="38" spans="1:19">
      <c r="A38" t="s">
        <v>126</v>
      </c>
      <c r="B38" s="2">
        <v>0.995</v>
      </c>
      <c r="C38" s="2">
        <v>0.995</v>
      </c>
      <c r="D38" s="2">
        <v>0.71799999999999997</v>
      </c>
      <c r="E38" s="2">
        <v>0.995</v>
      </c>
      <c r="F38" s="2">
        <v>0.67</v>
      </c>
      <c r="G38" s="4">
        <v>0.995</v>
      </c>
      <c r="H38" s="2">
        <f t="shared" si="14"/>
        <v>0.93500000000000005</v>
      </c>
      <c r="I38" s="2">
        <f t="shared" si="15"/>
        <v>0.95799999999999996</v>
      </c>
      <c r="J38" s="2">
        <f t="shared" si="16"/>
        <v>0.71399999999999997</v>
      </c>
      <c r="K38" s="2">
        <f t="shared" si="17"/>
        <v>0.995</v>
      </c>
      <c r="L38" s="2">
        <f t="shared" si="18"/>
        <v>0.67</v>
      </c>
      <c r="M38" s="4">
        <f t="shared" si="19"/>
        <v>0.995</v>
      </c>
      <c r="N38" s="1">
        <f t="shared" si="20"/>
        <v>15.583333333333334</v>
      </c>
      <c r="O38" s="1">
        <f t="shared" si="21"/>
        <v>25.891891891891891</v>
      </c>
      <c r="P38" s="1">
        <f t="shared" si="22"/>
        <v>178.5</v>
      </c>
      <c r="Q38" s="1" t="e">
        <f t="shared" si="23"/>
        <v>#DIV/0!</v>
      </c>
      <c r="R38" s="1" t="e">
        <f t="shared" si="24"/>
        <v>#DIV/0!</v>
      </c>
      <c r="S38" s="1" t="e">
        <f t="shared" si="25"/>
        <v>#DIV/0!</v>
      </c>
    </row>
    <row r="39" spans="1:19">
      <c r="A39" t="s">
        <v>132</v>
      </c>
      <c r="B39" s="2">
        <v>0.995</v>
      </c>
      <c r="C39" s="2">
        <v>0.995</v>
      </c>
      <c r="D39" s="2">
        <v>0.72699999999999998</v>
      </c>
      <c r="E39" s="2">
        <v>0.995</v>
      </c>
      <c r="F39" s="2">
        <v>0.66900000000000004</v>
      </c>
      <c r="G39" s="4">
        <v>0.995</v>
      </c>
      <c r="H39" s="2">
        <f t="shared" si="14"/>
        <v>0.93500000000000005</v>
      </c>
      <c r="I39" s="2">
        <f t="shared" si="15"/>
        <v>0.95799999999999996</v>
      </c>
      <c r="J39" s="2">
        <f t="shared" si="16"/>
        <v>0.72299999999999998</v>
      </c>
      <c r="K39" s="2">
        <f t="shared" si="17"/>
        <v>0.995</v>
      </c>
      <c r="L39" s="2">
        <f t="shared" si="18"/>
        <v>0.66900000000000004</v>
      </c>
      <c r="M39" s="4">
        <f t="shared" si="19"/>
        <v>0.995</v>
      </c>
      <c r="N39" s="1">
        <f t="shared" si="20"/>
        <v>15.583333333333334</v>
      </c>
      <c r="O39" s="1">
        <f t="shared" si="21"/>
        <v>25.891891891891891</v>
      </c>
      <c r="P39" s="1">
        <f t="shared" si="22"/>
        <v>180.75</v>
      </c>
      <c r="Q39" s="1" t="e">
        <f t="shared" si="23"/>
        <v>#DIV/0!</v>
      </c>
      <c r="R39" s="1" t="e">
        <f t="shared" si="24"/>
        <v>#DIV/0!</v>
      </c>
      <c r="S39" s="1" t="e">
        <f t="shared" si="25"/>
        <v>#DIV/0!</v>
      </c>
    </row>
    <row r="40" spans="1:19">
      <c r="A40" t="s">
        <v>204</v>
      </c>
      <c r="B40" s="2">
        <v>0.98597464503042598</v>
      </c>
      <c r="C40" s="2">
        <v>0.99</v>
      </c>
      <c r="D40" s="2">
        <v>0.755</v>
      </c>
      <c r="E40" s="2">
        <v>0.99</v>
      </c>
      <c r="F40" s="2">
        <v>0.66800000000000004</v>
      </c>
      <c r="G40" s="4">
        <v>0.98597464503042598</v>
      </c>
      <c r="H40" s="2">
        <f t="shared" si="14"/>
        <v>0.92597464503042604</v>
      </c>
      <c r="I40" s="2">
        <f t="shared" si="15"/>
        <v>0.95299999999999996</v>
      </c>
      <c r="J40" s="2">
        <f t="shared" si="16"/>
        <v>0.751</v>
      </c>
      <c r="K40" s="2">
        <f t="shared" si="17"/>
        <v>0.99</v>
      </c>
      <c r="L40" s="2">
        <f t="shared" si="18"/>
        <v>0.66800000000000004</v>
      </c>
      <c r="M40" s="4">
        <f t="shared" si="19"/>
        <v>0.98597464503042598</v>
      </c>
      <c r="N40" s="1">
        <f t="shared" si="20"/>
        <v>15.432910750507101</v>
      </c>
      <c r="O40" s="1">
        <f t="shared" si="21"/>
        <v>25.756756756756758</v>
      </c>
      <c r="P40" s="1">
        <f t="shared" si="22"/>
        <v>187.75</v>
      </c>
      <c r="Q40" s="1" t="e">
        <f t="shared" si="23"/>
        <v>#DIV/0!</v>
      </c>
      <c r="R40" s="1" t="e">
        <f t="shared" si="24"/>
        <v>#DIV/0!</v>
      </c>
      <c r="S40" s="1" t="e">
        <f t="shared" si="25"/>
        <v>#DIV/0!</v>
      </c>
    </row>
    <row r="41" spans="1:19">
      <c r="A41" t="s">
        <v>116</v>
      </c>
      <c r="B41" s="2">
        <v>0.99</v>
      </c>
      <c r="C41" s="2">
        <v>0.995</v>
      </c>
      <c r="D41" s="2">
        <v>0.69899999999999995</v>
      </c>
      <c r="E41" s="2">
        <v>0.995</v>
      </c>
      <c r="F41" s="2">
        <v>0.66200000000000003</v>
      </c>
      <c r="G41" s="4">
        <v>0.99</v>
      </c>
      <c r="H41" s="2">
        <f t="shared" si="14"/>
        <v>0.92999999999999994</v>
      </c>
      <c r="I41" s="2">
        <f t="shared" si="15"/>
        <v>0.95799999999999996</v>
      </c>
      <c r="J41" s="2">
        <f t="shared" si="16"/>
        <v>0.69499999999999995</v>
      </c>
      <c r="K41" s="2">
        <f t="shared" si="17"/>
        <v>0.995</v>
      </c>
      <c r="L41" s="2">
        <f t="shared" si="18"/>
        <v>0.66200000000000003</v>
      </c>
      <c r="M41" s="4">
        <f t="shared" si="19"/>
        <v>0.99</v>
      </c>
      <c r="N41" s="1">
        <f t="shared" si="20"/>
        <v>15.5</v>
      </c>
      <c r="O41" s="1">
        <f t="shared" si="21"/>
        <v>25.891891891891891</v>
      </c>
      <c r="P41" s="1">
        <f t="shared" si="22"/>
        <v>173.74999999999997</v>
      </c>
      <c r="Q41" s="1" t="e">
        <f t="shared" si="23"/>
        <v>#DIV/0!</v>
      </c>
      <c r="R41" s="1" t="e">
        <f t="shared" si="24"/>
        <v>#DIV/0!</v>
      </c>
      <c r="S41" s="1" t="e">
        <f t="shared" si="25"/>
        <v>#DIV/0!</v>
      </c>
    </row>
    <row r="42" spans="1:19">
      <c r="A42" t="s">
        <v>188</v>
      </c>
      <c r="B42" s="2">
        <v>0.99498391959798982</v>
      </c>
      <c r="C42" s="2">
        <v>0.995</v>
      </c>
      <c r="D42" s="2">
        <v>0.72899999999999998</v>
      </c>
      <c r="E42" s="2">
        <v>0.995</v>
      </c>
      <c r="F42" s="2">
        <v>0.65800000000000003</v>
      </c>
      <c r="G42" s="4">
        <v>0.99498391959798982</v>
      </c>
      <c r="H42" s="2">
        <f t="shared" si="14"/>
        <v>0.93498391959798988</v>
      </c>
      <c r="I42" s="2">
        <f t="shared" si="15"/>
        <v>0.95799999999999996</v>
      </c>
      <c r="J42" s="2">
        <f t="shared" si="16"/>
        <v>0.72499999999999998</v>
      </c>
      <c r="K42" s="2">
        <f t="shared" si="17"/>
        <v>0.995</v>
      </c>
      <c r="L42" s="2">
        <f t="shared" si="18"/>
        <v>0.65800000000000003</v>
      </c>
      <c r="M42" s="4">
        <f t="shared" si="19"/>
        <v>0.99498391959798982</v>
      </c>
      <c r="N42" s="1">
        <f t="shared" si="20"/>
        <v>15.583065326633164</v>
      </c>
      <c r="O42" s="1">
        <f t="shared" si="21"/>
        <v>25.891891891891891</v>
      </c>
      <c r="P42" s="1">
        <f t="shared" si="22"/>
        <v>181.25</v>
      </c>
      <c r="Q42" s="1" t="e">
        <f t="shared" si="23"/>
        <v>#DIV/0!</v>
      </c>
      <c r="R42" s="1" t="e">
        <f t="shared" si="24"/>
        <v>#DIV/0!</v>
      </c>
      <c r="S42" s="1" t="e">
        <f t="shared" si="25"/>
        <v>#DIV/0!</v>
      </c>
    </row>
    <row r="43" spans="1:19">
      <c r="A43" t="s">
        <v>17</v>
      </c>
      <c r="B43" s="2">
        <v>0.995</v>
      </c>
      <c r="C43" s="2">
        <v>0.995</v>
      </c>
      <c r="D43" s="2">
        <v>0.72799999999999998</v>
      </c>
      <c r="E43" s="2">
        <v>0.995</v>
      </c>
      <c r="F43" s="2">
        <v>0.65700000000000003</v>
      </c>
      <c r="G43" s="4">
        <v>0.995</v>
      </c>
      <c r="H43" s="2">
        <f t="shared" si="14"/>
        <v>0.93500000000000005</v>
      </c>
      <c r="I43" s="2">
        <f t="shared" si="15"/>
        <v>0.95799999999999996</v>
      </c>
      <c r="J43" s="2">
        <f t="shared" si="16"/>
        <v>0.72399999999999998</v>
      </c>
      <c r="K43" s="2">
        <f t="shared" si="17"/>
        <v>0.995</v>
      </c>
      <c r="L43" s="2">
        <f t="shared" si="18"/>
        <v>0.65700000000000003</v>
      </c>
      <c r="M43" s="4">
        <f t="shared" si="19"/>
        <v>0.995</v>
      </c>
      <c r="N43" s="1">
        <f t="shared" si="20"/>
        <v>15.583333333333334</v>
      </c>
      <c r="O43" s="1">
        <f t="shared" si="21"/>
        <v>25.891891891891891</v>
      </c>
      <c r="P43" s="1">
        <f t="shared" si="22"/>
        <v>181</v>
      </c>
      <c r="Q43" s="1" t="e">
        <f t="shared" si="23"/>
        <v>#DIV/0!</v>
      </c>
      <c r="R43" s="1" t="e">
        <f t="shared" si="24"/>
        <v>#DIV/0!</v>
      </c>
      <c r="S43" s="1" t="e">
        <f t="shared" si="25"/>
        <v>#DIV/0!</v>
      </c>
    </row>
    <row r="44" spans="1:19">
      <c r="A44" t="s">
        <v>10</v>
      </c>
      <c r="B44" s="2">
        <v>0.995</v>
      </c>
      <c r="C44" s="2">
        <v>0.995</v>
      </c>
      <c r="D44" s="2">
        <v>0.72799999999999998</v>
      </c>
      <c r="E44" s="2">
        <v>0.995</v>
      </c>
      <c r="F44" s="2">
        <v>0.65700000000000003</v>
      </c>
      <c r="G44" s="4">
        <v>0.995</v>
      </c>
      <c r="H44" s="2">
        <f t="shared" si="14"/>
        <v>0.93500000000000005</v>
      </c>
      <c r="I44" s="2">
        <f t="shared" si="15"/>
        <v>0.95799999999999996</v>
      </c>
      <c r="J44" s="2">
        <f t="shared" si="16"/>
        <v>0.72399999999999998</v>
      </c>
      <c r="K44" s="2">
        <f t="shared" si="17"/>
        <v>0.995</v>
      </c>
      <c r="L44" s="2">
        <f t="shared" si="18"/>
        <v>0.65700000000000003</v>
      </c>
      <c r="M44" s="4">
        <f t="shared" si="19"/>
        <v>0.995</v>
      </c>
      <c r="N44" s="1">
        <f t="shared" si="20"/>
        <v>15.583333333333334</v>
      </c>
      <c r="O44" s="1">
        <f t="shared" si="21"/>
        <v>25.891891891891891</v>
      </c>
      <c r="P44" s="1">
        <f t="shared" si="22"/>
        <v>181</v>
      </c>
      <c r="Q44" s="1" t="e">
        <f t="shared" si="23"/>
        <v>#DIV/0!</v>
      </c>
      <c r="R44" s="1" t="e">
        <f t="shared" si="24"/>
        <v>#DIV/0!</v>
      </c>
      <c r="S44" s="1" t="e">
        <f t="shared" si="25"/>
        <v>#DIV/0!</v>
      </c>
    </row>
    <row r="45" spans="1:19">
      <c r="A45" t="s">
        <v>52</v>
      </c>
      <c r="B45" s="2">
        <v>0.995</v>
      </c>
      <c r="C45" s="2">
        <v>0.995</v>
      </c>
      <c r="D45" s="2">
        <v>0.72899999999999998</v>
      </c>
      <c r="E45" s="2">
        <v>0.995</v>
      </c>
      <c r="F45" s="2">
        <v>0.65600000000000003</v>
      </c>
      <c r="G45" s="4">
        <v>0.995</v>
      </c>
      <c r="H45" s="2">
        <f t="shared" si="14"/>
        <v>0.93500000000000005</v>
      </c>
      <c r="I45" s="2">
        <f t="shared" si="15"/>
        <v>0.95799999999999996</v>
      </c>
      <c r="J45" s="2">
        <f t="shared" si="16"/>
        <v>0.72499999999999998</v>
      </c>
      <c r="K45" s="2">
        <f t="shared" si="17"/>
        <v>0.995</v>
      </c>
      <c r="L45" s="2">
        <f t="shared" si="18"/>
        <v>0.65600000000000003</v>
      </c>
      <c r="M45" s="4">
        <f t="shared" si="19"/>
        <v>0.995</v>
      </c>
      <c r="N45" s="1">
        <f t="shared" si="20"/>
        <v>15.583333333333334</v>
      </c>
      <c r="O45" s="1">
        <f t="shared" si="21"/>
        <v>25.891891891891891</v>
      </c>
      <c r="P45" s="1">
        <f t="shared" si="22"/>
        <v>181.25</v>
      </c>
      <c r="Q45" s="1" t="e">
        <f t="shared" si="23"/>
        <v>#DIV/0!</v>
      </c>
      <c r="R45" s="1" t="e">
        <f t="shared" si="24"/>
        <v>#DIV/0!</v>
      </c>
      <c r="S45" s="1" t="e">
        <f t="shared" si="25"/>
        <v>#DIV/0!</v>
      </c>
    </row>
    <row r="46" spans="1:19">
      <c r="A46" t="s">
        <v>213</v>
      </c>
      <c r="B46" s="2">
        <v>0.99547965846308406</v>
      </c>
      <c r="C46" s="2">
        <v>0.995</v>
      </c>
      <c r="D46" s="2">
        <v>0.73899999999999999</v>
      </c>
      <c r="E46" s="2">
        <v>0.995</v>
      </c>
      <c r="F46" s="2">
        <v>0.65100000000000002</v>
      </c>
      <c r="G46" s="4">
        <v>0.99547965846308406</v>
      </c>
      <c r="H46" s="2">
        <f t="shared" si="14"/>
        <v>0.93547965846308401</v>
      </c>
      <c r="I46" s="2">
        <f t="shared" si="15"/>
        <v>0.95799999999999996</v>
      </c>
      <c r="J46" s="2">
        <f t="shared" si="16"/>
        <v>0.73499999999999999</v>
      </c>
      <c r="K46" s="2">
        <f t="shared" si="17"/>
        <v>0.995</v>
      </c>
      <c r="L46" s="2">
        <f t="shared" si="18"/>
        <v>0.65100000000000002</v>
      </c>
      <c r="M46" s="4">
        <f t="shared" si="19"/>
        <v>0.99547965846308406</v>
      </c>
      <c r="N46" s="1">
        <f t="shared" si="20"/>
        <v>15.5913276410514</v>
      </c>
      <c r="O46" s="1">
        <f t="shared" si="21"/>
        <v>25.891891891891891</v>
      </c>
      <c r="P46" s="1">
        <f t="shared" si="22"/>
        <v>183.75</v>
      </c>
      <c r="Q46" s="1" t="e">
        <f t="shared" si="23"/>
        <v>#DIV/0!</v>
      </c>
      <c r="R46" s="1" t="e">
        <f t="shared" si="24"/>
        <v>#DIV/0!</v>
      </c>
      <c r="S46" s="1" t="e">
        <f t="shared" si="25"/>
        <v>#DIV/0!</v>
      </c>
    </row>
    <row r="47" spans="1:19">
      <c r="A47" t="s">
        <v>185</v>
      </c>
      <c r="B47" s="2">
        <v>0.99498391959798982</v>
      </c>
      <c r="C47" s="2">
        <v>0.995</v>
      </c>
      <c r="D47" s="2">
        <v>0.74099999999999999</v>
      </c>
      <c r="E47" s="2">
        <v>0.995</v>
      </c>
      <c r="F47" s="2">
        <v>0.64400000000000002</v>
      </c>
      <c r="G47" s="4">
        <v>0.99498391959798982</v>
      </c>
      <c r="H47" s="2">
        <f t="shared" si="14"/>
        <v>0.93498391959798988</v>
      </c>
      <c r="I47" s="2">
        <f t="shared" si="15"/>
        <v>0.95799999999999996</v>
      </c>
      <c r="J47" s="2">
        <f t="shared" si="16"/>
        <v>0.73699999999999999</v>
      </c>
      <c r="K47" s="2">
        <f t="shared" si="17"/>
        <v>0.995</v>
      </c>
      <c r="L47" s="2">
        <f t="shared" si="18"/>
        <v>0.64400000000000002</v>
      </c>
      <c r="M47" s="4">
        <f t="shared" si="19"/>
        <v>0.99498391959798982</v>
      </c>
      <c r="N47" s="1">
        <f t="shared" si="20"/>
        <v>15.583065326633164</v>
      </c>
      <c r="O47" s="1">
        <f t="shared" si="21"/>
        <v>25.891891891891891</v>
      </c>
      <c r="P47" s="1">
        <f t="shared" si="22"/>
        <v>184.25</v>
      </c>
      <c r="Q47" s="1" t="e">
        <f t="shared" si="23"/>
        <v>#DIV/0!</v>
      </c>
      <c r="R47" s="1" t="e">
        <f t="shared" si="24"/>
        <v>#DIV/0!</v>
      </c>
      <c r="S47" s="1" t="e">
        <f t="shared" si="25"/>
        <v>#DIV/0!</v>
      </c>
    </row>
    <row r="48" spans="1:19">
      <c r="A48" t="s">
        <v>29</v>
      </c>
      <c r="B48" s="2">
        <v>0.995</v>
      </c>
      <c r="C48" s="2">
        <v>0.995</v>
      </c>
      <c r="D48" s="2">
        <v>0.70599999999999996</v>
      </c>
      <c r="E48" s="2">
        <v>0.995</v>
      </c>
      <c r="F48" s="2">
        <v>0.63600000000000001</v>
      </c>
      <c r="G48" s="4">
        <v>0.995</v>
      </c>
      <c r="H48" s="2">
        <f t="shared" si="14"/>
        <v>0.93500000000000005</v>
      </c>
      <c r="I48" s="2">
        <f t="shared" si="15"/>
        <v>0.95799999999999996</v>
      </c>
      <c r="J48" s="2">
        <f t="shared" si="16"/>
        <v>0.70199999999999996</v>
      </c>
      <c r="K48" s="2">
        <f t="shared" si="17"/>
        <v>0.995</v>
      </c>
      <c r="L48" s="2">
        <f t="shared" si="18"/>
        <v>0.63600000000000001</v>
      </c>
      <c r="M48" s="4">
        <f t="shared" si="19"/>
        <v>0.995</v>
      </c>
      <c r="N48" s="1">
        <f t="shared" si="20"/>
        <v>15.583333333333334</v>
      </c>
      <c r="O48" s="1">
        <f t="shared" si="21"/>
        <v>25.891891891891891</v>
      </c>
      <c r="P48" s="1">
        <f t="shared" si="22"/>
        <v>175.49999999999997</v>
      </c>
      <c r="Q48" s="1" t="e">
        <f t="shared" si="23"/>
        <v>#DIV/0!</v>
      </c>
      <c r="R48" s="1" t="e">
        <f t="shared" si="24"/>
        <v>#DIV/0!</v>
      </c>
      <c r="S48" s="1" t="e">
        <f t="shared" si="25"/>
        <v>#DIV/0!</v>
      </c>
    </row>
    <row r="49" spans="1:19">
      <c r="A49" t="s">
        <v>206</v>
      </c>
      <c r="B49" s="2">
        <v>0.99446958270487684</v>
      </c>
      <c r="C49" s="2">
        <v>0.995</v>
      </c>
      <c r="D49" s="2">
        <v>0.73499999999999999</v>
      </c>
      <c r="E49" s="2">
        <v>0.995</v>
      </c>
      <c r="F49" s="2">
        <v>0.63400000000000001</v>
      </c>
      <c r="G49" s="4">
        <v>0.99446958270487684</v>
      </c>
      <c r="H49" s="2">
        <f t="shared" si="14"/>
        <v>0.93446958270487679</v>
      </c>
      <c r="I49" s="2">
        <f t="shared" si="15"/>
        <v>0.95799999999999996</v>
      </c>
      <c r="J49" s="2">
        <f t="shared" si="16"/>
        <v>0.73099999999999998</v>
      </c>
      <c r="K49" s="2">
        <f t="shared" si="17"/>
        <v>0.995</v>
      </c>
      <c r="L49" s="2">
        <f t="shared" si="18"/>
        <v>0.63400000000000001</v>
      </c>
      <c r="M49" s="4">
        <f t="shared" si="19"/>
        <v>0.99446958270487684</v>
      </c>
      <c r="N49" s="1">
        <f t="shared" si="20"/>
        <v>15.57449304508128</v>
      </c>
      <c r="O49" s="1">
        <f t="shared" si="21"/>
        <v>25.891891891891891</v>
      </c>
      <c r="P49" s="1">
        <f t="shared" si="22"/>
        <v>182.75</v>
      </c>
      <c r="Q49" s="1" t="e">
        <f t="shared" si="23"/>
        <v>#DIV/0!</v>
      </c>
      <c r="R49" s="1" t="e">
        <f t="shared" si="24"/>
        <v>#DIV/0!</v>
      </c>
      <c r="S49" s="1" t="e">
        <f t="shared" si="25"/>
        <v>#DIV/0!</v>
      </c>
    </row>
    <row r="50" spans="1:19">
      <c r="A50" t="s">
        <v>48</v>
      </c>
      <c r="B50" s="2">
        <v>0.995</v>
      </c>
      <c r="C50" s="2">
        <v>0.995</v>
      </c>
      <c r="D50" s="2">
        <v>0.71299999999999997</v>
      </c>
      <c r="E50" s="2">
        <v>0.995</v>
      </c>
      <c r="F50" s="2">
        <v>0.63300000000000001</v>
      </c>
      <c r="G50" s="4">
        <v>0.995</v>
      </c>
      <c r="H50" s="2">
        <f t="shared" si="14"/>
        <v>0.93500000000000005</v>
      </c>
      <c r="I50" s="2">
        <f t="shared" si="15"/>
        <v>0.95799999999999996</v>
      </c>
      <c r="J50" s="2">
        <f t="shared" si="16"/>
        <v>0.70899999999999996</v>
      </c>
      <c r="K50" s="2">
        <f t="shared" si="17"/>
        <v>0.995</v>
      </c>
      <c r="L50" s="2">
        <f t="shared" si="18"/>
        <v>0.63300000000000001</v>
      </c>
      <c r="M50" s="4">
        <f t="shared" si="19"/>
        <v>0.995</v>
      </c>
      <c r="N50" s="1">
        <f t="shared" si="20"/>
        <v>15.583333333333334</v>
      </c>
      <c r="O50" s="1">
        <f t="shared" si="21"/>
        <v>25.891891891891891</v>
      </c>
      <c r="P50" s="1">
        <f t="shared" si="22"/>
        <v>177.25</v>
      </c>
      <c r="Q50" s="1" t="e">
        <f t="shared" si="23"/>
        <v>#DIV/0!</v>
      </c>
      <c r="R50" s="1" t="e">
        <f t="shared" si="24"/>
        <v>#DIV/0!</v>
      </c>
      <c r="S50" s="1" t="e">
        <f t="shared" si="25"/>
        <v>#DIV/0!</v>
      </c>
    </row>
    <row r="51" spans="1:19">
      <c r="A51" t="s">
        <v>194</v>
      </c>
      <c r="B51" s="2">
        <v>0.9863416117587428</v>
      </c>
      <c r="C51" s="2">
        <v>0.99399999999999999</v>
      </c>
      <c r="D51" s="2">
        <v>0.74</v>
      </c>
      <c r="E51" s="2">
        <v>0.99399999999999999</v>
      </c>
      <c r="F51" s="2">
        <v>0.63200000000000001</v>
      </c>
      <c r="G51" s="4">
        <v>0.9863416117587428</v>
      </c>
      <c r="H51" s="2">
        <f t="shared" si="14"/>
        <v>0.92634161175874286</v>
      </c>
      <c r="I51" s="2">
        <f t="shared" si="15"/>
        <v>0.95699999999999996</v>
      </c>
      <c r="J51" s="2">
        <f t="shared" si="16"/>
        <v>0.73599999999999999</v>
      </c>
      <c r="K51" s="2">
        <f t="shared" si="17"/>
        <v>0.99399999999999999</v>
      </c>
      <c r="L51" s="2">
        <f t="shared" si="18"/>
        <v>0.63200000000000001</v>
      </c>
      <c r="M51" s="4">
        <f t="shared" si="19"/>
        <v>0.9863416117587428</v>
      </c>
      <c r="N51" s="1">
        <f t="shared" si="20"/>
        <v>15.439026862645715</v>
      </c>
      <c r="O51" s="1">
        <f t="shared" si="21"/>
        <v>25.864864864864867</v>
      </c>
      <c r="P51" s="1">
        <f t="shared" si="22"/>
        <v>184</v>
      </c>
      <c r="Q51" s="1" t="e">
        <f t="shared" si="23"/>
        <v>#DIV/0!</v>
      </c>
      <c r="R51" s="1" t="e">
        <f t="shared" si="24"/>
        <v>#DIV/0!</v>
      </c>
      <c r="S51" s="1" t="e">
        <f t="shared" si="25"/>
        <v>#DIV/0!</v>
      </c>
    </row>
    <row r="52" spans="1:19">
      <c r="A52" t="s">
        <v>191</v>
      </c>
      <c r="B52" s="2">
        <v>0.97654861821903782</v>
      </c>
      <c r="C52" s="2">
        <v>0.98</v>
      </c>
      <c r="D52" s="2">
        <v>0.71099999999999997</v>
      </c>
      <c r="E52" s="2">
        <v>0.98</v>
      </c>
      <c r="F52" s="2">
        <v>0.63200000000000001</v>
      </c>
      <c r="G52" s="4">
        <v>0.97654861821903782</v>
      </c>
      <c r="H52" s="2">
        <f t="shared" si="14"/>
        <v>0.91654861821903788</v>
      </c>
      <c r="I52" s="2">
        <f t="shared" si="15"/>
        <v>0.94299999999999995</v>
      </c>
      <c r="J52" s="2">
        <f t="shared" si="16"/>
        <v>0.70699999999999996</v>
      </c>
      <c r="K52" s="2">
        <f t="shared" si="17"/>
        <v>0.98</v>
      </c>
      <c r="L52" s="2">
        <f t="shared" si="18"/>
        <v>0.63200000000000001</v>
      </c>
      <c r="M52" s="4">
        <f t="shared" si="19"/>
        <v>0.97654861821903782</v>
      </c>
      <c r="N52" s="1">
        <f t="shared" si="20"/>
        <v>15.275810303650632</v>
      </c>
      <c r="O52" s="1">
        <f t="shared" si="21"/>
        <v>25.486486486486488</v>
      </c>
      <c r="P52" s="1">
        <f t="shared" si="22"/>
        <v>176.75</v>
      </c>
      <c r="Q52" s="1" t="e">
        <f t="shared" si="23"/>
        <v>#DIV/0!</v>
      </c>
      <c r="R52" s="1" t="e">
        <f t="shared" si="24"/>
        <v>#DIV/0!</v>
      </c>
      <c r="S52" s="1" t="e">
        <f t="shared" si="25"/>
        <v>#DIV/0!</v>
      </c>
    </row>
    <row r="53" spans="1:19">
      <c r="A53" t="s">
        <v>144</v>
      </c>
      <c r="B53" s="2">
        <v>0.995</v>
      </c>
      <c r="C53" s="2">
        <v>0.995</v>
      </c>
      <c r="D53" s="2">
        <v>0.72899999999999998</v>
      </c>
      <c r="E53" s="2">
        <v>0.995</v>
      </c>
      <c r="F53" s="2">
        <v>0.63100000000000001</v>
      </c>
      <c r="G53" s="4">
        <v>0.995</v>
      </c>
      <c r="H53" s="2">
        <f t="shared" si="14"/>
        <v>0.93500000000000005</v>
      </c>
      <c r="I53" s="2">
        <f t="shared" si="15"/>
        <v>0.95799999999999996</v>
      </c>
      <c r="J53" s="2">
        <f t="shared" si="16"/>
        <v>0.72499999999999998</v>
      </c>
      <c r="K53" s="2">
        <f t="shared" si="17"/>
        <v>0.995</v>
      </c>
      <c r="L53" s="2">
        <f t="shared" si="18"/>
        <v>0.63100000000000001</v>
      </c>
      <c r="M53" s="4">
        <f t="shared" si="19"/>
        <v>0.995</v>
      </c>
      <c r="N53" s="1">
        <f t="shared" si="20"/>
        <v>15.583333333333334</v>
      </c>
      <c r="O53" s="1">
        <f t="shared" si="21"/>
        <v>25.891891891891891</v>
      </c>
      <c r="P53" s="1">
        <f t="shared" si="22"/>
        <v>181.25</v>
      </c>
      <c r="Q53" s="1" t="e">
        <f t="shared" si="23"/>
        <v>#DIV/0!</v>
      </c>
      <c r="R53" s="1" t="e">
        <f t="shared" si="24"/>
        <v>#DIV/0!</v>
      </c>
      <c r="S53" s="1" t="e">
        <f t="shared" si="25"/>
        <v>#DIV/0!</v>
      </c>
    </row>
    <row r="54" spans="1:19">
      <c r="A54" t="s">
        <v>138</v>
      </c>
      <c r="B54" s="2">
        <v>0.995</v>
      </c>
      <c r="C54" s="2">
        <v>0.995</v>
      </c>
      <c r="D54" s="2">
        <v>0.71899999999999997</v>
      </c>
      <c r="E54" s="2">
        <v>0.995</v>
      </c>
      <c r="F54" s="2">
        <v>0.628</v>
      </c>
      <c r="G54" s="4">
        <v>0.995</v>
      </c>
      <c r="H54" s="2">
        <f t="shared" si="14"/>
        <v>0.93500000000000005</v>
      </c>
      <c r="I54" s="2">
        <f t="shared" si="15"/>
        <v>0.95799999999999996</v>
      </c>
      <c r="J54" s="2">
        <f t="shared" si="16"/>
        <v>0.71499999999999997</v>
      </c>
      <c r="K54" s="2">
        <f t="shared" si="17"/>
        <v>0.995</v>
      </c>
      <c r="L54" s="2">
        <f t="shared" si="18"/>
        <v>0.628</v>
      </c>
      <c r="M54" s="4">
        <f t="shared" si="19"/>
        <v>0.995</v>
      </c>
      <c r="N54" s="1">
        <f t="shared" si="20"/>
        <v>15.583333333333334</v>
      </c>
      <c r="O54" s="1">
        <f t="shared" si="21"/>
        <v>25.891891891891891</v>
      </c>
      <c r="P54" s="1">
        <f t="shared" si="22"/>
        <v>178.75</v>
      </c>
      <c r="Q54" s="1" t="e">
        <f t="shared" si="23"/>
        <v>#DIV/0!</v>
      </c>
      <c r="R54" s="1" t="e">
        <f t="shared" si="24"/>
        <v>#DIV/0!</v>
      </c>
      <c r="S54" s="1" t="e">
        <f t="shared" si="25"/>
        <v>#DIV/0!</v>
      </c>
    </row>
    <row r="55" spans="1:19">
      <c r="A55" t="s">
        <v>171</v>
      </c>
      <c r="B55" s="2">
        <v>0.99498391959798982</v>
      </c>
      <c r="C55" s="2">
        <v>0.995</v>
      </c>
      <c r="D55" s="2">
        <v>0.71899999999999997</v>
      </c>
      <c r="E55" s="2">
        <v>0.995</v>
      </c>
      <c r="F55" s="2">
        <v>0.628</v>
      </c>
      <c r="G55" s="4">
        <v>0.99498391959798982</v>
      </c>
      <c r="H55" s="2">
        <f t="shared" si="14"/>
        <v>0.93498391959798988</v>
      </c>
      <c r="I55" s="2">
        <f t="shared" si="15"/>
        <v>0.95799999999999996</v>
      </c>
      <c r="J55" s="2">
        <f t="shared" si="16"/>
        <v>0.71499999999999997</v>
      </c>
      <c r="K55" s="2">
        <f t="shared" si="17"/>
        <v>0.995</v>
      </c>
      <c r="L55" s="2">
        <f t="shared" si="18"/>
        <v>0.628</v>
      </c>
      <c r="M55" s="4">
        <f t="shared" si="19"/>
        <v>0.99498391959798982</v>
      </c>
      <c r="N55" s="1">
        <f t="shared" si="20"/>
        <v>15.583065326633164</v>
      </c>
      <c r="O55" s="1">
        <f t="shared" si="21"/>
        <v>25.891891891891891</v>
      </c>
      <c r="P55" s="1">
        <f t="shared" si="22"/>
        <v>178.75</v>
      </c>
      <c r="Q55" s="1" t="e">
        <f t="shared" si="23"/>
        <v>#DIV/0!</v>
      </c>
      <c r="R55" s="1" t="e">
        <f t="shared" si="24"/>
        <v>#DIV/0!</v>
      </c>
      <c r="S55" s="1" t="e">
        <f t="shared" si="25"/>
        <v>#DIV/0!</v>
      </c>
    </row>
    <row r="56" spans="1:19">
      <c r="A56" t="s">
        <v>170</v>
      </c>
      <c r="B56" s="2">
        <v>0.99042705704189793</v>
      </c>
      <c r="C56" s="2">
        <v>0.99399999999999999</v>
      </c>
      <c r="D56" s="2">
        <v>0.73</v>
      </c>
      <c r="E56" s="2">
        <v>0.99399999999999999</v>
      </c>
      <c r="F56" s="2">
        <v>0.624</v>
      </c>
      <c r="G56" s="4">
        <v>0.99042705704189793</v>
      </c>
      <c r="H56" s="2">
        <f t="shared" si="14"/>
        <v>0.93042705704189799</v>
      </c>
      <c r="I56" s="2">
        <f t="shared" si="15"/>
        <v>0.95699999999999996</v>
      </c>
      <c r="J56" s="2">
        <f t="shared" si="16"/>
        <v>0.72599999999999998</v>
      </c>
      <c r="K56" s="2">
        <f t="shared" si="17"/>
        <v>0.99399999999999999</v>
      </c>
      <c r="L56" s="2">
        <f t="shared" si="18"/>
        <v>0.624</v>
      </c>
      <c r="M56" s="4">
        <f t="shared" si="19"/>
        <v>0.99042705704189793</v>
      </c>
      <c r="N56" s="1">
        <f t="shared" si="20"/>
        <v>15.507117617364967</v>
      </c>
      <c r="O56" s="1">
        <f t="shared" si="21"/>
        <v>25.864864864864867</v>
      </c>
      <c r="P56" s="1">
        <f t="shared" si="22"/>
        <v>181.5</v>
      </c>
      <c r="Q56" s="1" t="e">
        <f t="shared" si="23"/>
        <v>#DIV/0!</v>
      </c>
      <c r="R56" s="1" t="e">
        <f t="shared" si="24"/>
        <v>#DIV/0!</v>
      </c>
      <c r="S56" s="1" t="e">
        <f t="shared" si="25"/>
        <v>#DIV/0!</v>
      </c>
    </row>
    <row r="57" spans="1:19">
      <c r="A57" t="s">
        <v>11</v>
      </c>
      <c r="B57" s="2">
        <v>0.995</v>
      </c>
      <c r="C57" s="2">
        <v>0.995</v>
      </c>
      <c r="D57" s="2">
        <v>0.73899999999999999</v>
      </c>
      <c r="E57" s="2">
        <v>0.995</v>
      </c>
      <c r="F57" s="2">
        <v>0.622</v>
      </c>
      <c r="G57" s="4">
        <v>0.995</v>
      </c>
      <c r="H57" s="2">
        <f t="shared" si="14"/>
        <v>0.93500000000000005</v>
      </c>
      <c r="I57" s="2">
        <f t="shared" si="15"/>
        <v>0.95799999999999996</v>
      </c>
      <c r="J57" s="2">
        <f t="shared" si="16"/>
        <v>0.73499999999999999</v>
      </c>
      <c r="K57" s="2">
        <f t="shared" si="17"/>
        <v>0.995</v>
      </c>
      <c r="L57" s="2">
        <f t="shared" si="18"/>
        <v>0.622</v>
      </c>
      <c r="M57" s="4">
        <f t="shared" si="19"/>
        <v>0.995</v>
      </c>
      <c r="N57" s="1">
        <f t="shared" si="20"/>
        <v>15.583333333333334</v>
      </c>
      <c r="O57" s="1">
        <f t="shared" si="21"/>
        <v>25.891891891891891</v>
      </c>
      <c r="P57" s="1">
        <f t="shared" si="22"/>
        <v>183.75</v>
      </c>
      <c r="Q57" s="1" t="e">
        <f t="shared" si="23"/>
        <v>#DIV/0!</v>
      </c>
      <c r="R57" s="1" t="e">
        <f t="shared" si="24"/>
        <v>#DIV/0!</v>
      </c>
      <c r="S57" s="1" t="e">
        <f t="shared" si="25"/>
        <v>#DIV/0!</v>
      </c>
    </row>
    <row r="58" spans="1:19">
      <c r="A58" t="s">
        <v>175</v>
      </c>
      <c r="B58" s="2">
        <v>0.98647947288393312</v>
      </c>
      <c r="C58" s="2">
        <v>0.98699999999999999</v>
      </c>
      <c r="D58" s="2">
        <v>0.73199999999999998</v>
      </c>
      <c r="E58" s="2">
        <v>0.98699999999999999</v>
      </c>
      <c r="F58" s="2">
        <v>0.61099999999999999</v>
      </c>
      <c r="G58" s="4">
        <v>0.98647947288393312</v>
      </c>
      <c r="H58" s="2">
        <f t="shared" si="14"/>
        <v>0.92647947288393317</v>
      </c>
      <c r="I58" s="2">
        <f t="shared" si="15"/>
        <v>0.95</v>
      </c>
      <c r="J58" s="2">
        <f t="shared" si="16"/>
        <v>0.72799999999999998</v>
      </c>
      <c r="K58" s="2">
        <f t="shared" si="17"/>
        <v>0.98699999999999999</v>
      </c>
      <c r="L58" s="2">
        <f t="shared" si="18"/>
        <v>0.61099999999999999</v>
      </c>
      <c r="M58" s="4">
        <f t="shared" si="19"/>
        <v>0.98647947288393312</v>
      </c>
      <c r="N58" s="1">
        <f t="shared" si="20"/>
        <v>15.441324548065554</v>
      </c>
      <c r="O58" s="1">
        <f t="shared" si="21"/>
        <v>25.675675675675677</v>
      </c>
      <c r="P58" s="1">
        <f t="shared" si="22"/>
        <v>182</v>
      </c>
      <c r="Q58" s="1" t="e">
        <f t="shared" si="23"/>
        <v>#DIV/0!</v>
      </c>
      <c r="R58" s="1" t="e">
        <f t="shared" si="24"/>
        <v>#DIV/0!</v>
      </c>
      <c r="S58" s="1" t="e">
        <f t="shared" si="25"/>
        <v>#DIV/0!</v>
      </c>
    </row>
    <row r="59" spans="1:19">
      <c r="A59" t="s">
        <v>173</v>
      </c>
      <c r="B59" s="2">
        <v>0.99042705704189793</v>
      </c>
      <c r="C59" s="2">
        <v>0.995</v>
      </c>
      <c r="D59" s="2">
        <v>0.73199999999999998</v>
      </c>
      <c r="E59" s="2">
        <v>0.98699999999999999</v>
      </c>
      <c r="F59" s="2">
        <v>0.60399999999999998</v>
      </c>
      <c r="G59" s="4">
        <v>0.98193482688391032</v>
      </c>
      <c r="H59" s="2">
        <f t="shared" si="14"/>
        <v>0.93042705704189799</v>
      </c>
      <c r="I59" s="2">
        <f t="shared" si="15"/>
        <v>0.95799999999999996</v>
      </c>
      <c r="J59" s="2">
        <f t="shared" si="16"/>
        <v>0.72799999999999998</v>
      </c>
      <c r="K59" s="2">
        <f t="shared" si="17"/>
        <v>0.98699999999999999</v>
      </c>
      <c r="L59" s="2">
        <f t="shared" si="18"/>
        <v>0.60399999999999998</v>
      </c>
      <c r="M59" s="4">
        <f t="shared" si="19"/>
        <v>0.98193482688391032</v>
      </c>
      <c r="N59" s="1">
        <f t="shared" si="20"/>
        <v>15.507117617364967</v>
      </c>
      <c r="O59" s="1">
        <f t="shared" si="21"/>
        <v>25.891891891891891</v>
      </c>
      <c r="P59" s="1">
        <f t="shared" si="22"/>
        <v>182</v>
      </c>
      <c r="Q59" s="1" t="e">
        <f t="shared" si="23"/>
        <v>#DIV/0!</v>
      </c>
      <c r="R59" s="1" t="e">
        <f t="shared" si="24"/>
        <v>#DIV/0!</v>
      </c>
      <c r="S59" s="1" t="e">
        <f t="shared" si="25"/>
        <v>#DIV/0!</v>
      </c>
    </row>
    <row r="60" spans="1:19">
      <c r="A60" t="s">
        <v>198</v>
      </c>
      <c r="B60" s="2">
        <v>0.98748759493670879</v>
      </c>
      <c r="C60" s="2">
        <v>0.995</v>
      </c>
      <c r="D60" s="2">
        <v>0.69599999999999995</v>
      </c>
      <c r="E60" s="2">
        <v>0.995</v>
      </c>
      <c r="F60" s="2">
        <v>0.6</v>
      </c>
      <c r="G60" s="4">
        <v>0.98748759493670879</v>
      </c>
      <c r="H60" s="2">
        <f t="shared" si="14"/>
        <v>0.92748759493670874</v>
      </c>
      <c r="I60" s="2">
        <f t="shared" si="15"/>
        <v>0.95799999999999996</v>
      </c>
      <c r="J60" s="2">
        <f t="shared" si="16"/>
        <v>0.69199999999999995</v>
      </c>
      <c r="K60" s="2">
        <f t="shared" si="17"/>
        <v>0.995</v>
      </c>
      <c r="L60" s="2">
        <f t="shared" si="18"/>
        <v>0.6</v>
      </c>
      <c r="M60" s="4">
        <f t="shared" si="19"/>
        <v>0.98748759493670879</v>
      </c>
      <c r="N60" s="1">
        <f t="shared" si="20"/>
        <v>15.45812658227848</v>
      </c>
      <c r="O60" s="1">
        <f t="shared" si="21"/>
        <v>25.891891891891891</v>
      </c>
      <c r="P60" s="1">
        <f t="shared" si="22"/>
        <v>172.99999999999997</v>
      </c>
      <c r="Q60" s="1" t="e">
        <f t="shared" si="23"/>
        <v>#DIV/0!</v>
      </c>
      <c r="R60" s="1" t="e">
        <f t="shared" si="24"/>
        <v>#DIV/0!</v>
      </c>
      <c r="S60" s="1" t="e">
        <f t="shared" si="25"/>
        <v>#DIV/0!</v>
      </c>
    </row>
    <row r="61" spans="1:19">
      <c r="A61" t="s">
        <v>76</v>
      </c>
      <c r="B61" s="2">
        <v>0.97299999999999998</v>
      </c>
      <c r="C61" s="2">
        <v>0.98699999999999999</v>
      </c>
      <c r="D61" s="2">
        <v>0.71699999999999997</v>
      </c>
      <c r="E61" s="2">
        <v>0.97599999999999998</v>
      </c>
      <c r="F61" s="2">
        <v>0.59599999999999997</v>
      </c>
      <c r="G61" s="4">
        <v>0.96399999999999997</v>
      </c>
      <c r="H61" s="2">
        <f t="shared" si="14"/>
        <v>0.91300000000000003</v>
      </c>
      <c r="I61" s="2">
        <f t="shared" si="15"/>
        <v>0.95</v>
      </c>
      <c r="J61" s="2">
        <f t="shared" si="16"/>
        <v>0.71299999999999997</v>
      </c>
      <c r="K61" s="2">
        <f t="shared" si="17"/>
        <v>0.97599999999999998</v>
      </c>
      <c r="L61" s="2">
        <f t="shared" si="18"/>
        <v>0.59599999999999997</v>
      </c>
      <c r="M61" s="4">
        <f t="shared" si="19"/>
        <v>0.96399999999999997</v>
      </c>
      <c r="N61" s="1">
        <f t="shared" si="20"/>
        <v>15.216666666666669</v>
      </c>
      <c r="O61" s="1">
        <f t="shared" si="21"/>
        <v>25.675675675675677</v>
      </c>
      <c r="P61" s="1">
        <f t="shared" si="22"/>
        <v>178.25</v>
      </c>
      <c r="Q61" s="1" t="e">
        <f t="shared" si="23"/>
        <v>#DIV/0!</v>
      </c>
      <c r="R61" s="1" t="e">
        <f t="shared" si="24"/>
        <v>#DIV/0!</v>
      </c>
      <c r="S61" s="1" t="e">
        <f t="shared" si="25"/>
        <v>#DIV/0!</v>
      </c>
    </row>
    <row r="62" spans="1:19">
      <c r="A62" t="s">
        <v>177</v>
      </c>
      <c r="B62" s="2">
        <v>0.9809500509683996</v>
      </c>
      <c r="C62" s="2">
        <v>0.99199999999999999</v>
      </c>
      <c r="D62" s="2">
        <v>0.71799999999999997</v>
      </c>
      <c r="E62" s="2">
        <v>0.99199999999999999</v>
      </c>
      <c r="F62" s="2">
        <v>0.59199999999999997</v>
      </c>
      <c r="G62" s="4">
        <v>0.9809500509683996</v>
      </c>
      <c r="H62" s="2">
        <f t="shared" si="14"/>
        <v>0.92095005096839966</v>
      </c>
      <c r="I62" s="2">
        <f t="shared" si="15"/>
        <v>0.95499999999999996</v>
      </c>
      <c r="J62" s="2">
        <f t="shared" si="16"/>
        <v>0.71399999999999997</v>
      </c>
      <c r="K62" s="2">
        <f t="shared" si="17"/>
        <v>0.99199999999999999</v>
      </c>
      <c r="L62" s="2">
        <f t="shared" si="18"/>
        <v>0.59199999999999997</v>
      </c>
      <c r="M62" s="4">
        <f t="shared" si="19"/>
        <v>0.9809500509683996</v>
      </c>
      <c r="N62" s="1">
        <f t="shared" si="20"/>
        <v>15.349167516139994</v>
      </c>
      <c r="O62" s="1">
        <f t="shared" si="21"/>
        <v>25.810810810810811</v>
      </c>
      <c r="P62" s="1">
        <f t="shared" si="22"/>
        <v>178.5</v>
      </c>
      <c r="Q62" s="1" t="e">
        <f t="shared" si="23"/>
        <v>#DIV/0!</v>
      </c>
      <c r="R62" s="1" t="e">
        <f t="shared" si="24"/>
        <v>#DIV/0!</v>
      </c>
      <c r="S62" s="1" t="e">
        <f t="shared" si="25"/>
        <v>#DIV/0!</v>
      </c>
    </row>
    <row r="63" spans="1:19">
      <c r="A63" t="s">
        <v>196</v>
      </c>
      <c r="B63" s="2">
        <v>0.98993535353535356</v>
      </c>
      <c r="C63" s="2">
        <v>0.995</v>
      </c>
      <c r="D63" s="2">
        <v>0.70699999999999996</v>
      </c>
      <c r="E63" s="2">
        <v>0.995</v>
      </c>
      <c r="F63" s="2">
        <v>0.58899999999999997</v>
      </c>
      <c r="G63" s="4">
        <v>0.98993535353535356</v>
      </c>
      <c r="H63" s="2">
        <f t="shared" si="14"/>
        <v>0.92993535353535361</v>
      </c>
      <c r="I63" s="2">
        <f t="shared" si="15"/>
        <v>0.95799999999999996</v>
      </c>
      <c r="J63" s="2">
        <f t="shared" si="16"/>
        <v>0.70299999999999996</v>
      </c>
      <c r="K63" s="2">
        <f t="shared" si="17"/>
        <v>0.995</v>
      </c>
      <c r="L63" s="2">
        <f t="shared" si="18"/>
        <v>0.58899999999999997</v>
      </c>
      <c r="M63" s="4">
        <f t="shared" si="19"/>
        <v>0.98993535353535356</v>
      </c>
      <c r="N63" s="1">
        <f t="shared" si="20"/>
        <v>15.49892255892256</v>
      </c>
      <c r="O63" s="1">
        <f t="shared" si="21"/>
        <v>25.891891891891891</v>
      </c>
      <c r="P63" s="1">
        <f t="shared" si="22"/>
        <v>175.75</v>
      </c>
      <c r="Q63" s="1" t="e">
        <f t="shared" si="23"/>
        <v>#DIV/0!</v>
      </c>
      <c r="R63" s="1" t="e">
        <f t="shared" si="24"/>
        <v>#DIV/0!</v>
      </c>
      <c r="S63" s="1" t="e">
        <f t="shared" si="25"/>
        <v>#DIV/0!</v>
      </c>
    </row>
    <row r="64" spans="1:19">
      <c r="A64" t="s">
        <v>168</v>
      </c>
      <c r="B64" s="2">
        <v>0.98899595551061692</v>
      </c>
      <c r="C64" s="2">
        <v>0.995</v>
      </c>
      <c r="D64" s="2">
        <v>0.69199999999999995</v>
      </c>
      <c r="E64" s="2">
        <v>0.995</v>
      </c>
      <c r="F64" s="2">
        <v>0.58899999999999997</v>
      </c>
      <c r="G64" s="4">
        <v>0.98899595551061692</v>
      </c>
      <c r="H64" s="2">
        <f t="shared" si="14"/>
        <v>0.92899595551061687</v>
      </c>
      <c r="I64" s="2">
        <f t="shared" si="15"/>
        <v>0.95799999999999996</v>
      </c>
      <c r="J64" s="2">
        <f t="shared" si="16"/>
        <v>0.68799999999999994</v>
      </c>
      <c r="K64" s="2">
        <f t="shared" si="17"/>
        <v>0.995</v>
      </c>
      <c r="L64" s="2">
        <f t="shared" si="18"/>
        <v>0.58899999999999997</v>
      </c>
      <c r="M64" s="4">
        <f t="shared" si="19"/>
        <v>0.98899595551061692</v>
      </c>
      <c r="N64" s="1">
        <f t="shared" si="20"/>
        <v>15.483265925176948</v>
      </c>
      <c r="O64" s="1">
        <f t="shared" si="21"/>
        <v>25.891891891891891</v>
      </c>
      <c r="P64" s="1">
        <f t="shared" si="22"/>
        <v>171.99999999999997</v>
      </c>
      <c r="Q64" s="1" t="e">
        <f t="shared" si="23"/>
        <v>#DIV/0!</v>
      </c>
      <c r="R64" s="1" t="e">
        <f t="shared" si="24"/>
        <v>#DIV/0!</v>
      </c>
      <c r="S64" s="1" t="e">
        <f t="shared" si="25"/>
        <v>#DIV/0!</v>
      </c>
    </row>
    <row r="65" spans="1:19">
      <c r="A65" t="s">
        <v>80</v>
      </c>
      <c r="B65" s="2">
        <v>0.97699999999999998</v>
      </c>
      <c r="C65" s="2">
        <v>0.98599999999999999</v>
      </c>
      <c r="D65" s="2">
        <v>0.71499999999999997</v>
      </c>
      <c r="E65" s="2">
        <v>0.97699999999999998</v>
      </c>
      <c r="F65" s="2">
        <v>0.58799999999999997</v>
      </c>
      <c r="G65" s="4">
        <v>0.96799999999999997</v>
      </c>
      <c r="H65" s="2">
        <f t="shared" si="14"/>
        <v>0.91700000000000004</v>
      </c>
      <c r="I65" s="2">
        <f t="shared" si="15"/>
        <v>0.94899999999999995</v>
      </c>
      <c r="J65" s="2">
        <f t="shared" si="16"/>
        <v>0.71099999999999997</v>
      </c>
      <c r="K65" s="2">
        <f t="shared" si="17"/>
        <v>0.97699999999999998</v>
      </c>
      <c r="L65" s="2">
        <f t="shared" si="18"/>
        <v>0.58799999999999997</v>
      </c>
      <c r="M65" s="4">
        <f t="shared" si="19"/>
        <v>0.96799999999999997</v>
      </c>
      <c r="N65" s="1">
        <f t="shared" si="20"/>
        <v>15.283333333333335</v>
      </c>
      <c r="O65" s="1">
        <f t="shared" si="21"/>
        <v>25.648648648648649</v>
      </c>
      <c r="P65" s="1">
        <f t="shared" si="22"/>
        <v>177.75</v>
      </c>
      <c r="Q65" s="1" t="e">
        <f t="shared" si="23"/>
        <v>#DIV/0!</v>
      </c>
      <c r="R65" s="1" t="e">
        <f t="shared" si="24"/>
        <v>#DIV/0!</v>
      </c>
      <c r="S65" s="1" t="e">
        <f t="shared" si="25"/>
        <v>#DIV/0!</v>
      </c>
    </row>
    <row r="66" spans="1:19">
      <c r="A66" t="s">
        <v>123</v>
      </c>
      <c r="B66" s="2">
        <v>0.99099999999999999</v>
      </c>
      <c r="C66" s="2">
        <v>0.995</v>
      </c>
      <c r="D66" s="2">
        <v>0.71799999999999997</v>
      </c>
      <c r="E66" s="2">
        <v>0.995</v>
      </c>
      <c r="F66" s="2">
        <v>0.58499999999999996</v>
      </c>
      <c r="G66" s="4">
        <v>0.99099999999999999</v>
      </c>
      <c r="H66" s="2">
        <f t="shared" ref="H66:H97" si="26">B66-V$2</f>
        <v>0.93100000000000005</v>
      </c>
      <c r="I66" s="2">
        <f t="shared" ref="I66:I97" si="27">C66-W$2</f>
        <v>0.95799999999999996</v>
      </c>
      <c r="J66" s="2">
        <f t="shared" ref="J66:J97" si="28">D66-X$2</f>
        <v>0.71399999999999997</v>
      </c>
      <c r="K66" s="2">
        <f t="shared" ref="K66:K97" si="29">E66-Y$2</f>
        <v>0.995</v>
      </c>
      <c r="L66" s="2">
        <f t="shared" ref="L66:L97" si="30">F66-Z$2</f>
        <v>0.58499999999999996</v>
      </c>
      <c r="M66" s="4">
        <f t="shared" ref="M66:M97" si="31">G66-AA$2</f>
        <v>0.99099999999999999</v>
      </c>
      <c r="N66" s="1">
        <f t="shared" ref="N66:N97" si="32">(B66-V$2)/V$2</f>
        <v>15.516666666666667</v>
      </c>
      <c r="O66" s="1">
        <f t="shared" ref="O66:O97" si="33">(C66-W$2)/W$2</f>
        <v>25.891891891891891</v>
      </c>
      <c r="P66" s="1">
        <f t="shared" ref="P66:P97" si="34">(D66-X$2)/X$2</f>
        <v>178.5</v>
      </c>
      <c r="Q66" s="1" t="e">
        <f t="shared" ref="Q66:Q97" si="35">(E66-Y$2)/Y$2</f>
        <v>#DIV/0!</v>
      </c>
      <c r="R66" s="1" t="e">
        <f t="shared" ref="R66:R97" si="36">(F66-Z$2)/Z$2</f>
        <v>#DIV/0!</v>
      </c>
      <c r="S66" s="1" t="e">
        <f t="shared" ref="S66:S97" si="37">(G66-AA$2)/AA$2</f>
        <v>#DIV/0!</v>
      </c>
    </row>
    <row r="67" spans="1:19">
      <c r="A67" t="s">
        <v>124</v>
      </c>
      <c r="B67" s="2">
        <v>0.99</v>
      </c>
      <c r="C67" s="2">
        <v>0.99</v>
      </c>
      <c r="D67" s="2">
        <v>0.71099999999999997</v>
      </c>
      <c r="E67" s="2">
        <v>0.97899999999999998</v>
      </c>
      <c r="F67" s="2">
        <v>0.58099999999999996</v>
      </c>
      <c r="G67" s="4">
        <v>0.98199999999999998</v>
      </c>
      <c r="H67" s="2">
        <f t="shared" si="26"/>
        <v>0.92999999999999994</v>
      </c>
      <c r="I67" s="2">
        <f t="shared" si="27"/>
        <v>0.95299999999999996</v>
      </c>
      <c r="J67" s="2">
        <f t="shared" si="28"/>
        <v>0.70699999999999996</v>
      </c>
      <c r="K67" s="2">
        <f t="shared" si="29"/>
        <v>0.97899999999999998</v>
      </c>
      <c r="L67" s="2">
        <f t="shared" si="30"/>
        <v>0.58099999999999996</v>
      </c>
      <c r="M67" s="4">
        <f t="shared" si="31"/>
        <v>0.98199999999999998</v>
      </c>
      <c r="N67" s="1">
        <f t="shared" si="32"/>
        <v>15.5</v>
      </c>
      <c r="O67" s="1">
        <f t="shared" si="33"/>
        <v>25.756756756756758</v>
      </c>
      <c r="P67" s="1">
        <f t="shared" si="34"/>
        <v>176.75</v>
      </c>
      <c r="Q67" s="1" t="e">
        <f t="shared" si="35"/>
        <v>#DIV/0!</v>
      </c>
      <c r="R67" s="1" t="e">
        <f t="shared" si="36"/>
        <v>#DIV/0!</v>
      </c>
      <c r="S67" s="1" t="e">
        <f t="shared" si="37"/>
        <v>#DIV/0!</v>
      </c>
    </row>
    <row r="68" spans="1:19">
      <c r="A68" t="s">
        <v>136</v>
      </c>
      <c r="B68" s="2">
        <v>0.99099999999999999</v>
      </c>
      <c r="C68" s="2">
        <v>0.99399999999999999</v>
      </c>
      <c r="D68" s="2">
        <v>0.66700000000000004</v>
      </c>
      <c r="E68" s="2">
        <v>0.99399999999999999</v>
      </c>
      <c r="F68" s="2">
        <v>0.57999999999999996</v>
      </c>
      <c r="G68" s="4">
        <v>0.99099999999999999</v>
      </c>
      <c r="H68" s="2">
        <f t="shared" si="26"/>
        <v>0.93100000000000005</v>
      </c>
      <c r="I68" s="2">
        <f t="shared" si="27"/>
        <v>0.95699999999999996</v>
      </c>
      <c r="J68" s="2">
        <f t="shared" si="28"/>
        <v>0.66300000000000003</v>
      </c>
      <c r="K68" s="2">
        <f t="shared" si="29"/>
        <v>0.99399999999999999</v>
      </c>
      <c r="L68" s="2">
        <f t="shared" si="30"/>
        <v>0.57999999999999996</v>
      </c>
      <c r="M68" s="4">
        <f t="shared" si="31"/>
        <v>0.99099999999999999</v>
      </c>
      <c r="N68" s="1">
        <f t="shared" si="32"/>
        <v>15.516666666666667</v>
      </c>
      <c r="O68" s="1">
        <f t="shared" si="33"/>
        <v>25.864864864864867</v>
      </c>
      <c r="P68" s="1">
        <f t="shared" si="34"/>
        <v>165.75</v>
      </c>
      <c r="Q68" s="1" t="e">
        <f t="shared" si="35"/>
        <v>#DIV/0!</v>
      </c>
      <c r="R68" s="1" t="e">
        <f t="shared" si="36"/>
        <v>#DIV/0!</v>
      </c>
      <c r="S68" s="1" t="e">
        <f t="shared" si="37"/>
        <v>#DIV/0!</v>
      </c>
    </row>
    <row r="69" spans="1:19">
      <c r="A69" t="s">
        <v>108</v>
      </c>
      <c r="B69" s="2">
        <v>0.95799999999999996</v>
      </c>
      <c r="C69" s="2">
        <v>0.98299999999999998</v>
      </c>
      <c r="D69" s="2">
        <v>0.70199999999999996</v>
      </c>
      <c r="E69" s="2">
        <v>0.96499999999999997</v>
      </c>
      <c r="F69" s="2">
        <v>0.57999999999999996</v>
      </c>
      <c r="G69" s="4">
        <v>0.94</v>
      </c>
      <c r="H69" s="2">
        <f t="shared" si="26"/>
        <v>0.89799999999999991</v>
      </c>
      <c r="I69" s="2">
        <f t="shared" si="27"/>
        <v>0.94599999999999995</v>
      </c>
      <c r="J69" s="2">
        <f t="shared" si="28"/>
        <v>0.69799999999999995</v>
      </c>
      <c r="K69" s="2">
        <f t="shared" si="29"/>
        <v>0.96499999999999997</v>
      </c>
      <c r="L69" s="2">
        <f t="shared" si="30"/>
        <v>0.57999999999999996</v>
      </c>
      <c r="M69" s="4">
        <f t="shared" si="31"/>
        <v>0.94</v>
      </c>
      <c r="N69" s="1">
        <f t="shared" si="32"/>
        <v>14.966666666666665</v>
      </c>
      <c r="O69" s="1">
        <f t="shared" si="33"/>
        <v>25.567567567567568</v>
      </c>
      <c r="P69" s="1">
        <f t="shared" si="34"/>
        <v>174.49999999999997</v>
      </c>
      <c r="Q69" s="1" t="e">
        <f t="shared" si="35"/>
        <v>#DIV/0!</v>
      </c>
      <c r="R69" s="1" t="e">
        <f t="shared" si="36"/>
        <v>#DIV/0!</v>
      </c>
      <c r="S69" s="1" t="e">
        <f t="shared" si="37"/>
        <v>#DIV/0!</v>
      </c>
    </row>
    <row r="70" spans="1:19">
      <c r="A70" t="s">
        <v>184</v>
      </c>
      <c r="B70" s="2">
        <v>0.9666604651162789</v>
      </c>
      <c r="C70" s="2">
        <v>0.98199999999999998</v>
      </c>
      <c r="D70" s="2">
        <v>0.68899999999999995</v>
      </c>
      <c r="E70" s="2">
        <v>0.97399999999999998</v>
      </c>
      <c r="F70" s="2">
        <v>0.57899999999999996</v>
      </c>
      <c r="G70" s="4">
        <v>0.9666604651162789</v>
      </c>
      <c r="H70" s="2">
        <f t="shared" si="26"/>
        <v>0.90666046511627885</v>
      </c>
      <c r="I70" s="2">
        <f t="shared" si="27"/>
        <v>0.94499999999999995</v>
      </c>
      <c r="J70" s="2">
        <f t="shared" si="28"/>
        <v>0.68499999999999994</v>
      </c>
      <c r="K70" s="2">
        <f t="shared" si="29"/>
        <v>0.97399999999999998</v>
      </c>
      <c r="L70" s="2">
        <f t="shared" si="30"/>
        <v>0.57899999999999996</v>
      </c>
      <c r="M70" s="4">
        <f t="shared" si="31"/>
        <v>0.9666604651162789</v>
      </c>
      <c r="N70" s="1">
        <f t="shared" si="32"/>
        <v>15.111007751937981</v>
      </c>
      <c r="O70" s="1">
        <f t="shared" si="33"/>
        <v>25.54054054054054</v>
      </c>
      <c r="P70" s="1">
        <f t="shared" si="34"/>
        <v>171.24999999999997</v>
      </c>
      <c r="Q70" s="1" t="e">
        <f t="shared" si="35"/>
        <v>#DIV/0!</v>
      </c>
      <c r="R70" s="1" t="e">
        <f t="shared" si="36"/>
        <v>#DIV/0!</v>
      </c>
      <c r="S70" s="1" t="e">
        <f t="shared" si="37"/>
        <v>#DIV/0!</v>
      </c>
    </row>
    <row r="71" spans="1:19">
      <c r="A71" t="s">
        <v>182</v>
      </c>
      <c r="B71" s="2">
        <v>0.9863416117587428</v>
      </c>
      <c r="C71" s="2">
        <v>0.995</v>
      </c>
      <c r="D71" s="2">
        <v>0.69499999999999995</v>
      </c>
      <c r="E71" s="2">
        <v>0.995</v>
      </c>
      <c r="F71" s="2">
        <v>0.57799999999999996</v>
      </c>
      <c r="G71" s="4">
        <v>0.9863416117587428</v>
      </c>
      <c r="H71" s="2">
        <f t="shared" si="26"/>
        <v>0.92634161175874286</v>
      </c>
      <c r="I71" s="2">
        <f t="shared" si="27"/>
        <v>0.95799999999999996</v>
      </c>
      <c r="J71" s="2">
        <f t="shared" si="28"/>
        <v>0.69099999999999995</v>
      </c>
      <c r="K71" s="2">
        <f t="shared" si="29"/>
        <v>0.995</v>
      </c>
      <c r="L71" s="2">
        <f t="shared" si="30"/>
        <v>0.57799999999999996</v>
      </c>
      <c r="M71" s="4">
        <f t="shared" si="31"/>
        <v>0.9863416117587428</v>
      </c>
      <c r="N71" s="1">
        <f t="shared" si="32"/>
        <v>15.439026862645715</v>
      </c>
      <c r="O71" s="1">
        <f t="shared" si="33"/>
        <v>25.891891891891891</v>
      </c>
      <c r="P71" s="1">
        <f t="shared" si="34"/>
        <v>172.74999999999997</v>
      </c>
      <c r="Q71" s="1" t="e">
        <f t="shared" si="35"/>
        <v>#DIV/0!</v>
      </c>
      <c r="R71" s="1" t="e">
        <f t="shared" si="36"/>
        <v>#DIV/0!</v>
      </c>
      <c r="S71" s="1" t="e">
        <f t="shared" si="37"/>
        <v>#DIV/0!</v>
      </c>
    </row>
    <row r="72" spans="1:19">
      <c r="A72" t="s">
        <v>180</v>
      </c>
      <c r="B72" s="2">
        <v>0.99547965846308406</v>
      </c>
      <c r="C72" s="2">
        <v>0.995</v>
      </c>
      <c r="D72" s="2">
        <v>0.73399999999999999</v>
      </c>
      <c r="E72" s="2">
        <v>0.995</v>
      </c>
      <c r="F72" s="2">
        <v>0.57699999999999996</v>
      </c>
      <c r="G72" s="4">
        <v>0.99547965846308406</v>
      </c>
      <c r="H72" s="2">
        <f t="shared" si="26"/>
        <v>0.93547965846308401</v>
      </c>
      <c r="I72" s="2">
        <f t="shared" si="27"/>
        <v>0.95799999999999996</v>
      </c>
      <c r="J72" s="2">
        <f t="shared" si="28"/>
        <v>0.73</v>
      </c>
      <c r="K72" s="2">
        <f t="shared" si="29"/>
        <v>0.995</v>
      </c>
      <c r="L72" s="2">
        <f t="shared" si="30"/>
        <v>0.57699999999999996</v>
      </c>
      <c r="M72" s="4">
        <f t="shared" si="31"/>
        <v>0.99547965846308406</v>
      </c>
      <c r="N72" s="1">
        <f t="shared" si="32"/>
        <v>15.5913276410514</v>
      </c>
      <c r="O72" s="1">
        <f t="shared" si="33"/>
        <v>25.891891891891891</v>
      </c>
      <c r="P72" s="1">
        <f t="shared" si="34"/>
        <v>182.5</v>
      </c>
      <c r="Q72" s="1" t="e">
        <f t="shared" si="35"/>
        <v>#DIV/0!</v>
      </c>
      <c r="R72" s="1" t="e">
        <f t="shared" si="36"/>
        <v>#DIV/0!</v>
      </c>
      <c r="S72" s="1" t="e">
        <f t="shared" si="37"/>
        <v>#DIV/0!</v>
      </c>
    </row>
    <row r="73" spans="1:19">
      <c r="A73" t="s">
        <v>129</v>
      </c>
      <c r="B73" s="2">
        <v>0.995</v>
      </c>
      <c r="C73" s="2">
        <v>0.995</v>
      </c>
      <c r="D73" s="2">
        <v>0.69399999999999995</v>
      </c>
      <c r="E73" s="2">
        <v>0.995</v>
      </c>
      <c r="F73" s="2">
        <v>0.57599999999999996</v>
      </c>
      <c r="G73" s="4">
        <v>0.995</v>
      </c>
      <c r="H73" s="2">
        <f t="shared" si="26"/>
        <v>0.93500000000000005</v>
      </c>
      <c r="I73" s="2">
        <f t="shared" si="27"/>
        <v>0.95799999999999996</v>
      </c>
      <c r="J73" s="2">
        <f t="shared" si="28"/>
        <v>0.69</v>
      </c>
      <c r="K73" s="2">
        <f t="shared" si="29"/>
        <v>0.995</v>
      </c>
      <c r="L73" s="2">
        <f t="shared" si="30"/>
        <v>0.57599999999999996</v>
      </c>
      <c r="M73" s="4">
        <f t="shared" si="31"/>
        <v>0.995</v>
      </c>
      <c r="N73" s="1">
        <f t="shared" si="32"/>
        <v>15.583333333333334</v>
      </c>
      <c r="O73" s="1">
        <f t="shared" si="33"/>
        <v>25.891891891891891</v>
      </c>
      <c r="P73" s="1">
        <f t="shared" si="34"/>
        <v>172.49999999999997</v>
      </c>
      <c r="Q73" s="1" t="e">
        <f t="shared" si="35"/>
        <v>#DIV/0!</v>
      </c>
      <c r="R73" s="1" t="e">
        <f t="shared" si="36"/>
        <v>#DIV/0!</v>
      </c>
      <c r="S73" s="1" t="e">
        <f t="shared" si="37"/>
        <v>#DIV/0!</v>
      </c>
    </row>
    <row r="74" spans="1:19">
      <c r="A74" t="s">
        <v>142</v>
      </c>
      <c r="B74" s="2">
        <v>0.98599999999999999</v>
      </c>
      <c r="C74" s="2">
        <v>0.99399999999999999</v>
      </c>
      <c r="D74" s="2">
        <v>0.68100000000000005</v>
      </c>
      <c r="E74" s="2">
        <v>0.98099999999999998</v>
      </c>
      <c r="F74" s="2">
        <v>0.57599999999999996</v>
      </c>
      <c r="G74" s="4">
        <v>0.97699999999999998</v>
      </c>
      <c r="H74" s="2">
        <f t="shared" si="26"/>
        <v>0.92599999999999993</v>
      </c>
      <c r="I74" s="2">
        <f t="shared" si="27"/>
        <v>0.95699999999999996</v>
      </c>
      <c r="J74" s="2">
        <f t="shared" si="28"/>
        <v>0.67700000000000005</v>
      </c>
      <c r="K74" s="2">
        <f t="shared" si="29"/>
        <v>0.98099999999999998</v>
      </c>
      <c r="L74" s="2">
        <f t="shared" si="30"/>
        <v>0.57599999999999996</v>
      </c>
      <c r="M74" s="4">
        <f t="shared" si="31"/>
        <v>0.97699999999999998</v>
      </c>
      <c r="N74" s="1">
        <f t="shared" si="32"/>
        <v>15.433333333333334</v>
      </c>
      <c r="O74" s="1">
        <f t="shared" si="33"/>
        <v>25.864864864864867</v>
      </c>
      <c r="P74" s="1">
        <f t="shared" si="34"/>
        <v>169.25</v>
      </c>
      <c r="Q74" s="1" t="e">
        <f t="shared" si="35"/>
        <v>#DIV/0!</v>
      </c>
      <c r="R74" s="1" t="e">
        <f t="shared" si="36"/>
        <v>#DIV/0!</v>
      </c>
      <c r="S74" s="1" t="e">
        <f t="shared" si="37"/>
        <v>#DIV/0!</v>
      </c>
    </row>
    <row r="75" spans="1:19">
      <c r="A75" t="s">
        <v>130</v>
      </c>
      <c r="B75" s="2">
        <v>0.99099999999999999</v>
      </c>
      <c r="C75" s="2">
        <v>0.99199999999999999</v>
      </c>
      <c r="D75" s="2">
        <v>0.69799999999999995</v>
      </c>
      <c r="E75" s="2">
        <v>0.97599999999999998</v>
      </c>
      <c r="F75" s="2">
        <v>0.57499999999999996</v>
      </c>
      <c r="G75" s="4">
        <v>0.98199999999999998</v>
      </c>
      <c r="H75" s="2">
        <f t="shared" si="26"/>
        <v>0.93100000000000005</v>
      </c>
      <c r="I75" s="2">
        <f t="shared" si="27"/>
        <v>0.95499999999999996</v>
      </c>
      <c r="J75" s="2">
        <f t="shared" si="28"/>
        <v>0.69399999999999995</v>
      </c>
      <c r="K75" s="2">
        <f t="shared" si="29"/>
        <v>0.97599999999999998</v>
      </c>
      <c r="L75" s="2">
        <f t="shared" si="30"/>
        <v>0.57499999999999996</v>
      </c>
      <c r="M75" s="4">
        <f t="shared" si="31"/>
        <v>0.98199999999999998</v>
      </c>
      <c r="N75" s="1">
        <f t="shared" si="32"/>
        <v>15.516666666666667</v>
      </c>
      <c r="O75" s="1">
        <f t="shared" si="33"/>
        <v>25.810810810810811</v>
      </c>
      <c r="P75" s="1">
        <f t="shared" si="34"/>
        <v>173.49999999999997</v>
      </c>
      <c r="Q75" s="1" t="e">
        <f t="shared" si="35"/>
        <v>#DIV/0!</v>
      </c>
      <c r="R75" s="1" t="e">
        <f t="shared" si="36"/>
        <v>#DIV/0!</v>
      </c>
      <c r="S75" s="1" t="e">
        <f t="shared" si="37"/>
        <v>#DIV/0!</v>
      </c>
    </row>
    <row r="76" spans="1:19">
      <c r="A76" t="s">
        <v>166</v>
      </c>
      <c r="B76" s="2">
        <v>0.98597464503042598</v>
      </c>
      <c r="C76" s="2">
        <v>0.995</v>
      </c>
      <c r="D76" s="2">
        <v>0.67600000000000005</v>
      </c>
      <c r="E76" s="2">
        <v>0.98499999999999999</v>
      </c>
      <c r="F76" s="2">
        <v>0.57499999999999996</v>
      </c>
      <c r="G76" s="4">
        <v>0.97697441146366415</v>
      </c>
      <c r="H76" s="2">
        <f t="shared" si="26"/>
        <v>0.92597464503042604</v>
      </c>
      <c r="I76" s="2">
        <f t="shared" si="27"/>
        <v>0.95799999999999996</v>
      </c>
      <c r="J76" s="2">
        <f t="shared" si="28"/>
        <v>0.67200000000000004</v>
      </c>
      <c r="K76" s="2">
        <f t="shared" si="29"/>
        <v>0.98499999999999999</v>
      </c>
      <c r="L76" s="2">
        <f t="shared" si="30"/>
        <v>0.57499999999999996</v>
      </c>
      <c r="M76" s="4">
        <f t="shared" si="31"/>
        <v>0.97697441146366415</v>
      </c>
      <c r="N76" s="1">
        <f t="shared" si="32"/>
        <v>15.432910750507101</v>
      </c>
      <c r="O76" s="1">
        <f t="shared" si="33"/>
        <v>25.891891891891891</v>
      </c>
      <c r="P76" s="1">
        <f t="shared" si="34"/>
        <v>168</v>
      </c>
      <c r="Q76" s="1" t="e">
        <f t="shared" si="35"/>
        <v>#DIV/0!</v>
      </c>
      <c r="R76" s="1" t="e">
        <f t="shared" si="36"/>
        <v>#DIV/0!</v>
      </c>
      <c r="S76" s="1" t="e">
        <f t="shared" si="37"/>
        <v>#DIV/0!</v>
      </c>
    </row>
    <row r="77" spans="1:19">
      <c r="A77" t="s">
        <v>101</v>
      </c>
      <c r="B77" s="2">
        <v>0.97099999999999997</v>
      </c>
      <c r="C77" s="2">
        <v>0.99</v>
      </c>
      <c r="D77" s="2">
        <v>0.622</v>
      </c>
      <c r="E77" s="2">
        <v>0.99</v>
      </c>
      <c r="F77" s="2">
        <v>0.57399999999999995</v>
      </c>
      <c r="G77" s="4">
        <v>0.97099999999999997</v>
      </c>
      <c r="H77" s="2">
        <f t="shared" si="26"/>
        <v>0.91100000000000003</v>
      </c>
      <c r="I77" s="2">
        <f t="shared" si="27"/>
        <v>0.95299999999999996</v>
      </c>
      <c r="J77" s="2">
        <f t="shared" si="28"/>
        <v>0.61799999999999999</v>
      </c>
      <c r="K77" s="2">
        <f t="shared" si="29"/>
        <v>0.99</v>
      </c>
      <c r="L77" s="2">
        <f t="shared" si="30"/>
        <v>0.57399999999999995</v>
      </c>
      <c r="M77" s="4">
        <f t="shared" si="31"/>
        <v>0.97099999999999997</v>
      </c>
      <c r="N77" s="1">
        <f t="shared" si="32"/>
        <v>15.183333333333334</v>
      </c>
      <c r="O77" s="1">
        <f t="shared" si="33"/>
        <v>25.756756756756758</v>
      </c>
      <c r="P77" s="1">
        <f t="shared" si="34"/>
        <v>154.5</v>
      </c>
      <c r="Q77" s="1" t="e">
        <f t="shared" si="35"/>
        <v>#DIV/0!</v>
      </c>
      <c r="R77" s="1" t="e">
        <f t="shared" si="36"/>
        <v>#DIV/0!</v>
      </c>
      <c r="S77" s="1" t="e">
        <f t="shared" si="37"/>
        <v>#DIV/0!</v>
      </c>
    </row>
    <row r="78" spans="1:19">
      <c r="A78" t="s">
        <v>43</v>
      </c>
      <c r="B78" s="2">
        <v>0.98599999999999999</v>
      </c>
      <c r="C78" s="2">
        <v>0.99299999999999999</v>
      </c>
      <c r="D78" s="2">
        <v>0.68899999999999995</v>
      </c>
      <c r="E78" s="2">
        <v>0.99299999999999999</v>
      </c>
      <c r="F78" s="2">
        <v>0.57299999999999995</v>
      </c>
      <c r="G78" s="4">
        <v>0.98599999999999999</v>
      </c>
      <c r="H78" s="2">
        <f t="shared" si="26"/>
        <v>0.92599999999999993</v>
      </c>
      <c r="I78" s="2">
        <f t="shared" si="27"/>
        <v>0.95599999999999996</v>
      </c>
      <c r="J78" s="2">
        <f t="shared" si="28"/>
        <v>0.68499999999999994</v>
      </c>
      <c r="K78" s="2">
        <f t="shared" si="29"/>
        <v>0.99299999999999999</v>
      </c>
      <c r="L78" s="2">
        <f t="shared" si="30"/>
        <v>0.57299999999999995</v>
      </c>
      <c r="M78" s="4">
        <f t="shared" si="31"/>
        <v>0.98599999999999999</v>
      </c>
      <c r="N78" s="1">
        <f t="shared" si="32"/>
        <v>15.433333333333334</v>
      </c>
      <c r="O78" s="1">
        <f t="shared" si="33"/>
        <v>25.837837837837839</v>
      </c>
      <c r="P78" s="1">
        <f t="shared" si="34"/>
        <v>171.24999999999997</v>
      </c>
      <c r="Q78" s="1" t="e">
        <f t="shared" si="35"/>
        <v>#DIV/0!</v>
      </c>
      <c r="R78" s="1" t="e">
        <f t="shared" si="36"/>
        <v>#DIV/0!</v>
      </c>
      <c r="S78" s="1" t="e">
        <f t="shared" si="37"/>
        <v>#DIV/0!</v>
      </c>
    </row>
    <row r="79" spans="1:19">
      <c r="A79" t="s">
        <v>208</v>
      </c>
      <c r="B79" s="2">
        <v>0.9863416117587428</v>
      </c>
      <c r="C79" s="2">
        <v>0.99399999999999999</v>
      </c>
      <c r="D79" s="2">
        <v>0.70299999999999996</v>
      </c>
      <c r="E79" s="2">
        <v>0.99399999999999999</v>
      </c>
      <c r="F79" s="2">
        <v>0.57199999999999995</v>
      </c>
      <c r="G79" s="4">
        <v>0.9863416117587428</v>
      </c>
      <c r="H79" s="2">
        <f t="shared" si="26"/>
        <v>0.92634161175874286</v>
      </c>
      <c r="I79" s="2">
        <f t="shared" si="27"/>
        <v>0.95699999999999996</v>
      </c>
      <c r="J79" s="2">
        <f t="shared" si="28"/>
        <v>0.69899999999999995</v>
      </c>
      <c r="K79" s="2">
        <f t="shared" si="29"/>
        <v>0.99399999999999999</v>
      </c>
      <c r="L79" s="2">
        <f t="shared" si="30"/>
        <v>0.57199999999999995</v>
      </c>
      <c r="M79" s="4">
        <f t="shared" si="31"/>
        <v>0.9863416117587428</v>
      </c>
      <c r="N79" s="1">
        <f t="shared" si="32"/>
        <v>15.439026862645715</v>
      </c>
      <c r="O79" s="1">
        <f t="shared" si="33"/>
        <v>25.864864864864867</v>
      </c>
      <c r="P79" s="1">
        <f t="shared" si="34"/>
        <v>174.74999999999997</v>
      </c>
      <c r="Q79" s="1" t="e">
        <f t="shared" si="35"/>
        <v>#DIV/0!</v>
      </c>
      <c r="R79" s="1" t="e">
        <f t="shared" si="36"/>
        <v>#DIV/0!</v>
      </c>
      <c r="S79" s="1" t="e">
        <f t="shared" si="37"/>
        <v>#DIV/0!</v>
      </c>
    </row>
    <row r="80" spans="1:19">
      <c r="A80" t="s">
        <v>135</v>
      </c>
      <c r="B80" s="2">
        <v>0.99099999999999999</v>
      </c>
      <c r="C80" s="2">
        <v>0.995</v>
      </c>
      <c r="D80" s="2">
        <v>0.66400000000000003</v>
      </c>
      <c r="E80" s="2">
        <v>0.98299999999999998</v>
      </c>
      <c r="F80" s="2">
        <v>0.57199999999999995</v>
      </c>
      <c r="G80" s="4">
        <v>0.98199999999999998</v>
      </c>
      <c r="H80" s="2">
        <f t="shared" si="26"/>
        <v>0.93100000000000005</v>
      </c>
      <c r="I80" s="2">
        <f t="shared" si="27"/>
        <v>0.95799999999999996</v>
      </c>
      <c r="J80" s="2">
        <f t="shared" si="28"/>
        <v>0.66</v>
      </c>
      <c r="K80" s="2">
        <f t="shared" si="29"/>
        <v>0.98299999999999998</v>
      </c>
      <c r="L80" s="2">
        <f t="shared" si="30"/>
        <v>0.57199999999999995</v>
      </c>
      <c r="M80" s="4">
        <f t="shared" si="31"/>
        <v>0.98199999999999998</v>
      </c>
      <c r="N80" s="1">
        <f t="shared" si="32"/>
        <v>15.516666666666667</v>
      </c>
      <c r="O80" s="1">
        <f t="shared" si="33"/>
        <v>25.891891891891891</v>
      </c>
      <c r="P80" s="1">
        <f t="shared" si="34"/>
        <v>165</v>
      </c>
      <c r="Q80" s="1" t="e">
        <f t="shared" si="35"/>
        <v>#DIV/0!</v>
      </c>
      <c r="R80" s="1" t="e">
        <f t="shared" si="36"/>
        <v>#DIV/0!</v>
      </c>
      <c r="S80" s="1" t="e">
        <f t="shared" si="37"/>
        <v>#DIV/0!</v>
      </c>
    </row>
    <row r="81" spans="1:19">
      <c r="A81" t="s">
        <v>141</v>
      </c>
      <c r="B81" s="2">
        <v>0.99099999999999999</v>
      </c>
      <c r="C81" s="2">
        <v>0.99399999999999999</v>
      </c>
      <c r="D81" s="2">
        <v>0.66300000000000003</v>
      </c>
      <c r="E81" s="2">
        <v>0.98499999999999999</v>
      </c>
      <c r="F81" s="2">
        <v>0.57099999999999995</v>
      </c>
      <c r="G81" s="4">
        <v>0.98199999999999998</v>
      </c>
      <c r="H81" s="2">
        <f t="shared" si="26"/>
        <v>0.93100000000000005</v>
      </c>
      <c r="I81" s="2">
        <f t="shared" si="27"/>
        <v>0.95699999999999996</v>
      </c>
      <c r="J81" s="2">
        <f t="shared" si="28"/>
        <v>0.65900000000000003</v>
      </c>
      <c r="K81" s="2">
        <f t="shared" si="29"/>
        <v>0.98499999999999999</v>
      </c>
      <c r="L81" s="2">
        <f t="shared" si="30"/>
        <v>0.57099999999999995</v>
      </c>
      <c r="M81" s="4">
        <f t="shared" si="31"/>
        <v>0.98199999999999998</v>
      </c>
      <c r="N81" s="1">
        <f t="shared" si="32"/>
        <v>15.516666666666667</v>
      </c>
      <c r="O81" s="1">
        <f t="shared" si="33"/>
        <v>25.864864864864867</v>
      </c>
      <c r="P81" s="1">
        <f t="shared" si="34"/>
        <v>164.75</v>
      </c>
      <c r="Q81" s="1" t="e">
        <f t="shared" si="35"/>
        <v>#DIV/0!</v>
      </c>
      <c r="R81" s="1" t="e">
        <f t="shared" si="36"/>
        <v>#DIV/0!</v>
      </c>
      <c r="S81" s="1" t="e">
        <f t="shared" si="37"/>
        <v>#DIV/0!</v>
      </c>
    </row>
    <row r="82" spans="1:19">
      <c r="A82" t="s">
        <v>201</v>
      </c>
      <c r="B82" s="2">
        <v>0.99497487437185916</v>
      </c>
      <c r="C82" s="2">
        <v>0.995</v>
      </c>
      <c r="D82" s="2">
        <v>0.70599999999999996</v>
      </c>
      <c r="E82" s="2">
        <v>0.995</v>
      </c>
      <c r="F82" s="2">
        <v>0.55700000000000005</v>
      </c>
      <c r="G82" s="4">
        <v>0.99497487437185916</v>
      </c>
      <c r="H82" s="2">
        <f t="shared" si="26"/>
        <v>0.93497487437185911</v>
      </c>
      <c r="I82" s="2">
        <f t="shared" si="27"/>
        <v>0.95799999999999996</v>
      </c>
      <c r="J82" s="2">
        <f t="shared" si="28"/>
        <v>0.70199999999999996</v>
      </c>
      <c r="K82" s="2">
        <f t="shared" si="29"/>
        <v>0.995</v>
      </c>
      <c r="L82" s="2">
        <f t="shared" si="30"/>
        <v>0.55700000000000005</v>
      </c>
      <c r="M82" s="4">
        <f t="shared" si="31"/>
        <v>0.99497487437185916</v>
      </c>
      <c r="N82" s="1">
        <f t="shared" si="32"/>
        <v>15.582914572864318</v>
      </c>
      <c r="O82" s="1">
        <f t="shared" si="33"/>
        <v>25.891891891891891</v>
      </c>
      <c r="P82" s="1">
        <f t="shared" si="34"/>
        <v>175.49999999999997</v>
      </c>
      <c r="Q82" s="1" t="e">
        <f t="shared" si="35"/>
        <v>#DIV/0!</v>
      </c>
      <c r="R82" s="1" t="e">
        <f t="shared" si="36"/>
        <v>#DIV/0!</v>
      </c>
      <c r="S82" s="1" t="e">
        <f t="shared" si="37"/>
        <v>#DIV/0!</v>
      </c>
    </row>
    <row r="83" spans="1:19">
      <c r="A83" t="s">
        <v>92</v>
      </c>
      <c r="B83" s="2">
        <v>0.98199999999999998</v>
      </c>
      <c r="C83" s="2">
        <v>0.99399999999999999</v>
      </c>
      <c r="D83" s="2">
        <v>0.71</v>
      </c>
      <c r="E83" s="2">
        <v>0.99399999999999999</v>
      </c>
      <c r="F83" s="2">
        <v>0.55600000000000005</v>
      </c>
      <c r="G83" s="4">
        <v>0.98199999999999998</v>
      </c>
      <c r="H83" s="2">
        <f t="shared" si="26"/>
        <v>0.92199999999999993</v>
      </c>
      <c r="I83" s="2">
        <f t="shared" si="27"/>
        <v>0.95699999999999996</v>
      </c>
      <c r="J83" s="2">
        <f t="shared" si="28"/>
        <v>0.70599999999999996</v>
      </c>
      <c r="K83" s="2">
        <f t="shared" si="29"/>
        <v>0.99399999999999999</v>
      </c>
      <c r="L83" s="2">
        <f t="shared" si="30"/>
        <v>0.55600000000000005</v>
      </c>
      <c r="M83" s="4">
        <f t="shared" si="31"/>
        <v>0.98199999999999998</v>
      </c>
      <c r="N83" s="1">
        <f t="shared" si="32"/>
        <v>15.366666666666665</v>
      </c>
      <c r="O83" s="1">
        <f t="shared" si="33"/>
        <v>25.864864864864867</v>
      </c>
      <c r="P83" s="1">
        <f t="shared" si="34"/>
        <v>176.5</v>
      </c>
      <c r="Q83" s="1" t="e">
        <f t="shared" si="35"/>
        <v>#DIV/0!</v>
      </c>
      <c r="R83" s="1" t="e">
        <f t="shared" si="36"/>
        <v>#DIV/0!</v>
      </c>
      <c r="S83" s="1" t="e">
        <f t="shared" si="37"/>
        <v>#DIV/0!</v>
      </c>
    </row>
    <row r="84" spans="1:19">
      <c r="A84" t="s">
        <v>89</v>
      </c>
      <c r="B84" s="2">
        <v>0.97099999999999997</v>
      </c>
      <c r="C84" s="2">
        <v>0.99199999999999999</v>
      </c>
      <c r="D84" s="2">
        <v>0.63600000000000001</v>
      </c>
      <c r="E84" s="2">
        <v>0.99199999999999999</v>
      </c>
      <c r="F84" s="2">
        <v>0.55600000000000005</v>
      </c>
      <c r="G84" s="4">
        <v>0.97099999999999997</v>
      </c>
      <c r="H84" s="2">
        <f t="shared" si="26"/>
        <v>0.91100000000000003</v>
      </c>
      <c r="I84" s="2">
        <f t="shared" si="27"/>
        <v>0.95499999999999996</v>
      </c>
      <c r="J84" s="2">
        <f t="shared" si="28"/>
        <v>0.63200000000000001</v>
      </c>
      <c r="K84" s="2">
        <f t="shared" si="29"/>
        <v>0.99199999999999999</v>
      </c>
      <c r="L84" s="2">
        <f t="shared" si="30"/>
        <v>0.55600000000000005</v>
      </c>
      <c r="M84" s="4">
        <f t="shared" si="31"/>
        <v>0.97099999999999997</v>
      </c>
      <c r="N84" s="1">
        <f t="shared" si="32"/>
        <v>15.183333333333334</v>
      </c>
      <c r="O84" s="1">
        <f t="shared" si="33"/>
        <v>25.810810810810811</v>
      </c>
      <c r="P84" s="1">
        <f t="shared" si="34"/>
        <v>158</v>
      </c>
      <c r="Q84" s="1" t="e">
        <f t="shared" si="35"/>
        <v>#DIV/0!</v>
      </c>
      <c r="R84" s="1" t="e">
        <f t="shared" si="36"/>
        <v>#DIV/0!</v>
      </c>
      <c r="S84" s="1" t="e">
        <f t="shared" si="37"/>
        <v>#DIV/0!</v>
      </c>
    </row>
    <row r="85" spans="1:19">
      <c r="A85" t="s">
        <v>104</v>
      </c>
      <c r="B85" s="2">
        <v>0.95799999999999996</v>
      </c>
      <c r="C85" s="2">
        <v>0.98199999999999998</v>
      </c>
      <c r="D85" s="2">
        <v>0.68700000000000006</v>
      </c>
      <c r="E85" s="2">
        <v>0.95799999999999996</v>
      </c>
      <c r="F85" s="2">
        <v>0.55400000000000005</v>
      </c>
      <c r="G85" s="4">
        <v>0.94</v>
      </c>
      <c r="H85" s="2">
        <f t="shared" si="26"/>
        <v>0.89799999999999991</v>
      </c>
      <c r="I85" s="2">
        <f t="shared" si="27"/>
        <v>0.94499999999999995</v>
      </c>
      <c r="J85" s="2">
        <f t="shared" si="28"/>
        <v>0.68300000000000005</v>
      </c>
      <c r="K85" s="2">
        <f t="shared" si="29"/>
        <v>0.95799999999999996</v>
      </c>
      <c r="L85" s="2">
        <f t="shared" si="30"/>
        <v>0.55400000000000005</v>
      </c>
      <c r="M85" s="4">
        <f t="shared" si="31"/>
        <v>0.94</v>
      </c>
      <c r="N85" s="1">
        <f t="shared" si="32"/>
        <v>14.966666666666665</v>
      </c>
      <c r="O85" s="1">
        <f t="shared" si="33"/>
        <v>25.54054054054054</v>
      </c>
      <c r="P85" s="1">
        <f t="shared" si="34"/>
        <v>170.75</v>
      </c>
      <c r="Q85" s="1" t="e">
        <f t="shared" si="35"/>
        <v>#DIV/0!</v>
      </c>
      <c r="R85" s="1" t="e">
        <f t="shared" si="36"/>
        <v>#DIV/0!</v>
      </c>
      <c r="S85" s="1" t="e">
        <f t="shared" si="37"/>
        <v>#DIV/0!</v>
      </c>
    </row>
    <row r="86" spans="1:19">
      <c r="A86" t="s">
        <v>47</v>
      </c>
      <c r="B86" s="2">
        <v>0.98599999999999999</v>
      </c>
      <c r="C86" s="2">
        <v>0.99299999999999999</v>
      </c>
      <c r="D86" s="2">
        <v>0.64400000000000002</v>
      </c>
      <c r="E86" s="2">
        <v>0.99299999999999999</v>
      </c>
      <c r="F86" s="2">
        <v>0.54900000000000004</v>
      </c>
      <c r="G86" s="4">
        <v>0.98599999999999999</v>
      </c>
      <c r="H86" s="2">
        <f t="shared" si="26"/>
        <v>0.92599999999999993</v>
      </c>
      <c r="I86" s="2">
        <f t="shared" si="27"/>
        <v>0.95599999999999996</v>
      </c>
      <c r="J86" s="2">
        <f t="shared" si="28"/>
        <v>0.64</v>
      </c>
      <c r="K86" s="2">
        <f t="shared" si="29"/>
        <v>0.99299999999999999</v>
      </c>
      <c r="L86" s="2">
        <f t="shared" si="30"/>
        <v>0.54900000000000004</v>
      </c>
      <c r="M86" s="4">
        <f t="shared" si="31"/>
        <v>0.98599999999999999</v>
      </c>
      <c r="N86" s="1">
        <f t="shared" si="32"/>
        <v>15.433333333333334</v>
      </c>
      <c r="O86" s="1">
        <f t="shared" si="33"/>
        <v>25.837837837837839</v>
      </c>
      <c r="P86" s="1">
        <f t="shared" si="34"/>
        <v>160</v>
      </c>
      <c r="Q86" s="1" t="e">
        <f t="shared" si="35"/>
        <v>#DIV/0!</v>
      </c>
      <c r="R86" s="1" t="e">
        <f t="shared" si="36"/>
        <v>#DIV/0!</v>
      </c>
      <c r="S86" s="1" t="e">
        <f t="shared" si="37"/>
        <v>#DIV/0!</v>
      </c>
    </row>
    <row r="87" spans="1:19">
      <c r="A87" t="s">
        <v>93</v>
      </c>
      <c r="B87" s="2">
        <v>0.96399999999999997</v>
      </c>
      <c r="C87" s="2">
        <v>0.98199999999999998</v>
      </c>
      <c r="D87" s="2">
        <v>0.64500000000000002</v>
      </c>
      <c r="E87" s="2">
        <v>0.98299999999999998</v>
      </c>
      <c r="F87" s="2">
        <v>0.54800000000000004</v>
      </c>
      <c r="G87" s="4">
        <v>0.97099999999999997</v>
      </c>
      <c r="H87" s="2">
        <f t="shared" si="26"/>
        <v>0.90399999999999991</v>
      </c>
      <c r="I87" s="2">
        <f t="shared" si="27"/>
        <v>0.94499999999999995</v>
      </c>
      <c r="J87" s="2">
        <f t="shared" si="28"/>
        <v>0.64100000000000001</v>
      </c>
      <c r="K87" s="2">
        <f t="shared" si="29"/>
        <v>0.98299999999999998</v>
      </c>
      <c r="L87" s="2">
        <f t="shared" si="30"/>
        <v>0.54800000000000004</v>
      </c>
      <c r="M87" s="4">
        <f t="shared" si="31"/>
        <v>0.97099999999999997</v>
      </c>
      <c r="N87" s="1">
        <f t="shared" si="32"/>
        <v>15.066666666666666</v>
      </c>
      <c r="O87" s="1">
        <f t="shared" si="33"/>
        <v>25.54054054054054</v>
      </c>
      <c r="P87" s="1">
        <f t="shared" si="34"/>
        <v>160.25</v>
      </c>
      <c r="Q87" s="1" t="e">
        <f t="shared" si="35"/>
        <v>#DIV/0!</v>
      </c>
      <c r="R87" s="1" t="e">
        <f t="shared" si="36"/>
        <v>#DIV/0!</v>
      </c>
      <c r="S87" s="1" t="e">
        <f t="shared" si="37"/>
        <v>#DIV/0!</v>
      </c>
    </row>
    <row r="88" spans="1:19">
      <c r="A88" t="s">
        <v>212</v>
      </c>
      <c r="B88" s="2">
        <v>0.98647947288393312</v>
      </c>
      <c r="C88" s="2">
        <v>0.99299999999999999</v>
      </c>
      <c r="D88" s="2">
        <v>0.65900000000000003</v>
      </c>
      <c r="E88" s="2">
        <v>0.98599999999999999</v>
      </c>
      <c r="F88" s="2">
        <v>0.54700000000000004</v>
      </c>
      <c r="G88" s="4">
        <v>0.98647947288393312</v>
      </c>
      <c r="H88" s="2">
        <f t="shared" si="26"/>
        <v>0.92647947288393317</v>
      </c>
      <c r="I88" s="2">
        <f t="shared" si="27"/>
        <v>0.95599999999999996</v>
      </c>
      <c r="J88" s="2">
        <f t="shared" si="28"/>
        <v>0.65500000000000003</v>
      </c>
      <c r="K88" s="2">
        <f t="shared" si="29"/>
        <v>0.98599999999999999</v>
      </c>
      <c r="L88" s="2">
        <f t="shared" si="30"/>
        <v>0.54700000000000004</v>
      </c>
      <c r="M88" s="4">
        <f t="shared" si="31"/>
        <v>0.98647947288393312</v>
      </c>
      <c r="N88" s="1">
        <f t="shared" si="32"/>
        <v>15.441324548065554</v>
      </c>
      <c r="O88" s="1">
        <f t="shared" si="33"/>
        <v>25.837837837837839</v>
      </c>
      <c r="P88" s="1">
        <f t="shared" si="34"/>
        <v>163.75</v>
      </c>
      <c r="Q88" s="1" t="e">
        <f t="shared" si="35"/>
        <v>#DIV/0!</v>
      </c>
      <c r="R88" s="1" t="e">
        <f t="shared" si="36"/>
        <v>#DIV/0!</v>
      </c>
      <c r="S88" s="1" t="e">
        <f t="shared" si="37"/>
        <v>#DIV/0!</v>
      </c>
    </row>
    <row r="89" spans="1:19">
      <c r="A89" t="s">
        <v>88</v>
      </c>
      <c r="B89" s="2">
        <v>0.99099999999999999</v>
      </c>
      <c r="C89" s="2">
        <v>0.995</v>
      </c>
      <c r="D89" s="2">
        <v>0.68899999999999995</v>
      </c>
      <c r="E89" s="2">
        <v>0.995</v>
      </c>
      <c r="F89" s="2">
        <v>0.54300000000000004</v>
      </c>
      <c r="G89" s="4">
        <v>0.99099999999999999</v>
      </c>
      <c r="H89" s="2">
        <f t="shared" si="26"/>
        <v>0.93100000000000005</v>
      </c>
      <c r="I89" s="2">
        <f t="shared" si="27"/>
        <v>0.95799999999999996</v>
      </c>
      <c r="J89" s="2">
        <f t="shared" si="28"/>
        <v>0.68499999999999994</v>
      </c>
      <c r="K89" s="2">
        <f t="shared" si="29"/>
        <v>0.995</v>
      </c>
      <c r="L89" s="2">
        <f t="shared" si="30"/>
        <v>0.54300000000000004</v>
      </c>
      <c r="M89" s="4">
        <f t="shared" si="31"/>
        <v>0.99099999999999999</v>
      </c>
      <c r="N89" s="1">
        <f t="shared" si="32"/>
        <v>15.516666666666667</v>
      </c>
      <c r="O89" s="1">
        <f t="shared" si="33"/>
        <v>25.891891891891891</v>
      </c>
      <c r="P89" s="1">
        <f t="shared" si="34"/>
        <v>171.24999999999997</v>
      </c>
      <c r="Q89" s="1" t="e">
        <f t="shared" si="35"/>
        <v>#DIV/0!</v>
      </c>
      <c r="R89" s="1" t="e">
        <f t="shared" si="36"/>
        <v>#DIV/0!</v>
      </c>
      <c r="S89" s="1" t="e">
        <f t="shared" si="37"/>
        <v>#DIV/0!</v>
      </c>
    </row>
    <row r="90" spans="1:19">
      <c r="A90" t="s">
        <v>85</v>
      </c>
      <c r="B90" s="2">
        <v>0.96699999999999997</v>
      </c>
      <c r="C90" s="2">
        <v>0.98599999999999999</v>
      </c>
      <c r="D90" s="2">
        <v>0.65800000000000003</v>
      </c>
      <c r="E90" s="2">
        <v>0.96099999999999997</v>
      </c>
      <c r="F90" s="2">
        <v>0.54300000000000004</v>
      </c>
      <c r="G90" s="4">
        <v>0.94899999999999995</v>
      </c>
      <c r="H90" s="2">
        <f t="shared" si="26"/>
        <v>0.90700000000000003</v>
      </c>
      <c r="I90" s="2">
        <f t="shared" si="27"/>
        <v>0.94899999999999995</v>
      </c>
      <c r="J90" s="2">
        <f t="shared" si="28"/>
        <v>0.65400000000000003</v>
      </c>
      <c r="K90" s="2">
        <f t="shared" si="29"/>
        <v>0.96099999999999997</v>
      </c>
      <c r="L90" s="2">
        <f t="shared" si="30"/>
        <v>0.54300000000000004</v>
      </c>
      <c r="M90" s="4">
        <f t="shared" si="31"/>
        <v>0.94899999999999995</v>
      </c>
      <c r="N90" s="1">
        <f t="shared" si="32"/>
        <v>15.116666666666667</v>
      </c>
      <c r="O90" s="1">
        <f t="shared" si="33"/>
        <v>25.648648648648649</v>
      </c>
      <c r="P90" s="1">
        <f t="shared" si="34"/>
        <v>163.5</v>
      </c>
      <c r="Q90" s="1" t="e">
        <f t="shared" si="35"/>
        <v>#DIV/0!</v>
      </c>
      <c r="R90" s="1" t="e">
        <f t="shared" si="36"/>
        <v>#DIV/0!</v>
      </c>
      <c r="S90" s="1" t="e">
        <f t="shared" si="37"/>
        <v>#DIV/0!</v>
      </c>
    </row>
    <row r="91" spans="1:19">
      <c r="A91" t="s">
        <v>205</v>
      </c>
      <c r="B91" s="2">
        <v>0.96047891723060907</v>
      </c>
      <c r="C91" s="2">
        <v>0.96499999999999997</v>
      </c>
      <c r="D91" s="2">
        <v>0.66400000000000003</v>
      </c>
      <c r="E91" s="2">
        <v>0.98499999999999999</v>
      </c>
      <c r="F91" s="2">
        <v>0.53800000000000003</v>
      </c>
      <c r="G91" s="4">
        <v>0.97747928388746808</v>
      </c>
      <c r="H91" s="2">
        <f t="shared" si="26"/>
        <v>0.90047891723060913</v>
      </c>
      <c r="I91" s="2">
        <f t="shared" si="27"/>
        <v>0.92799999999999994</v>
      </c>
      <c r="J91" s="2">
        <f t="shared" si="28"/>
        <v>0.66</v>
      </c>
      <c r="K91" s="2">
        <f t="shared" si="29"/>
        <v>0.98499999999999999</v>
      </c>
      <c r="L91" s="2">
        <f t="shared" si="30"/>
        <v>0.53800000000000003</v>
      </c>
      <c r="M91" s="4">
        <f t="shared" si="31"/>
        <v>0.97747928388746808</v>
      </c>
      <c r="N91" s="1">
        <f t="shared" si="32"/>
        <v>15.007981953843487</v>
      </c>
      <c r="O91" s="1">
        <f t="shared" si="33"/>
        <v>25.081081081081081</v>
      </c>
      <c r="P91" s="1">
        <f t="shared" si="34"/>
        <v>165</v>
      </c>
      <c r="Q91" s="1" t="e">
        <f t="shared" si="35"/>
        <v>#DIV/0!</v>
      </c>
      <c r="R91" s="1" t="e">
        <f t="shared" si="36"/>
        <v>#DIV/0!</v>
      </c>
      <c r="S91" s="1" t="e">
        <f t="shared" si="37"/>
        <v>#DIV/0!</v>
      </c>
    </row>
    <row r="92" spans="1:19">
      <c r="A92" t="s">
        <v>77</v>
      </c>
      <c r="B92" s="2">
        <v>0.97299999999999998</v>
      </c>
      <c r="C92" s="2">
        <v>0.99099999999999999</v>
      </c>
      <c r="D92" s="2">
        <v>0.59899999999999998</v>
      </c>
      <c r="E92" s="2">
        <v>0.99099999999999999</v>
      </c>
      <c r="F92" s="2">
        <v>0.53800000000000003</v>
      </c>
      <c r="G92" s="4">
        <v>0.97299999999999998</v>
      </c>
      <c r="H92" s="2">
        <f t="shared" si="26"/>
        <v>0.91300000000000003</v>
      </c>
      <c r="I92" s="2">
        <f t="shared" si="27"/>
        <v>0.95399999999999996</v>
      </c>
      <c r="J92" s="2">
        <f t="shared" si="28"/>
        <v>0.59499999999999997</v>
      </c>
      <c r="K92" s="2">
        <f t="shared" si="29"/>
        <v>0.99099999999999999</v>
      </c>
      <c r="L92" s="2">
        <f t="shared" si="30"/>
        <v>0.53800000000000003</v>
      </c>
      <c r="M92" s="4">
        <f t="shared" si="31"/>
        <v>0.97299999999999998</v>
      </c>
      <c r="N92" s="1">
        <f t="shared" si="32"/>
        <v>15.216666666666669</v>
      </c>
      <c r="O92" s="1">
        <f t="shared" si="33"/>
        <v>25.783783783783782</v>
      </c>
      <c r="P92" s="1">
        <f t="shared" si="34"/>
        <v>148.75</v>
      </c>
      <c r="Q92" s="1" t="e">
        <f t="shared" si="35"/>
        <v>#DIV/0!</v>
      </c>
      <c r="R92" s="1" t="e">
        <f t="shared" si="36"/>
        <v>#DIV/0!</v>
      </c>
      <c r="S92" s="1" t="e">
        <f t="shared" si="37"/>
        <v>#DIV/0!</v>
      </c>
    </row>
    <row r="93" spans="1:19">
      <c r="A93" t="s">
        <v>105</v>
      </c>
      <c r="B93" s="2">
        <v>0.99099999999999999</v>
      </c>
      <c r="C93" s="2">
        <v>0.995</v>
      </c>
      <c r="D93" s="2">
        <v>0.60099999999999998</v>
      </c>
      <c r="E93" s="2">
        <v>0.995</v>
      </c>
      <c r="F93" s="2">
        <v>0.53600000000000003</v>
      </c>
      <c r="G93" s="4">
        <v>0.99099999999999999</v>
      </c>
      <c r="H93" s="2">
        <f t="shared" si="26"/>
        <v>0.93100000000000005</v>
      </c>
      <c r="I93" s="2">
        <f t="shared" si="27"/>
        <v>0.95799999999999996</v>
      </c>
      <c r="J93" s="2">
        <f t="shared" si="28"/>
        <v>0.59699999999999998</v>
      </c>
      <c r="K93" s="2">
        <f t="shared" si="29"/>
        <v>0.995</v>
      </c>
      <c r="L93" s="2">
        <f t="shared" si="30"/>
        <v>0.53600000000000003</v>
      </c>
      <c r="M93" s="4">
        <f t="shared" si="31"/>
        <v>0.99099999999999999</v>
      </c>
      <c r="N93" s="1">
        <f t="shared" si="32"/>
        <v>15.516666666666667</v>
      </c>
      <c r="O93" s="1">
        <f t="shared" si="33"/>
        <v>25.891891891891891</v>
      </c>
      <c r="P93" s="1">
        <f t="shared" si="34"/>
        <v>149.25</v>
      </c>
      <c r="Q93" s="1" t="e">
        <f t="shared" si="35"/>
        <v>#DIV/0!</v>
      </c>
      <c r="R93" s="1" t="e">
        <f t="shared" si="36"/>
        <v>#DIV/0!</v>
      </c>
      <c r="S93" s="1" t="e">
        <f t="shared" si="37"/>
        <v>#DIV/0!</v>
      </c>
    </row>
    <row r="94" spans="1:19">
      <c r="A94" t="s">
        <v>81</v>
      </c>
      <c r="B94" s="2">
        <v>0.97299999999999998</v>
      </c>
      <c r="C94" s="2">
        <v>0.99199999999999999</v>
      </c>
      <c r="D94" s="2">
        <v>0.628</v>
      </c>
      <c r="E94" s="2">
        <v>0.99199999999999999</v>
      </c>
      <c r="F94" s="2">
        <v>0.53600000000000003</v>
      </c>
      <c r="G94" s="4">
        <v>0.97299999999999998</v>
      </c>
      <c r="H94" s="2">
        <f t="shared" si="26"/>
        <v>0.91300000000000003</v>
      </c>
      <c r="I94" s="2">
        <f t="shared" si="27"/>
        <v>0.95499999999999996</v>
      </c>
      <c r="J94" s="2">
        <f t="shared" si="28"/>
        <v>0.624</v>
      </c>
      <c r="K94" s="2">
        <f t="shared" si="29"/>
        <v>0.99199999999999999</v>
      </c>
      <c r="L94" s="2">
        <f t="shared" si="30"/>
        <v>0.53600000000000003</v>
      </c>
      <c r="M94" s="4">
        <f t="shared" si="31"/>
        <v>0.97299999999999998</v>
      </c>
      <c r="N94" s="1">
        <f t="shared" si="32"/>
        <v>15.216666666666669</v>
      </c>
      <c r="O94" s="1">
        <f t="shared" si="33"/>
        <v>25.810810810810811</v>
      </c>
      <c r="P94" s="1">
        <f t="shared" si="34"/>
        <v>156</v>
      </c>
      <c r="Q94" s="1" t="e">
        <f t="shared" si="35"/>
        <v>#DIV/0!</v>
      </c>
      <c r="R94" s="1" t="e">
        <f t="shared" si="36"/>
        <v>#DIV/0!</v>
      </c>
      <c r="S94" s="1" t="e">
        <f t="shared" si="37"/>
        <v>#DIV/0!</v>
      </c>
    </row>
    <row r="95" spans="1:19">
      <c r="A95" t="s">
        <v>84</v>
      </c>
      <c r="B95" s="2">
        <v>0.99099999999999999</v>
      </c>
      <c r="C95" s="2">
        <v>0.995</v>
      </c>
      <c r="D95" s="2">
        <v>0.67900000000000005</v>
      </c>
      <c r="E95" s="2">
        <v>0.995</v>
      </c>
      <c r="F95" s="2">
        <v>0.53300000000000003</v>
      </c>
      <c r="G95" s="4">
        <v>0.99099999999999999</v>
      </c>
      <c r="H95" s="2">
        <f t="shared" si="26"/>
        <v>0.93100000000000005</v>
      </c>
      <c r="I95" s="2">
        <f t="shared" si="27"/>
        <v>0.95799999999999996</v>
      </c>
      <c r="J95" s="2">
        <f t="shared" si="28"/>
        <v>0.67500000000000004</v>
      </c>
      <c r="K95" s="2">
        <f t="shared" si="29"/>
        <v>0.995</v>
      </c>
      <c r="L95" s="2">
        <f t="shared" si="30"/>
        <v>0.53300000000000003</v>
      </c>
      <c r="M95" s="4">
        <f t="shared" si="31"/>
        <v>0.99099999999999999</v>
      </c>
      <c r="N95" s="1">
        <f t="shared" si="32"/>
        <v>15.516666666666667</v>
      </c>
      <c r="O95" s="1">
        <f t="shared" si="33"/>
        <v>25.891891891891891</v>
      </c>
      <c r="P95" s="1">
        <f t="shared" si="34"/>
        <v>168.75</v>
      </c>
      <c r="Q95" s="1" t="e">
        <f t="shared" si="35"/>
        <v>#DIV/0!</v>
      </c>
      <c r="R95" s="1" t="e">
        <f t="shared" si="36"/>
        <v>#DIV/0!</v>
      </c>
      <c r="S95" s="1" t="e">
        <f t="shared" si="37"/>
        <v>#DIV/0!</v>
      </c>
    </row>
    <row r="96" spans="1:19">
      <c r="A96" t="s">
        <v>51</v>
      </c>
      <c r="B96" s="2">
        <v>0.99</v>
      </c>
      <c r="C96" s="2">
        <v>0.98599999999999999</v>
      </c>
      <c r="D96" s="2">
        <v>0.63200000000000001</v>
      </c>
      <c r="E96" s="2">
        <v>0.97</v>
      </c>
      <c r="F96" s="2">
        <v>0.53100000000000003</v>
      </c>
      <c r="G96" s="4">
        <v>0.98099999999999998</v>
      </c>
      <c r="H96" s="2">
        <f t="shared" si="26"/>
        <v>0.92999999999999994</v>
      </c>
      <c r="I96" s="2">
        <f t="shared" si="27"/>
        <v>0.94899999999999995</v>
      </c>
      <c r="J96" s="2">
        <f t="shared" si="28"/>
        <v>0.628</v>
      </c>
      <c r="K96" s="2">
        <f t="shared" si="29"/>
        <v>0.97</v>
      </c>
      <c r="L96" s="2">
        <f t="shared" si="30"/>
        <v>0.53100000000000003</v>
      </c>
      <c r="M96" s="4">
        <f t="shared" si="31"/>
        <v>0.98099999999999998</v>
      </c>
      <c r="N96" s="1">
        <f t="shared" si="32"/>
        <v>15.5</v>
      </c>
      <c r="O96" s="1">
        <f t="shared" si="33"/>
        <v>25.648648648648649</v>
      </c>
      <c r="P96" s="1">
        <f t="shared" si="34"/>
        <v>157</v>
      </c>
      <c r="Q96" s="1" t="e">
        <f t="shared" si="35"/>
        <v>#DIV/0!</v>
      </c>
      <c r="R96" s="1" t="e">
        <f t="shared" si="36"/>
        <v>#DIV/0!</v>
      </c>
      <c r="S96" s="1" t="e">
        <f t="shared" si="37"/>
        <v>#DIV/0!</v>
      </c>
    </row>
    <row r="97" spans="1:19">
      <c r="A97" t="s">
        <v>97</v>
      </c>
      <c r="B97" s="2">
        <v>0.95299999999999996</v>
      </c>
      <c r="C97" s="2">
        <v>0.95499999999999996</v>
      </c>
      <c r="D97" s="2">
        <v>0.60899999999999999</v>
      </c>
      <c r="E97" s="2">
        <v>0.96799999999999997</v>
      </c>
      <c r="F97" s="2">
        <v>0.53100000000000003</v>
      </c>
      <c r="G97" s="4">
        <v>0.96799999999999997</v>
      </c>
      <c r="H97" s="2">
        <f t="shared" si="26"/>
        <v>0.89300000000000002</v>
      </c>
      <c r="I97" s="2">
        <f t="shared" si="27"/>
        <v>0.91799999999999993</v>
      </c>
      <c r="J97" s="2">
        <f t="shared" si="28"/>
        <v>0.60499999999999998</v>
      </c>
      <c r="K97" s="2">
        <f t="shared" si="29"/>
        <v>0.96799999999999997</v>
      </c>
      <c r="L97" s="2">
        <f t="shared" si="30"/>
        <v>0.53100000000000003</v>
      </c>
      <c r="M97" s="4">
        <f t="shared" si="31"/>
        <v>0.96799999999999997</v>
      </c>
      <c r="N97" s="1">
        <f t="shared" si="32"/>
        <v>14.883333333333335</v>
      </c>
      <c r="O97" s="1">
        <f t="shared" si="33"/>
        <v>24.810810810810811</v>
      </c>
      <c r="P97" s="1">
        <f t="shared" si="34"/>
        <v>151.25</v>
      </c>
      <c r="Q97" s="1" t="e">
        <f t="shared" si="35"/>
        <v>#DIV/0!</v>
      </c>
      <c r="R97" s="1" t="e">
        <f t="shared" si="36"/>
        <v>#DIV/0!</v>
      </c>
      <c r="S97" s="1" t="e">
        <f t="shared" si="37"/>
        <v>#DIV/0!</v>
      </c>
    </row>
    <row r="98" spans="1:19">
      <c r="A98" t="s">
        <v>210</v>
      </c>
      <c r="B98" s="2">
        <v>0.9888776541961577</v>
      </c>
      <c r="C98" s="2">
        <v>0.99099999999999999</v>
      </c>
      <c r="D98" s="2">
        <v>0.68899999999999995</v>
      </c>
      <c r="E98" s="2">
        <v>0.99099999999999999</v>
      </c>
      <c r="F98" s="2">
        <v>0.52600000000000002</v>
      </c>
      <c r="G98" s="4">
        <v>0.9888776541961577</v>
      </c>
      <c r="H98" s="2">
        <f t="shared" ref="H98:H129" si="38">B98-V$2</f>
        <v>0.92887765419615764</v>
      </c>
      <c r="I98" s="2">
        <f t="shared" ref="I98:I129" si="39">C98-W$2</f>
        <v>0.95399999999999996</v>
      </c>
      <c r="J98" s="2">
        <f t="shared" ref="J98:J129" si="40">D98-X$2</f>
        <v>0.68499999999999994</v>
      </c>
      <c r="K98" s="2">
        <f t="shared" ref="K98:K129" si="41">E98-Y$2</f>
        <v>0.99099999999999999</v>
      </c>
      <c r="L98" s="2">
        <f t="shared" ref="L98:L129" si="42">F98-Z$2</f>
        <v>0.52600000000000002</v>
      </c>
      <c r="M98" s="4">
        <f t="shared" ref="M98:M129" si="43">G98-AA$2</f>
        <v>0.9888776541961577</v>
      </c>
      <c r="N98" s="1">
        <f t="shared" ref="N98:N129" si="44">(B98-V$2)/V$2</f>
        <v>15.481294236602627</v>
      </c>
      <c r="O98" s="1">
        <f t="shared" ref="O98:O129" si="45">(C98-W$2)/W$2</f>
        <v>25.783783783783782</v>
      </c>
      <c r="P98" s="1">
        <f t="shared" ref="P98:P129" si="46">(D98-X$2)/X$2</f>
        <v>171.24999999999997</v>
      </c>
      <c r="Q98" s="1" t="e">
        <f t="shared" ref="Q98:Q129" si="47">(E98-Y$2)/Y$2</f>
        <v>#DIV/0!</v>
      </c>
      <c r="R98" s="1" t="e">
        <f t="shared" ref="R98:R129" si="48">(F98-Z$2)/Z$2</f>
        <v>#DIV/0!</v>
      </c>
      <c r="S98" s="1" t="e">
        <f t="shared" ref="S98:S129" si="49">(G98-AA$2)/AA$2</f>
        <v>#DIV/0!</v>
      </c>
    </row>
    <row r="99" spans="1:19">
      <c r="A99" t="s">
        <v>113</v>
      </c>
      <c r="B99" s="2">
        <v>0.98699999999999999</v>
      </c>
      <c r="C99" s="2">
        <v>0.99399999999999999</v>
      </c>
      <c r="D99" s="2">
        <v>0.69699999999999995</v>
      </c>
      <c r="E99" s="2">
        <v>0.97499999999999998</v>
      </c>
      <c r="F99" s="2">
        <v>0.52500000000000002</v>
      </c>
      <c r="G99" s="4">
        <v>0.96899999999999997</v>
      </c>
      <c r="H99" s="2">
        <f t="shared" si="38"/>
        <v>0.92700000000000005</v>
      </c>
      <c r="I99" s="2">
        <f t="shared" si="39"/>
        <v>0.95699999999999996</v>
      </c>
      <c r="J99" s="2">
        <f t="shared" si="40"/>
        <v>0.69299999999999995</v>
      </c>
      <c r="K99" s="2">
        <f t="shared" si="41"/>
        <v>0.97499999999999998</v>
      </c>
      <c r="L99" s="2">
        <f t="shared" si="42"/>
        <v>0.52500000000000002</v>
      </c>
      <c r="M99" s="4">
        <f t="shared" si="43"/>
        <v>0.96899999999999997</v>
      </c>
      <c r="N99" s="1">
        <f t="shared" si="44"/>
        <v>15.450000000000001</v>
      </c>
      <c r="O99" s="1">
        <f t="shared" si="45"/>
        <v>25.864864864864867</v>
      </c>
      <c r="P99" s="1">
        <f t="shared" si="46"/>
        <v>173.24999999999997</v>
      </c>
      <c r="Q99" s="1" t="e">
        <f t="shared" si="47"/>
        <v>#DIV/0!</v>
      </c>
      <c r="R99" s="1" t="e">
        <f t="shared" si="48"/>
        <v>#DIV/0!</v>
      </c>
      <c r="S99" s="1" t="e">
        <f t="shared" si="49"/>
        <v>#DIV/0!</v>
      </c>
    </row>
    <row r="100" spans="1:19">
      <c r="A100" t="s">
        <v>125</v>
      </c>
      <c r="B100" s="2">
        <v>0.98699999999999999</v>
      </c>
      <c r="C100" s="2">
        <v>0.99399999999999999</v>
      </c>
      <c r="D100" s="2">
        <v>0.69699999999999995</v>
      </c>
      <c r="E100" s="2">
        <v>0.97499999999999998</v>
      </c>
      <c r="F100" s="2">
        <v>0.52500000000000002</v>
      </c>
      <c r="G100" s="4">
        <v>0.96899999999999997</v>
      </c>
      <c r="H100" s="2">
        <f t="shared" si="38"/>
        <v>0.92700000000000005</v>
      </c>
      <c r="I100" s="2">
        <f t="shared" si="39"/>
        <v>0.95699999999999996</v>
      </c>
      <c r="J100" s="2">
        <f t="shared" si="40"/>
        <v>0.69299999999999995</v>
      </c>
      <c r="K100" s="2">
        <f t="shared" si="41"/>
        <v>0.97499999999999998</v>
      </c>
      <c r="L100" s="2">
        <f t="shared" si="42"/>
        <v>0.52500000000000002</v>
      </c>
      <c r="M100" s="4">
        <f t="shared" si="43"/>
        <v>0.96899999999999997</v>
      </c>
      <c r="N100" s="1">
        <f t="shared" si="44"/>
        <v>15.450000000000001</v>
      </c>
      <c r="O100" s="1">
        <f t="shared" si="45"/>
        <v>25.864864864864867</v>
      </c>
      <c r="P100" s="1">
        <f t="shared" si="46"/>
        <v>173.24999999999997</v>
      </c>
      <c r="Q100" s="1" t="e">
        <f t="shared" si="47"/>
        <v>#DIV/0!</v>
      </c>
      <c r="R100" s="1" t="e">
        <f t="shared" si="48"/>
        <v>#DIV/0!</v>
      </c>
      <c r="S100" s="1" t="e">
        <f t="shared" si="49"/>
        <v>#DIV/0!</v>
      </c>
    </row>
    <row r="101" spans="1:19">
      <c r="A101" t="s">
        <v>137</v>
      </c>
      <c r="B101" s="2">
        <v>0.98699999999999999</v>
      </c>
      <c r="C101" s="2">
        <v>0.99399999999999999</v>
      </c>
      <c r="D101" s="2">
        <v>0.69699999999999995</v>
      </c>
      <c r="E101" s="2">
        <v>0.97499999999999998</v>
      </c>
      <c r="F101" s="2">
        <v>0.52500000000000002</v>
      </c>
      <c r="G101" s="4">
        <v>0.96899999999999997</v>
      </c>
      <c r="H101" s="2">
        <f t="shared" si="38"/>
        <v>0.92700000000000005</v>
      </c>
      <c r="I101" s="2">
        <f t="shared" si="39"/>
        <v>0.95699999999999996</v>
      </c>
      <c r="J101" s="2">
        <f t="shared" si="40"/>
        <v>0.69299999999999995</v>
      </c>
      <c r="K101" s="2">
        <f t="shared" si="41"/>
        <v>0.97499999999999998</v>
      </c>
      <c r="L101" s="2">
        <f t="shared" si="42"/>
        <v>0.52500000000000002</v>
      </c>
      <c r="M101" s="4">
        <f t="shared" si="43"/>
        <v>0.96899999999999997</v>
      </c>
      <c r="N101" s="1">
        <f t="shared" si="44"/>
        <v>15.450000000000001</v>
      </c>
      <c r="O101" s="1">
        <f t="shared" si="45"/>
        <v>25.864864864864867</v>
      </c>
      <c r="P101" s="1">
        <f t="shared" si="46"/>
        <v>173.24999999999997</v>
      </c>
      <c r="Q101" s="1" t="e">
        <f t="shared" si="47"/>
        <v>#DIV/0!</v>
      </c>
      <c r="R101" s="1" t="e">
        <f t="shared" si="48"/>
        <v>#DIV/0!</v>
      </c>
      <c r="S101" s="1" t="e">
        <f t="shared" si="49"/>
        <v>#DIV/0!</v>
      </c>
    </row>
    <row r="102" spans="1:19">
      <c r="A102" t="s">
        <v>203</v>
      </c>
      <c r="B102" s="2">
        <v>0.99042705704189793</v>
      </c>
      <c r="C102" s="2">
        <v>0.995</v>
      </c>
      <c r="D102" s="2">
        <v>0.73099999999999998</v>
      </c>
      <c r="E102" s="2">
        <v>0.995</v>
      </c>
      <c r="F102" s="2">
        <v>0.51900000000000002</v>
      </c>
      <c r="G102" s="4">
        <v>0.99042705704189793</v>
      </c>
      <c r="H102" s="2">
        <f t="shared" si="38"/>
        <v>0.93042705704189799</v>
      </c>
      <c r="I102" s="2">
        <f t="shared" si="39"/>
        <v>0.95799999999999996</v>
      </c>
      <c r="J102" s="2">
        <f t="shared" si="40"/>
        <v>0.72699999999999998</v>
      </c>
      <c r="K102" s="2">
        <f t="shared" si="41"/>
        <v>0.995</v>
      </c>
      <c r="L102" s="2">
        <f t="shared" si="42"/>
        <v>0.51900000000000002</v>
      </c>
      <c r="M102" s="4">
        <f t="shared" si="43"/>
        <v>0.99042705704189793</v>
      </c>
      <c r="N102" s="1">
        <f t="shared" si="44"/>
        <v>15.507117617364967</v>
      </c>
      <c r="O102" s="1">
        <f t="shared" si="45"/>
        <v>25.891891891891891</v>
      </c>
      <c r="P102" s="1">
        <f t="shared" si="46"/>
        <v>181.75</v>
      </c>
      <c r="Q102" s="1" t="e">
        <f t="shared" si="47"/>
        <v>#DIV/0!</v>
      </c>
      <c r="R102" s="1" t="e">
        <f t="shared" si="48"/>
        <v>#DIV/0!</v>
      </c>
      <c r="S102" s="1" t="e">
        <f t="shared" si="49"/>
        <v>#DIV/0!</v>
      </c>
    </row>
    <row r="103" spans="1:19">
      <c r="A103" t="s">
        <v>96</v>
      </c>
      <c r="B103" s="2">
        <v>0.97699999999999998</v>
      </c>
      <c r="C103" s="2">
        <v>0.99399999999999999</v>
      </c>
      <c r="D103" s="2">
        <v>0.68700000000000006</v>
      </c>
      <c r="E103" s="2">
        <v>0.98499999999999999</v>
      </c>
      <c r="F103" s="2">
        <v>0.51700000000000002</v>
      </c>
      <c r="G103" s="4">
        <v>0.96799999999999997</v>
      </c>
      <c r="H103" s="2">
        <f t="shared" si="38"/>
        <v>0.91700000000000004</v>
      </c>
      <c r="I103" s="2">
        <f t="shared" si="39"/>
        <v>0.95699999999999996</v>
      </c>
      <c r="J103" s="2">
        <f t="shared" si="40"/>
        <v>0.68300000000000005</v>
      </c>
      <c r="K103" s="2">
        <f t="shared" si="41"/>
        <v>0.98499999999999999</v>
      </c>
      <c r="L103" s="2">
        <f t="shared" si="42"/>
        <v>0.51700000000000002</v>
      </c>
      <c r="M103" s="4">
        <f t="shared" si="43"/>
        <v>0.96799999999999997</v>
      </c>
      <c r="N103" s="1">
        <f t="shared" si="44"/>
        <v>15.283333333333335</v>
      </c>
      <c r="O103" s="1">
        <f t="shared" si="45"/>
        <v>25.864864864864867</v>
      </c>
      <c r="P103" s="1">
        <f t="shared" si="46"/>
        <v>170.75</v>
      </c>
      <c r="Q103" s="1" t="e">
        <f t="shared" si="47"/>
        <v>#DIV/0!</v>
      </c>
      <c r="R103" s="1" t="e">
        <f t="shared" si="48"/>
        <v>#DIV/0!</v>
      </c>
      <c r="S103" s="1" t="e">
        <f t="shared" si="49"/>
        <v>#DIV/0!</v>
      </c>
    </row>
    <row r="104" spans="1:19">
      <c r="A104" t="s">
        <v>100</v>
      </c>
      <c r="B104" s="2">
        <v>0.97699999999999998</v>
      </c>
      <c r="C104" s="2">
        <v>0.99399999999999999</v>
      </c>
      <c r="D104" s="2">
        <v>0.68700000000000006</v>
      </c>
      <c r="E104" s="2">
        <v>0.98499999999999999</v>
      </c>
      <c r="F104" s="2">
        <v>0.51700000000000002</v>
      </c>
      <c r="G104" s="4">
        <v>0.96799999999999997</v>
      </c>
      <c r="H104" s="2">
        <f t="shared" si="38"/>
        <v>0.91700000000000004</v>
      </c>
      <c r="I104" s="2">
        <f t="shared" si="39"/>
        <v>0.95699999999999996</v>
      </c>
      <c r="J104" s="2">
        <f t="shared" si="40"/>
        <v>0.68300000000000005</v>
      </c>
      <c r="K104" s="2">
        <f t="shared" si="41"/>
        <v>0.98499999999999999</v>
      </c>
      <c r="L104" s="2">
        <f t="shared" si="42"/>
        <v>0.51700000000000002</v>
      </c>
      <c r="M104" s="4">
        <f t="shared" si="43"/>
        <v>0.96799999999999997</v>
      </c>
      <c r="N104" s="1">
        <f t="shared" si="44"/>
        <v>15.283333333333335</v>
      </c>
      <c r="O104" s="1">
        <f t="shared" si="45"/>
        <v>25.864864864864867</v>
      </c>
      <c r="P104" s="1">
        <f t="shared" si="46"/>
        <v>170.75</v>
      </c>
      <c r="Q104" s="1" t="e">
        <f t="shared" si="47"/>
        <v>#DIV/0!</v>
      </c>
      <c r="R104" s="1" t="e">
        <f t="shared" si="48"/>
        <v>#DIV/0!</v>
      </c>
      <c r="S104" s="1" t="e">
        <f t="shared" si="49"/>
        <v>#DIV/0!</v>
      </c>
    </row>
    <row r="105" spans="1:19">
      <c r="A105" t="s">
        <v>200</v>
      </c>
      <c r="B105" s="2">
        <v>0.96287701089776845</v>
      </c>
      <c r="C105" s="2">
        <v>0.98499999999999999</v>
      </c>
      <c r="D105" s="2">
        <v>0.68700000000000006</v>
      </c>
      <c r="E105" s="2">
        <v>0.97499999999999998</v>
      </c>
      <c r="F105" s="2">
        <v>0.51200000000000001</v>
      </c>
      <c r="G105" s="4">
        <v>0.95387113672079626</v>
      </c>
      <c r="H105" s="2">
        <f t="shared" si="38"/>
        <v>0.9028770108977684</v>
      </c>
      <c r="I105" s="2">
        <f t="shared" si="39"/>
        <v>0.94799999999999995</v>
      </c>
      <c r="J105" s="2">
        <f t="shared" si="40"/>
        <v>0.68300000000000005</v>
      </c>
      <c r="K105" s="2">
        <f t="shared" si="41"/>
        <v>0.97499999999999998</v>
      </c>
      <c r="L105" s="2">
        <f t="shared" si="42"/>
        <v>0.51200000000000001</v>
      </c>
      <c r="M105" s="4">
        <f t="shared" si="43"/>
        <v>0.95387113672079626</v>
      </c>
      <c r="N105" s="1">
        <f t="shared" si="44"/>
        <v>15.047950181629474</v>
      </c>
      <c r="O105" s="1">
        <f t="shared" si="45"/>
        <v>25.621621621621621</v>
      </c>
      <c r="P105" s="1">
        <f t="shared" si="46"/>
        <v>170.75</v>
      </c>
      <c r="Q105" s="1" t="e">
        <f t="shared" si="47"/>
        <v>#DIV/0!</v>
      </c>
      <c r="R105" s="1" t="e">
        <f t="shared" si="48"/>
        <v>#DIV/0!</v>
      </c>
      <c r="S105" s="1" t="e">
        <f t="shared" si="49"/>
        <v>#DIV/0!</v>
      </c>
    </row>
    <row r="106" spans="1:19">
      <c r="A106" t="s">
        <v>133</v>
      </c>
      <c r="B106" s="2">
        <v>0.96899999999999997</v>
      </c>
      <c r="C106" s="2">
        <v>0.98799999999999999</v>
      </c>
      <c r="D106" s="2">
        <v>0.67200000000000004</v>
      </c>
      <c r="E106" s="2">
        <v>0.98799999999999999</v>
      </c>
      <c r="F106" s="2">
        <v>0.505</v>
      </c>
      <c r="G106" s="4">
        <v>0.96899999999999997</v>
      </c>
      <c r="H106" s="2">
        <f t="shared" si="38"/>
        <v>0.90900000000000003</v>
      </c>
      <c r="I106" s="2">
        <f t="shared" si="39"/>
        <v>0.95099999999999996</v>
      </c>
      <c r="J106" s="2">
        <f t="shared" si="40"/>
        <v>0.66800000000000004</v>
      </c>
      <c r="K106" s="2">
        <f t="shared" si="41"/>
        <v>0.98799999999999999</v>
      </c>
      <c r="L106" s="2">
        <f t="shared" si="42"/>
        <v>0.505</v>
      </c>
      <c r="M106" s="4">
        <f t="shared" si="43"/>
        <v>0.96899999999999997</v>
      </c>
      <c r="N106" s="1">
        <f t="shared" si="44"/>
        <v>15.15</v>
      </c>
      <c r="O106" s="1">
        <f t="shared" si="45"/>
        <v>25.702702702702702</v>
      </c>
      <c r="P106" s="1">
        <f t="shared" si="46"/>
        <v>167</v>
      </c>
      <c r="Q106" s="1" t="e">
        <f t="shared" si="47"/>
        <v>#DIV/0!</v>
      </c>
      <c r="R106" s="1" t="e">
        <f t="shared" si="48"/>
        <v>#DIV/0!</v>
      </c>
      <c r="S106" s="1" t="e">
        <f t="shared" si="49"/>
        <v>#DIV/0!</v>
      </c>
    </row>
    <row r="107" spans="1:19">
      <c r="A107" t="s">
        <v>109</v>
      </c>
      <c r="B107" s="2">
        <v>0.94399999999999995</v>
      </c>
      <c r="C107" s="2">
        <v>0.97199999999999998</v>
      </c>
      <c r="D107" s="2">
        <v>0.621</v>
      </c>
      <c r="E107" s="2">
        <v>0.97699999999999998</v>
      </c>
      <c r="F107" s="2">
        <v>0.503</v>
      </c>
      <c r="G107" s="4">
        <v>0.95299999999999996</v>
      </c>
      <c r="H107" s="2">
        <f t="shared" si="38"/>
        <v>0.8839999999999999</v>
      </c>
      <c r="I107" s="2">
        <f t="shared" si="39"/>
        <v>0.93499999999999994</v>
      </c>
      <c r="J107" s="2">
        <f t="shared" si="40"/>
        <v>0.61699999999999999</v>
      </c>
      <c r="K107" s="2">
        <f t="shared" si="41"/>
        <v>0.97699999999999998</v>
      </c>
      <c r="L107" s="2">
        <f t="shared" si="42"/>
        <v>0.503</v>
      </c>
      <c r="M107" s="4">
        <f t="shared" si="43"/>
        <v>0.95299999999999996</v>
      </c>
      <c r="N107" s="1">
        <f t="shared" si="44"/>
        <v>14.733333333333333</v>
      </c>
      <c r="O107" s="1">
        <f t="shared" si="45"/>
        <v>25.27027027027027</v>
      </c>
      <c r="P107" s="1">
        <f t="shared" si="46"/>
        <v>154.25</v>
      </c>
      <c r="Q107" s="1" t="e">
        <f t="shared" si="47"/>
        <v>#DIV/0!</v>
      </c>
      <c r="R107" s="1" t="e">
        <f t="shared" si="48"/>
        <v>#DIV/0!</v>
      </c>
      <c r="S107" s="1" t="e">
        <f t="shared" si="49"/>
        <v>#DIV/0!</v>
      </c>
    </row>
    <row r="108" spans="1:19">
      <c r="A108" t="s">
        <v>127</v>
      </c>
      <c r="B108" s="2">
        <v>0.97199999999999998</v>
      </c>
      <c r="C108" s="2">
        <v>0.99</v>
      </c>
      <c r="D108" s="2">
        <v>0.66900000000000004</v>
      </c>
      <c r="E108" s="2">
        <v>0.97399999999999998</v>
      </c>
      <c r="F108" s="2">
        <v>0.502</v>
      </c>
      <c r="G108" s="4">
        <v>0.97199999999999998</v>
      </c>
      <c r="H108" s="2">
        <f t="shared" si="38"/>
        <v>0.91199999999999992</v>
      </c>
      <c r="I108" s="2">
        <f t="shared" si="39"/>
        <v>0.95299999999999996</v>
      </c>
      <c r="J108" s="2">
        <f t="shared" si="40"/>
        <v>0.66500000000000004</v>
      </c>
      <c r="K108" s="2">
        <f t="shared" si="41"/>
        <v>0.97399999999999998</v>
      </c>
      <c r="L108" s="2">
        <f t="shared" si="42"/>
        <v>0.502</v>
      </c>
      <c r="M108" s="4">
        <f t="shared" si="43"/>
        <v>0.97199999999999998</v>
      </c>
      <c r="N108" s="1">
        <f t="shared" si="44"/>
        <v>15.2</v>
      </c>
      <c r="O108" s="1">
        <f t="shared" si="45"/>
        <v>25.756756756756758</v>
      </c>
      <c r="P108" s="1">
        <f t="shared" si="46"/>
        <v>166.25</v>
      </c>
      <c r="Q108" s="1" t="e">
        <f t="shared" si="47"/>
        <v>#DIV/0!</v>
      </c>
      <c r="R108" s="1" t="e">
        <f t="shared" si="48"/>
        <v>#DIV/0!</v>
      </c>
      <c r="S108" s="1" t="e">
        <f t="shared" si="49"/>
        <v>#DIV/0!</v>
      </c>
    </row>
    <row r="109" spans="1:19">
      <c r="A109" t="s">
        <v>45</v>
      </c>
      <c r="B109" s="2">
        <v>0.95699999999999996</v>
      </c>
      <c r="C109" s="2">
        <v>0.98199999999999998</v>
      </c>
      <c r="D109" s="2">
        <v>0.69099999999999995</v>
      </c>
      <c r="E109" s="2">
        <v>0.96299999999999997</v>
      </c>
      <c r="F109" s="2">
        <v>0.502</v>
      </c>
      <c r="G109" s="4">
        <v>0.95</v>
      </c>
      <c r="H109" s="2">
        <f t="shared" si="38"/>
        <v>0.89700000000000002</v>
      </c>
      <c r="I109" s="2">
        <f t="shared" si="39"/>
        <v>0.94499999999999995</v>
      </c>
      <c r="J109" s="2">
        <f t="shared" si="40"/>
        <v>0.68699999999999994</v>
      </c>
      <c r="K109" s="2">
        <f t="shared" si="41"/>
        <v>0.96299999999999997</v>
      </c>
      <c r="L109" s="2">
        <f t="shared" si="42"/>
        <v>0.502</v>
      </c>
      <c r="M109" s="4">
        <f t="shared" si="43"/>
        <v>0.95</v>
      </c>
      <c r="N109" s="1">
        <f t="shared" si="44"/>
        <v>14.950000000000001</v>
      </c>
      <c r="O109" s="1">
        <f t="shared" si="45"/>
        <v>25.54054054054054</v>
      </c>
      <c r="P109" s="1">
        <f t="shared" si="46"/>
        <v>171.74999999999997</v>
      </c>
      <c r="Q109" s="1" t="e">
        <f t="shared" si="47"/>
        <v>#DIV/0!</v>
      </c>
      <c r="R109" s="1" t="e">
        <f t="shared" si="48"/>
        <v>#DIV/0!</v>
      </c>
      <c r="S109" s="1" t="e">
        <f t="shared" si="49"/>
        <v>#DIV/0!</v>
      </c>
    </row>
    <row r="110" spans="1:19">
      <c r="A110" t="s">
        <v>119</v>
      </c>
      <c r="B110" s="2">
        <v>0.98599999999999999</v>
      </c>
      <c r="C110" s="2">
        <v>0.99399999999999999</v>
      </c>
      <c r="D110" s="2">
        <v>0.64800000000000002</v>
      </c>
      <c r="E110" s="2">
        <v>0.98399999999999999</v>
      </c>
      <c r="F110" s="2">
        <v>0.501</v>
      </c>
      <c r="G110" s="4">
        <v>0.97699999999999998</v>
      </c>
      <c r="H110" s="2">
        <f t="shared" si="38"/>
        <v>0.92599999999999993</v>
      </c>
      <c r="I110" s="2">
        <f t="shared" si="39"/>
        <v>0.95699999999999996</v>
      </c>
      <c r="J110" s="2">
        <f t="shared" si="40"/>
        <v>0.64400000000000002</v>
      </c>
      <c r="K110" s="2">
        <f t="shared" si="41"/>
        <v>0.98399999999999999</v>
      </c>
      <c r="L110" s="2">
        <f t="shared" si="42"/>
        <v>0.501</v>
      </c>
      <c r="M110" s="4">
        <f t="shared" si="43"/>
        <v>0.97699999999999998</v>
      </c>
      <c r="N110" s="1">
        <f t="shared" si="44"/>
        <v>15.433333333333334</v>
      </c>
      <c r="O110" s="1">
        <f t="shared" si="45"/>
        <v>25.864864864864867</v>
      </c>
      <c r="P110" s="1">
        <f t="shared" si="46"/>
        <v>161</v>
      </c>
      <c r="Q110" s="1" t="e">
        <f t="shared" si="47"/>
        <v>#DIV/0!</v>
      </c>
      <c r="R110" s="1" t="e">
        <f t="shared" si="48"/>
        <v>#DIV/0!</v>
      </c>
      <c r="S110" s="1" t="e">
        <f t="shared" si="49"/>
        <v>#DIV/0!</v>
      </c>
    </row>
    <row r="111" spans="1:19">
      <c r="A111" t="s">
        <v>131</v>
      </c>
      <c r="B111" s="2">
        <v>0.98599999999999999</v>
      </c>
      <c r="C111" s="2">
        <v>0.99399999999999999</v>
      </c>
      <c r="D111" s="2">
        <v>0.64800000000000002</v>
      </c>
      <c r="E111" s="2">
        <v>0.98399999999999999</v>
      </c>
      <c r="F111" s="2">
        <v>0.501</v>
      </c>
      <c r="G111" s="4">
        <v>0.97699999999999998</v>
      </c>
      <c r="H111" s="2">
        <f t="shared" si="38"/>
        <v>0.92599999999999993</v>
      </c>
      <c r="I111" s="2">
        <f t="shared" si="39"/>
        <v>0.95699999999999996</v>
      </c>
      <c r="J111" s="2">
        <f t="shared" si="40"/>
        <v>0.64400000000000002</v>
      </c>
      <c r="K111" s="2">
        <f t="shared" si="41"/>
        <v>0.98399999999999999</v>
      </c>
      <c r="L111" s="2">
        <f t="shared" si="42"/>
        <v>0.501</v>
      </c>
      <c r="M111" s="4">
        <f t="shared" si="43"/>
        <v>0.97699999999999998</v>
      </c>
      <c r="N111" s="1">
        <f t="shared" si="44"/>
        <v>15.433333333333334</v>
      </c>
      <c r="O111" s="1">
        <f t="shared" si="45"/>
        <v>25.864864864864867</v>
      </c>
      <c r="P111" s="1">
        <f t="shared" si="46"/>
        <v>161</v>
      </c>
      <c r="Q111" s="1" t="e">
        <f t="shared" si="47"/>
        <v>#DIV/0!</v>
      </c>
      <c r="R111" s="1" t="e">
        <f t="shared" si="48"/>
        <v>#DIV/0!</v>
      </c>
      <c r="S111" s="1" t="e">
        <f t="shared" si="49"/>
        <v>#DIV/0!</v>
      </c>
    </row>
    <row r="112" spans="1:19">
      <c r="A112" t="s">
        <v>143</v>
      </c>
      <c r="B112" s="2">
        <v>0.98599999999999999</v>
      </c>
      <c r="C112" s="2">
        <v>0.99399999999999999</v>
      </c>
      <c r="D112" s="2">
        <v>0.64800000000000002</v>
      </c>
      <c r="E112" s="2">
        <v>0.98399999999999999</v>
      </c>
      <c r="F112" s="2">
        <v>0.501</v>
      </c>
      <c r="G112" s="4">
        <v>0.97699999999999998</v>
      </c>
      <c r="H112" s="2">
        <f t="shared" si="38"/>
        <v>0.92599999999999993</v>
      </c>
      <c r="I112" s="2">
        <f t="shared" si="39"/>
        <v>0.95699999999999996</v>
      </c>
      <c r="J112" s="2">
        <f t="shared" si="40"/>
        <v>0.64400000000000002</v>
      </c>
      <c r="K112" s="2">
        <f t="shared" si="41"/>
        <v>0.98399999999999999</v>
      </c>
      <c r="L112" s="2">
        <f t="shared" si="42"/>
        <v>0.501</v>
      </c>
      <c r="M112" s="4">
        <f t="shared" si="43"/>
        <v>0.97699999999999998</v>
      </c>
      <c r="N112" s="1">
        <f t="shared" si="44"/>
        <v>15.433333333333334</v>
      </c>
      <c r="O112" s="1">
        <f t="shared" si="45"/>
        <v>25.864864864864867</v>
      </c>
      <c r="P112" s="1">
        <f t="shared" si="46"/>
        <v>161</v>
      </c>
      <c r="Q112" s="1" t="e">
        <f t="shared" si="47"/>
        <v>#DIV/0!</v>
      </c>
      <c r="R112" s="1" t="e">
        <f t="shared" si="48"/>
        <v>#DIV/0!</v>
      </c>
      <c r="S112" s="1" t="e">
        <f t="shared" si="49"/>
        <v>#DIV/0!</v>
      </c>
    </row>
    <row r="113" spans="1:19">
      <c r="A113" t="s">
        <v>56</v>
      </c>
      <c r="B113" s="2">
        <v>0.99399999999999999</v>
      </c>
      <c r="C113" s="2">
        <v>0.995</v>
      </c>
      <c r="D113" s="2">
        <v>0.629</v>
      </c>
      <c r="E113" s="2">
        <v>0.995</v>
      </c>
      <c r="F113" s="2">
        <v>0.49970665437741801</v>
      </c>
      <c r="G113" s="4">
        <v>0.99399999999999999</v>
      </c>
      <c r="H113" s="2">
        <f t="shared" si="38"/>
        <v>0.93399999999999994</v>
      </c>
      <c r="I113" s="2">
        <f t="shared" si="39"/>
        <v>0.95799999999999996</v>
      </c>
      <c r="J113" s="2">
        <f t="shared" si="40"/>
        <v>0.625</v>
      </c>
      <c r="K113" s="2">
        <f t="shared" si="41"/>
        <v>0.995</v>
      </c>
      <c r="L113" s="2">
        <f t="shared" si="42"/>
        <v>0.49970665437741801</v>
      </c>
      <c r="M113" s="4">
        <f t="shared" si="43"/>
        <v>0.99399999999999999</v>
      </c>
      <c r="N113" s="1">
        <f t="shared" si="44"/>
        <v>15.566666666666666</v>
      </c>
      <c r="O113" s="1">
        <f t="shared" si="45"/>
        <v>25.891891891891891</v>
      </c>
      <c r="P113" s="1">
        <f t="shared" si="46"/>
        <v>156.25</v>
      </c>
      <c r="Q113" s="1" t="e">
        <f t="shared" si="47"/>
        <v>#DIV/0!</v>
      </c>
      <c r="R113" s="1" t="e">
        <f t="shared" si="48"/>
        <v>#DIV/0!</v>
      </c>
      <c r="S113" s="1" t="e">
        <f t="shared" si="49"/>
        <v>#DIV/0!</v>
      </c>
    </row>
    <row r="114" spans="1:19">
      <c r="A114" t="s">
        <v>53</v>
      </c>
      <c r="B114" s="2">
        <v>0.95299999999999996</v>
      </c>
      <c r="C114" s="2">
        <v>0.98299999999999998</v>
      </c>
      <c r="D114" s="2">
        <v>0.66200000000000003</v>
      </c>
      <c r="E114" s="2">
        <v>0.96299999999999997</v>
      </c>
      <c r="F114" s="2">
        <v>0.499</v>
      </c>
      <c r="G114" s="4">
        <v>0.94599999999999995</v>
      </c>
      <c r="H114" s="2">
        <f t="shared" si="38"/>
        <v>0.89300000000000002</v>
      </c>
      <c r="I114" s="2">
        <f t="shared" si="39"/>
        <v>0.94599999999999995</v>
      </c>
      <c r="J114" s="2">
        <f t="shared" si="40"/>
        <v>0.65800000000000003</v>
      </c>
      <c r="K114" s="2">
        <f t="shared" si="41"/>
        <v>0.96299999999999997</v>
      </c>
      <c r="L114" s="2">
        <f t="shared" si="42"/>
        <v>0.499</v>
      </c>
      <c r="M114" s="4">
        <f t="shared" si="43"/>
        <v>0.94599999999999995</v>
      </c>
      <c r="N114" s="1">
        <f t="shared" si="44"/>
        <v>14.883333333333335</v>
      </c>
      <c r="O114" s="1">
        <f t="shared" si="45"/>
        <v>25.567567567567568</v>
      </c>
      <c r="P114" s="1">
        <f t="shared" si="46"/>
        <v>164.5</v>
      </c>
      <c r="Q114" s="1" t="e">
        <f t="shared" si="47"/>
        <v>#DIV/0!</v>
      </c>
      <c r="R114" s="1" t="e">
        <f t="shared" si="48"/>
        <v>#DIV/0!</v>
      </c>
      <c r="S114" s="1" t="e">
        <f t="shared" si="49"/>
        <v>#DIV/0!</v>
      </c>
    </row>
    <row r="115" spans="1:19">
      <c r="A115" t="s">
        <v>192</v>
      </c>
      <c r="B115" s="2">
        <v>0.98193482688391032</v>
      </c>
      <c r="C115" s="2">
        <v>0.98399999999999999</v>
      </c>
      <c r="D115" s="2">
        <v>0.621</v>
      </c>
      <c r="E115" s="2">
        <v>0.995</v>
      </c>
      <c r="F115" s="2">
        <v>0.497</v>
      </c>
      <c r="G115" s="4">
        <v>0.99042705704189793</v>
      </c>
      <c r="H115" s="2">
        <f t="shared" si="38"/>
        <v>0.92193482688391026</v>
      </c>
      <c r="I115" s="2">
        <f t="shared" si="39"/>
        <v>0.94699999999999995</v>
      </c>
      <c r="J115" s="2">
        <f t="shared" si="40"/>
        <v>0.61699999999999999</v>
      </c>
      <c r="K115" s="2">
        <f t="shared" si="41"/>
        <v>0.995</v>
      </c>
      <c r="L115" s="2">
        <f t="shared" si="42"/>
        <v>0.497</v>
      </c>
      <c r="M115" s="4">
        <f t="shared" si="43"/>
        <v>0.99042705704189793</v>
      </c>
      <c r="N115" s="1">
        <f t="shared" si="44"/>
        <v>15.365580448065172</v>
      </c>
      <c r="O115" s="1">
        <f t="shared" si="45"/>
        <v>25.594594594594593</v>
      </c>
      <c r="P115" s="1">
        <f t="shared" si="46"/>
        <v>154.25</v>
      </c>
      <c r="Q115" s="1" t="e">
        <f t="shared" si="47"/>
        <v>#DIV/0!</v>
      </c>
      <c r="R115" s="1" t="e">
        <f t="shared" si="48"/>
        <v>#DIV/0!</v>
      </c>
      <c r="S115" s="1" t="e">
        <f t="shared" si="49"/>
        <v>#DIV/0!</v>
      </c>
    </row>
    <row r="116" spans="1:19">
      <c r="A116" t="s">
        <v>179</v>
      </c>
      <c r="B116" s="2">
        <v>0.96273416407061274</v>
      </c>
      <c r="C116" s="2">
        <v>0.98599999999999999</v>
      </c>
      <c r="D116" s="2">
        <v>0.68899999999999995</v>
      </c>
      <c r="E116" s="2">
        <v>0.96699999999999997</v>
      </c>
      <c r="F116" s="2">
        <v>0.49299999999999999</v>
      </c>
      <c r="G116" s="4">
        <v>0.95429214659685868</v>
      </c>
      <c r="H116" s="2">
        <f t="shared" si="38"/>
        <v>0.9027341640706128</v>
      </c>
      <c r="I116" s="2">
        <f t="shared" si="39"/>
        <v>0.94899999999999995</v>
      </c>
      <c r="J116" s="2">
        <f t="shared" si="40"/>
        <v>0.68499999999999994</v>
      </c>
      <c r="K116" s="2">
        <f t="shared" si="41"/>
        <v>0.96699999999999997</v>
      </c>
      <c r="L116" s="2">
        <f t="shared" si="42"/>
        <v>0.49299999999999999</v>
      </c>
      <c r="M116" s="4">
        <f t="shared" si="43"/>
        <v>0.95429214659685868</v>
      </c>
      <c r="N116" s="1">
        <f t="shared" si="44"/>
        <v>15.045569401176881</v>
      </c>
      <c r="O116" s="1">
        <f t="shared" si="45"/>
        <v>25.648648648648649</v>
      </c>
      <c r="P116" s="1">
        <f t="shared" si="46"/>
        <v>171.24999999999997</v>
      </c>
      <c r="Q116" s="1" t="e">
        <f t="shared" si="47"/>
        <v>#DIV/0!</v>
      </c>
      <c r="R116" s="1" t="e">
        <f t="shared" si="48"/>
        <v>#DIV/0!</v>
      </c>
      <c r="S116" s="1" t="e">
        <f t="shared" si="49"/>
        <v>#DIV/0!</v>
      </c>
    </row>
    <row r="117" spans="1:19">
      <c r="A117" t="s">
        <v>9</v>
      </c>
      <c r="B117" s="2">
        <v>0.95199999999999996</v>
      </c>
      <c r="C117" s="2">
        <v>0.98199999999999998</v>
      </c>
      <c r="D117" s="2">
        <v>0.65700000000000003</v>
      </c>
      <c r="E117" s="2">
        <v>0.96199999999999997</v>
      </c>
      <c r="F117" s="2">
        <v>0.49299999999999999</v>
      </c>
      <c r="G117" s="4">
        <v>0.94299999999999995</v>
      </c>
      <c r="H117" s="2">
        <f t="shared" si="38"/>
        <v>0.8919999999999999</v>
      </c>
      <c r="I117" s="2">
        <f t="shared" si="39"/>
        <v>0.94499999999999995</v>
      </c>
      <c r="J117" s="2">
        <f t="shared" si="40"/>
        <v>0.65300000000000002</v>
      </c>
      <c r="K117" s="2">
        <f t="shared" si="41"/>
        <v>0.96199999999999997</v>
      </c>
      <c r="L117" s="2">
        <f t="shared" si="42"/>
        <v>0.49299999999999999</v>
      </c>
      <c r="M117" s="4">
        <f t="shared" si="43"/>
        <v>0.94299999999999995</v>
      </c>
      <c r="N117" s="1">
        <f t="shared" si="44"/>
        <v>14.866666666666665</v>
      </c>
      <c r="O117" s="1">
        <f t="shared" si="45"/>
        <v>25.54054054054054</v>
      </c>
      <c r="P117" s="1">
        <f t="shared" si="46"/>
        <v>163.25</v>
      </c>
      <c r="Q117" s="1" t="e">
        <f t="shared" si="47"/>
        <v>#DIV/0!</v>
      </c>
      <c r="R117" s="1" t="e">
        <f t="shared" si="48"/>
        <v>#DIV/0!</v>
      </c>
      <c r="S117" s="1" t="e">
        <f t="shared" si="49"/>
        <v>#DIV/0!</v>
      </c>
    </row>
    <row r="118" spans="1:19">
      <c r="A118" t="s">
        <v>72</v>
      </c>
      <c r="B118" s="2">
        <v>0.98499999999999999</v>
      </c>
      <c r="C118" s="2">
        <v>0.98299999999999998</v>
      </c>
      <c r="D118" s="2">
        <v>0.61699999999999999</v>
      </c>
      <c r="E118" s="2">
        <v>0.995</v>
      </c>
      <c r="F118" s="2">
        <v>0.49202024462317701</v>
      </c>
      <c r="G118" s="4">
        <v>0.99399999999999999</v>
      </c>
      <c r="H118" s="2">
        <f t="shared" si="38"/>
        <v>0.92500000000000004</v>
      </c>
      <c r="I118" s="2">
        <f t="shared" si="39"/>
        <v>0.94599999999999995</v>
      </c>
      <c r="J118" s="2">
        <f t="shared" si="40"/>
        <v>0.61299999999999999</v>
      </c>
      <c r="K118" s="2">
        <f t="shared" si="41"/>
        <v>0.995</v>
      </c>
      <c r="L118" s="2">
        <f t="shared" si="42"/>
        <v>0.49202024462317701</v>
      </c>
      <c r="M118" s="4">
        <f t="shared" si="43"/>
        <v>0.99399999999999999</v>
      </c>
      <c r="N118" s="1">
        <f t="shared" si="44"/>
        <v>15.416666666666668</v>
      </c>
      <c r="O118" s="1">
        <f t="shared" si="45"/>
        <v>25.567567567567568</v>
      </c>
      <c r="P118" s="1">
        <f t="shared" si="46"/>
        <v>153.25</v>
      </c>
      <c r="Q118" s="1" t="e">
        <f t="shared" si="47"/>
        <v>#DIV/0!</v>
      </c>
      <c r="R118" s="1" t="e">
        <f t="shared" si="48"/>
        <v>#DIV/0!</v>
      </c>
      <c r="S118" s="1" t="e">
        <f t="shared" si="49"/>
        <v>#DIV/0!</v>
      </c>
    </row>
    <row r="119" spans="1:19">
      <c r="A119" t="s">
        <v>214</v>
      </c>
      <c r="B119" s="2">
        <v>0.95884984358706982</v>
      </c>
      <c r="C119" s="2">
        <v>0.98099999999999998</v>
      </c>
      <c r="D119" s="2">
        <v>0.69199999999999995</v>
      </c>
      <c r="E119" s="2">
        <v>0.96199999999999997</v>
      </c>
      <c r="F119" s="2">
        <v>0.49199999999999999</v>
      </c>
      <c r="G119" s="4">
        <v>0.94739240506329114</v>
      </c>
      <c r="H119" s="2">
        <f t="shared" si="38"/>
        <v>0.89884984358706976</v>
      </c>
      <c r="I119" s="2">
        <f t="shared" si="39"/>
        <v>0.94399999999999995</v>
      </c>
      <c r="J119" s="2">
        <f t="shared" si="40"/>
        <v>0.68799999999999994</v>
      </c>
      <c r="K119" s="2">
        <f t="shared" si="41"/>
        <v>0.96199999999999997</v>
      </c>
      <c r="L119" s="2">
        <f t="shared" si="42"/>
        <v>0.49199999999999999</v>
      </c>
      <c r="M119" s="4">
        <f t="shared" si="43"/>
        <v>0.94739240506329114</v>
      </c>
      <c r="N119" s="1">
        <f t="shared" si="44"/>
        <v>14.980830726451163</v>
      </c>
      <c r="O119" s="1">
        <f t="shared" si="45"/>
        <v>25.513513513513512</v>
      </c>
      <c r="P119" s="1">
        <f t="shared" si="46"/>
        <v>171.99999999999997</v>
      </c>
      <c r="Q119" s="1" t="e">
        <f t="shared" si="47"/>
        <v>#DIV/0!</v>
      </c>
      <c r="R119" s="1" t="e">
        <f t="shared" si="48"/>
        <v>#DIV/0!</v>
      </c>
      <c r="S119" s="1" t="e">
        <f t="shared" si="49"/>
        <v>#DIV/0!</v>
      </c>
    </row>
    <row r="120" spans="1:19">
      <c r="A120" t="s">
        <v>41</v>
      </c>
      <c r="B120" s="2">
        <v>0.995</v>
      </c>
      <c r="C120" s="2">
        <v>0.995</v>
      </c>
      <c r="D120" s="2">
        <v>0.61299999999999999</v>
      </c>
      <c r="E120" s="2">
        <v>0.995</v>
      </c>
      <c r="F120" s="2">
        <v>0.49099999999999999</v>
      </c>
      <c r="G120" s="4">
        <v>0.995</v>
      </c>
      <c r="H120" s="2">
        <f t="shared" si="38"/>
        <v>0.93500000000000005</v>
      </c>
      <c r="I120" s="2">
        <f t="shared" si="39"/>
        <v>0.95799999999999996</v>
      </c>
      <c r="J120" s="2">
        <f t="shared" si="40"/>
        <v>0.60899999999999999</v>
      </c>
      <c r="K120" s="2">
        <f t="shared" si="41"/>
        <v>0.995</v>
      </c>
      <c r="L120" s="2">
        <f t="shared" si="42"/>
        <v>0.49099999999999999</v>
      </c>
      <c r="M120" s="4">
        <f t="shared" si="43"/>
        <v>0.995</v>
      </c>
      <c r="N120" s="1">
        <f t="shared" si="44"/>
        <v>15.583333333333334</v>
      </c>
      <c r="O120" s="1">
        <f t="shared" si="45"/>
        <v>25.891891891891891</v>
      </c>
      <c r="P120" s="1">
        <f t="shared" si="46"/>
        <v>152.25</v>
      </c>
      <c r="Q120" s="1" t="e">
        <f t="shared" si="47"/>
        <v>#DIV/0!</v>
      </c>
      <c r="R120" s="1" t="e">
        <f t="shared" si="48"/>
        <v>#DIV/0!</v>
      </c>
      <c r="S120" s="1" t="e">
        <f t="shared" si="49"/>
        <v>#DIV/0!</v>
      </c>
    </row>
    <row r="121" spans="1:19">
      <c r="A121" t="s">
        <v>35</v>
      </c>
      <c r="B121" s="2">
        <v>0.995</v>
      </c>
      <c r="C121" s="2">
        <v>0.995</v>
      </c>
      <c r="D121" s="2">
        <v>0.59399999999999997</v>
      </c>
      <c r="E121" s="2">
        <v>0.995</v>
      </c>
      <c r="F121" s="2">
        <v>0.48099999999999998</v>
      </c>
      <c r="G121" s="4">
        <v>0.995</v>
      </c>
      <c r="H121" s="2">
        <f t="shared" si="38"/>
        <v>0.93500000000000005</v>
      </c>
      <c r="I121" s="2">
        <f t="shared" si="39"/>
        <v>0.95799999999999996</v>
      </c>
      <c r="J121" s="2">
        <f t="shared" si="40"/>
        <v>0.59</v>
      </c>
      <c r="K121" s="2">
        <f t="shared" si="41"/>
        <v>0.995</v>
      </c>
      <c r="L121" s="2">
        <f t="shared" si="42"/>
        <v>0.48099999999999998</v>
      </c>
      <c r="M121" s="4">
        <f t="shared" si="43"/>
        <v>0.995</v>
      </c>
      <c r="N121" s="1">
        <f t="shared" si="44"/>
        <v>15.583333333333334</v>
      </c>
      <c r="O121" s="1">
        <f t="shared" si="45"/>
        <v>25.891891891891891</v>
      </c>
      <c r="P121" s="1">
        <f t="shared" si="46"/>
        <v>147.5</v>
      </c>
      <c r="Q121" s="1" t="e">
        <f t="shared" si="47"/>
        <v>#DIV/0!</v>
      </c>
      <c r="R121" s="1" t="e">
        <f t="shared" si="48"/>
        <v>#DIV/0!</v>
      </c>
      <c r="S121" s="1" t="e">
        <f t="shared" si="49"/>
        <v>#DIV/0!</v>
      </c>
    </row>
    <row r="122" spans="1:19">
      <c r="A122" t="s">
        <v>186</v>
      </c>
      <c r="B122" s="2">
        <v>0.94889462592202323</v>
      </c>
      <c r="C122" s="2">
        <v>0.98099999999999998</v>
      </c>
      <c r="D122" s="2">
        <v>0.65800000000000003</v>
      </c>
      <c r="E122" s="2">
        <v>0.96099999999999997</v>
      </c>
      <c r="F122" s="2">
        <v>0.48099999999999998</v>
      </c>
      <c r="G122" s="4">
        <v>0.94048565356004243</v>
      </c>
      <c r="H122" s="2">
        <f t="shared" si="38"/>
        <v>0.88889462592202317</v>
      </c>
      <c r="I122" s="2">
        <f t="shared" si="39"/>
        <v>0.94399999999999995</v>
      </c>
      <c r="J122" s="2">
        <f t="shared" si="40"/>
        <v>0.65400000000000003</v>
      </c>
      <c r="K122" s="2">
        <f t="shared" si="41"/>
        <v>0.96099999999999997</v>
      </c>
      <c r="L122" s="2">
        <f t="shared" si="42"/>
        <v>0.48099999999999998</v>
      </c>
      <c r="M122" s="4">
        <f t="shared" si="43"/>
        <v>0.94048565356004243</v>
      </c>
      <c r="N122" s="1">
        <f t="shared" si="44"/>
        <v>14.81491043203372</v>
      </c>
      <c r="O122" s="1">
        <f t="shared" si="45"/>
        <v>25.513513513513512</v>
      </c>
      <c r="P122" s="1">
        <f t="shared" si="46"/>
        <v>163.5</v>
      </c>
      <c r="Q122" s="1" t="e">
        <f t="shared" si="47"/>
        <v>#DIV/0!</v>
      </c>
      <c r="R122" s="1" t="e">
        <f t="shared" si="48"/>
        <v>#DIV/0!</v>
      </c>
      <c r="S122" s="1" t="e">
        <f t="shared" si="49"/>
        <v>#DIV/0!</v>
      </c>
    </row>
    <row r="123" spans="1:19">
      <c r="A123" t="s">
        <v>64</v>
      </c>
      <c r="B123" s="2">
        <v>0.99299999999999999</v>
      </c>
      <c r="C123" s="2">
        <v>0.995</v>
      </c>
      <c r="D123" s="2">
        <v>0.60899999999999999</v>
      </c>
      <c r="E123" s="2">
        <v>0.995</v>
      </c>
      <c r="F123" s="2">
        <v>0.47947252062731799</v>
      </c>
      <c r="G123" s="4">
        <v>0.99299999999999999</v>
      </c>
      <c r="H123" s="2">
        <f t="shared" si="38"/>
        <v>0.93300000000000005</v>
      </c>
      <c r="I123" s="2">
        <f t="shared" si="39"/>
        <v>0.95799999999999996</v>
      </c>
      <c r="J123" s="2">
        <f t="shared" si="40"/>
        <v>0.60499999999999998</v>
      </c>
      <c r="K123" s="2">
        <f t="shared" si="41"/>
        <v>0.995</v>
      </c>
      <c r="L123" s="2">
        <f t="shared" si="42"/>
        <v>0.47947252062731799</v>
      </c>
      <c r="M123" s="4">
        <f t="shared" si="43"/>
        <v>0.99299999999999999</v>
      </c>
      <c r="N123" s="1">
        <f t="shared" si="44"/>
        <v>15.55</v>
      </c>
      <c r="O123" s="1">
        <f t="shared" si="45"/>
        <v>25.891891891891891</v>
      </c>
      <c r="P123" s="1">
        <f t="shared" si="46"/>
        <v>151.25</v>
      </c>
      <c r="Q123" s="1" t="e">
        <f t="shared" si="47"/>
        <v>#DIV/0!</v>
      </c>
      <c r="R123" s="1" t="e">
        <f t="shared" si="48"/>
        <v>#DIV/0!</v>
      </c>
      <c r="S123" s="1" t="e">
        <f t="shared" si="49"/>
        <v>#DIV/0!</v>
      </c>
    </row>
    <row r="124" spans="1:19">
      <c r="A124" t="s">
        <v>207</v>
      </c>
      <c r="B124" s="2">
        <v>0.95591527196652715</v>
      </c>
      <c r="C124" s="2">
        <v>0.98599999999999999</v>
      </c>
      <c r="D124" s="2">
        <v>0.67700000000000005</v>
      </c>
      <c r="E124" s="2">
        <v>0.96699999999999997</v>
      </c>
      <c r="F124" s="2">
        <v>0.47799999999999998</v>
      </c>
      <c r="G124" s="4">
        <v>0.94742374670184704</v>
      </c>
      <c r="H124" s="2">
        <f t="shared" si="38"/>
        <v>0.89591527196652709</v>
      </c>
      <c r="I124" s="2">
        <f t="shared" si="39"/>
        <v>0.94899999999999995</v>
      </c>
      <c r="J124" s="2">
        <f t="shared" si="40"/>
        <v>0.67300000000000004</v>
      </c>
      <c r="K124" s="2">
        <f t="shared" si="41"/>
        <v>0.96699999999999997</v>
      </c>
      <c r="L124" s="2">
        <f t="shared" si="42"/>
        <v>0.47799999999999998</v>
      </c>
      <c r="M124" s="4">
        <f t="shared" si="43"/>
        <v>0.94742374670184704</v>
      </c>
      <c r="N124" s="1">
        <f t="shared" si="44"/>
        <v>14.931921199442119</v>
      </c>
      <c r="O124" s="1">
        <f t="shared" si="45"/>
        <v>25.648648648648649</v>
      </c>
      <c r="P124" s="1">
        <f t="shared" si="46"/>
        <v>168.25</v>
      </c>
      <c r="Q124" s="1" t="e">
        <f t="shared" si="47"/>
        <v>#DIV/0!</v>
      </c>
      <c r="R124" s="1" t="e">
        <f t="shared" si="48"/>
        <v>#DIV/0!</v>
      </c>
      <c r="S124" s="1" t="e">
        <f t="shared" si="49"/>
        <v>#DIV/0!</v>
      </c>
    </row>
    <row r="125" spans="1:19">
      <c r="A125" t="s">
        <v>60</v>
      </c>
      <c r="B125" s="2">
        <v>0.98599999999999999</v>
      </c>
      <c r="C125" s="2">
        <v>0.995</v>
      </c>
      <c r="D125" s="2">
        <v>0.59599999999999997</v>
      </c>
      <c r="E125" s="2">
        <v>0.99465217391304295</v>
      </c>
      <c r="F125" s="2">
        <v>0.47564482088229898</v>
      </c>
      <c r="G125" s="4">
        <v>0.98599999999999999</v>
      </c>
      <c r="H125" s="2">
        <f t="shared" si="38"/>
        <v>0.92599999999999993</v>
      </c>
      <c r="I125" s="2">
        <f t="shared" si="39"/>
        <v>0.95799999999999996</v>
      </c>
      <c r="J125" s="2">
        <f t="shared" si="40"/>
        <v>0.59199999999999997</v>
      </c>
      <c r="K125" s="2">
        <f t="shared" si="41"/>
        <v>0.99465217391304295</v>
      </c>
      <c r="L125" s="2">
        <f t="shared" si="42"/>
        <v>0.47564482088229898</v>
      </c>
      <c r="M125" s="4">
        <f t="shared" si="43"/>
        <v>0.98599999999999999</v>
      </c>
      <c r="N125" s="1">
        <f t="shared" si="44"/>
        <v>15.433333333333334</v>
      </c>
      <c r="O125" s="1">
        <f t="shared" si="45"/>
        <v>25.891891891891891</v>
      </c>
      <c r="P125" s="1">
        <f t="shared" si="46"/>
        <v>148</v>
      </c>
      <c r="Q125" s="1" t="e">
        <f t="shared" si="47"/>
        <v>#DIV/0!</v>
      </c>
      <c r="R125" s="1" t="e">
        <f t="shared" si="48"/>
        <v>#DIV/0!</v>
      </c>
      <c r="S125" s="1" t="e">
        <f t="shared" si="49"/>
        <v>#DIV/0!</v>
      </c>
    </row>
    <row r="126" spans="1:19">
      <c r="A126" t="s">
        <v>145</v>
      </c>
      <c r="B126" s="2">
        <v>0.95899999999999996</v>
      </c>
      <c r="C126" s="2">
        <v>0.98099999999999998</v>
      </c>
      <c r="D126" s="2">
        <v>0.63700000000000001</v>
      </c>
      <c r="E126" s="2">
        <v>0.97199999999999998</v>
      </c>
      <c r="F126" s="2">
        <v>0.46800000000000003</v>
      </c>
      <c r="G126" s="4">
        <v>0.95899999999999996</v>
      </c>
      <c r="H126" s="2">
        <f t="shared" si="38"/>
        <v>0.89900000000000002</v>
      </c>
      <c r="I126" s="2">
        <f t="shared" si="39"/>
        <v>0.94399999999999995</v>
      </c>
      <c r="J126" s="2">
        <f t="shared" si="40"/>
        <v>0.63300000000000001</v>
      </c>
      <c r="K126" s="2">
        <f t="shared" si="41"/>
        <v>0.97199999999999998</v>
      </c>
      <c r="L126" s="2">
        <f t="shared" si="42"/>
        <v>0.46800000000000003</v>
      </c>
      <c r="M126" s="4">
        <f t="shared" si="43"/>
        <v>0.95899999999999996</v>
      </c>
      <c r="N126" s="1">
        <f t="shared" si="44"/>
        <v>14.983333333333334</v>
      </c>
      <c r="O126" s="1">
        <f t="shared" si="45"/>
        <v>25.513513513513512</v>
      </c>
      <c r="P126" s="1">
        <f t="shared" si="46"/>
        <v>158.25</v>
      </c>
      <c r="Q126" s="1" t="e">
        <f t="shared" si="47"/>
        <v>#DIV/0!</v>
      </c>
      <c r="R126" s="1" t="e">
        <f t="shared" si="48"/>
        <v>#DIV/0!</v>
      </c>
      <c r="S126" s="1" t="e">
        <f t="shared" si="49"/>
        <v>#DIV/0!</v>
      </c>
    </row>
    <row r="127" spans="1:19">
      <c r="A127" t="s">
        <v>172</v>
      </c>
      <c r="B127" s="2">
        <v>0.95762317327766178</v>
      </c>
      <c r="C127" s="2">
        <v>0.98099999999999998</v>
      </c>
      <c r="D127" s="2">
        <v>0.628</v>
      </c>
      <c r="E127" s="2">
        <v>0.97199999999999998</v>
      </c>
      <c r="F127" s="2">
        <v>0.46800000000000003</v>
      </c>
      <c r="G127" s="4">
        <v>0.95762317327766178</v>
      </c>
      <c r="H127" s="2">
        <f t="shared" si="38"/>
        <v>0.89762317327766183</v>
      </c>
      <c r="I127" s="2">
        <f t="shared" si="39"/>
        <v>0.94399999999999995</v>
      </c>
      <c r="J127" s="2">
        <f t="shared" si="40"/>
        <v>0.624</v>
      </c>
      <c r="K127" s="2">
        <f t="shared" si="41"/>
        <v>0.97199999999999998</v>
      </c>
      <c r="L127" s="2">
        <f t="shared" si="42"/>
        <v>0.46800000000000003</v>
      </c>
      <c r="M127" s="4">
        <f t="shared" si="43"/>
        <v>0.95762317327766178</v>
      </c>
      <c r="N127" s="1">
        <f t="shared" si="44"/>
        <v>14.960386221294364</v>
      </c>
      <c r="O127" s="1">
        <f t="shared" si="45"/>
        <v>25.513513513513512</v>
      </c>
      <c r="P127" s="1">
        <f t="shared" si="46"/>
        <v>156</v>
      </c>
      <c r="Q127" s="1" t="e">
        <f t="shared" si="47"/>
        <v>#DIV/0!</v>
      </c>
      <c r="R127" s="1" t="e">
        <f t="shared" si="48"/>
        <v>#DIV/0!</v>
      </c>
      <c r="S127" s="1" t="e">
        <f t="shared" si="49"/>
        <v>#DIV/0!</v>
      </c>
    </row>
    <row r="128" spans="1:19">
      <c r="A128" t="s">
        <v>139</v>
      </c>
      <c r="B128" s="2">
        <v>0.95699999999999996</v>
      </c>
      <c r="C128" s="2">
        <v>0.98099999999999998</v>
      </c>
      <c r="D128" s="2">
        <v>0.628</v>
      </c>
      <c r="E128" s="2">
        <v>0.97199999999999998</v>
      </c>
      <c r="F128" s="2">
        <v>0.46800000000000003</v>
      </c>
      <c r="G128" s="4">
        <v>0.95699999999999996</v>
      </c>
      <c r="H128" s="2">
        <f t="shared" si="38"/>
        <v>0.89700000000000002</v>
      </c>
      <c r="I128" s="2">
        <f t="shared" si="39"/>
        <v>0.94399999999999995</v>
      </c>
      <c r="J128" s="2">
        <f t="shared" si="40"/>
        <v>0.624</v>
      </c>
      <c r="K128" s="2">
        <f t="shared" si="41"/>
        <v>0.97199999999999998</v>
      </c>
      <c r="L128" s="2">
        <f t="shared" si="42"/>
        <v>0.46800000000000003</v>
      </c>
      <c r="M128" s="4">
        <f t="shared" si="43"/>
        <v>0.95699999999999996</v>
      </c>
      <c r="N128" s="1">
        <f t="shared" si="44"/>
        <v>14.950000000000001</v>
      </c>
      <c r="O128" s="1">
        <f t="shared" si="45"/>
        <v>25.513513513513512</v>
      </c>
      <c r="P128" s="1">
        <f t="shared" si="46"/>
        <v>156</v>
      </c>
      <c r="Q128" s="1" t="e">
        <f t="shared" si="47"/>
        <v>#DIV/0!</v>
      </c>
      <c r="R128" s="1" t="e">
        <f t="shared" si="48"/>
        <v>#DIV/0!</v>
      </c>
      <c r="S128" s="1" t="e">
        <f t="shared" si="49"/>
        <v>#DIV/0!</v>
      </c>
    </row>
    <row r="129" spans="1:19">
      <c r="A129" t="s">
        <v>49</v>
      </c>
      <c r="B129" s="2">
        <v>0.95399999999999996</v>
      </c>
      <c r="C129" s="2">
        <v>0.97799999999999998</v>
      </c>
      <c r="D129" s="2">
        <v>0.629</v>
      </c>
      <c r="E129" s="2">
        <v>0.95699999999999996</v>
      </c>
      <c r="F129" s="2">
        <v>0.46700000000000003</v>
      </c>
      <c r="G129" s="4">
        <v>0.93600000000000005</v>
      </c>
      <c r="H129" s="2">
        <f t="shared" si="38"/>
        <v>0.89399999999999991</v>
      </c>
      <c r="I129" s="2">
        <f t="shared" si="39"/>
        <v>0.94099999999999995</v>
      </c>
      <c r="J129" s="2">
        <f t="shared" si="40"/>
        <v>0.625</v>
      </c>
      <c r="K129" s="2">
        <f t="shared" si="41"/>
        <v>0.95699999999999996</v>
      </c>
      <c r="L129" s="2">
        <f t="shared" si="42"/>
        <v>0.46700000000000003</v>
      </c>
      <c r="M129" s="4">
        <f t="shared" si="43"/>
        <v>0.93600000000000005</v>
      </c>
      <c r="N129" s="1">
        <f t="shared" si="44"/>
        <v>14.899999999999999</v>
      </c>
      <c r="O129" s="1">
        <f t="shared" si="45"/>
        <v>25.432432432432432</v>
      </c>
      <c r="P129" s="1">
        <f t="shared" si="46"/>
        <v>156.25</v>
      </c>
      <c r="Q129" s="1" t="e">
        <f t="shared" si="47"/>
        <v>#DIV/0!</v>
      </c>
      <c r="R129" s="1" t="e">
        <f t="shared" si="48"/>
        <v>#DIV/0!</v>
      </c>
      <c r="S129" s="1" t="e">
        <f t="shared" si="49"/>
        <v>#DIV/0!</v>
      </c>
    </row>
    <row r="130" spans="1:19">
      <c r="A130" t="s">
        <v>68</v>
      </c>
      <c r="B130" s="2">
        <v>0.98699999999999999</v>
      </c>
      <c r="C130" s="2">
        <v>0.995</v>
      </c>
      <c r="D130" s="2">
        <v>0.624</v>
      </c>
      <c r="E130" s="2">
        <v>0.99412252964426795</v>
      </c>
      <c r="F130" s="2">
        <v>0.46440541928135798</v>
      </c>
      <c r="G130" s="4">
        <v>0.98699999999999999</v>
      </c>
      <c r="H130" s="2">
        <f t="shared" ref="H130:H161" si="50">B130-V$2</f>
        <v>0.92700000000000005</v>
      </c>
      <c r="I130" s="2">
        <f t="shared" ref="I130:I161" si="51">C130-W$2</f>
        <v>0.95799999999999996</v>
      </c>
      <c r="J130" s="2">
        <f t="shared" ref="J130:J161" si="52">D130-X$2</f>
        <v>0.62</v>
      </c>
      <c r="K130" s="2">
        <f t="shared" ref="K130:K161" si="53">E130-Y$2</f>
        <v>0.99412252964426795</v>
      </c>
      <c r="L130" s="2">
        <f t="shared" ref="L130:L161" si="54">F130-Z$2</f>
        <v>0.46440541928135798</v>
      </c>
      <c r="M130" s="4">
        <f t="shared" ref="M130:M161" si="55">G130-AA$2</f>
        <v>0.98699999999999999</v>
      </c>
      <c r="N130" s="1">
        <f t="shared" ref="N130:N161" si="56">(B130-V$2)/V$2</f>
        <v>15.450000000000001</v>
      </c>
      <c r="O130" s="1">
        <f t="shared" ref="O130:O161" si="57">(C130-W$2)/W$2</f>
        <v>25.891891891891891</v>
      </c>
      <c r="P130" s="1">
        <f t="shared" ref="P130:P161" si="58">(D130-X$2)/X$2</f>
        <v>155</v>
      </c>
      <c r="Q130" s="1" t="e">
        <f t="shared" ref="Q130:Q161" si="59">(E130-Y$2)/Y$2</f>
        <v>#DIV/0!</v>
      </c>
      <c r="R130" s="1" t="e">
        <f t="shared" ref="R130:R161" si="60">(F130-Z$2)/Z$2</f>
        <v>#DIV/0!</v>
      </c>
      <c r="S130" s="1" t="e">
        <f t="shared" ref="S130:S161" si="61">(G130-AA$2)/AA$2</f>
        <v>#DIV/0!</v>
      </c>
    </row>
    <row r="131" spans="1:19">
      <c r="A131" t="s">
        <v>59</v>
      </c>
      <c r="B131" s="2">
        <v>0.96299999999999997</v>
      </c>
      <c r="C131" s="2">
        <v>0.98399999999999999</v>
      </c>
      <c r="D131" s="2">
        <v>0.55200000000000005</v>
      </c>
      <c r="E131" s="2">
        <v>0.98705627261270501</v>
      </c>
      <c r="F131" s="2">
        <v>0.46081182321094299</v>
      </c>
      <c r="G131" s="4">
        <v>0.96299999999999997</v>
      </c>
      <c r="H131" s="2">
        <f t="shared" si="50"/>
        <v>0.90300000000000002</v>
      </c>
      <c r="I131" s="2">
        <f t="shared" si="51"/>
        <v>0.94699999999999995</v>
      </c>
      <c r="J131" s="2">
        <f t="shared" si="52"/>
        <v>0.54800000000000004</v>
      </c>
      <c r="K131" s="2">
        <f t="shared" si="53"/>
        <v>0.98705627261270501</v>
      </c>
      <c r="L131" s="2">
        <f t="shared" si="54"/>
        <v>0.46081182321094299</v>
      </c>
      <c r="M131" s="4">
        <f t="shared" si="55"/>
        <v>0.96299999999999997</v>
      </c>
      <c r="N131" s="1">
        <f t="shared" si="56"/>
        <v>15.05</v>
      </c>
      <c r="O131" s="1">
        <f t="shared" si="57"/>
        <v>25.594594594594593</v>
      </c>
      <c r="P131" s="1">
        <f t="shared" si="58"/>
        <v>137</v>
      </c>
      <c r="Q131" s="1" t="e">
        <f t="shared" si="59"/>
        <v>#DIV/0!</v>
      </c>
      <c r="R131" s="1" t="e">
        <f t="shared" si="60"/>
        <v>#DIV/0!</v>
      </c>
      <c r="S131" s="1" t="e">
        <f t="shared" si="61"/>
        <v>#DIV/0!</v>
      </c>
    </row>
    <row r="132" spans="1:19">
      <c r="A132" t="s">
        <v>187</v>
      </c>
      <c r="B132" s="2">
        <v>0.96085015608740909</v>
      </c>
      <c r="C132" s="2">
        <v>0.98199999999999998</v>
      </c>
      <c r="D132" s="2">
        <v>0.622</v>
      </c>
      <c r="E132" s="2">
        <v>0.98099999999999998</v>
      </c>
      <c r="F132" s="2">
        <v>0.45700000000000002</v>
      </c>
      <c r="G132" s="4">
        <v>0.96085015608740909</v>
      </c>
      <c r="H132" s="2">
        <f t="shared" si="50"/>
        <v>0.90085015608740915</v>
      </c>
      <c r="I132" s="2">
        <f t="shared" si="51"/>
        <v>0.94499999999999995</v>
      </c>
      <c r="J132" s="2">
        <f t="shared" si="52"/>
        <v>0.61799999999999999</v>
      </c>
      <c r="K132" s="2">
        <f t="shared" si="53"/>
        <v>0.98099999999999998</v>
      </c>
      <c r="L132" s="2">
        <f t="shared" si="54"/>
        <v>0.45700000000000002</v>
      </c>
      <c r="M132" s="4">
        <f t="shared" si="55"/>
        <v>0.96085015608740909</v>
      </c>
      <c r="N132" s="1">
        <f t="shared" si="56"/>
        <v>15.014169268123487</v>
      </c>
      <c r="O132" s="1">
        <f t="shared" si="57"/>
        <v>25.54054054054054</v>
      </c>
      <c r="P132" s="1">
        <f t="shared" si="58"/>
        <v>154.5</v>
      </c>
      <c r="Q132" s="1" t="e">
        <f t="shared" si="59"/>
        <v>#DIV/0!</v>
      </c>
      <c r="R132" s="1" t="e">
        <f t="shared" si="60"/>
        <v>#DIV/0!</v>
      </c>
      <c r="S132" s="1" t="e">
        <f t="shared" si="61"/>
        <v>#DIV/0!</v>
      </c>
    </row>
    <row r="133" spans="1:19">
      <c r="A133" t="s">
        <v>63</v>
      </c>
      <c r="B133" s="2">
        <v>0.96899999999999997</v>
      </c>
      <c r="C133" s="2">
        <v>0.99099999999999999</v>
      </c>
      <c r="D133" s="2">
        <v>0.52600000000000002</v>
      </c>
      <c r="E133" s="2">
        <v>0.990441062334939</v>
      </c>
      <c r="F133" s="2">
        <v>0.45494333783123703</v>
      </c>
      <c r="G133" s="4">
        <v>0.96899999999999997</v>
      </c>
      <c r="H133" s="2">
        <f t="shared" si="50"/>
        <v>0.90900000000000003</v>
      </c>
      <c r="I133" s="2">
        <f t="shared" si="51"/>
        <v>0.95399999999999996</v>
      </c>
      <c r="J133" s="2">
        <f t="shared" si="52"/>
        <v>0.52200000000000002</v>
      </c>
      <c r="K133" s="2">
        <f t="shared" si="53"/>
        <v>0.990441062334939</v>
      </c>
      <c r="L133" s="2">
        <f t="shared" si="54"/>
        <v>0.45494333783123703</v>
      </c>
      <c r="M133" s="4">
        <f t="shared" si="55"/>
        <v>0.96899999999999997</v>
      </c>
      <c r="N133" s="1">
        <f t="shared" si="56"/>
        <v>15.15</v>
      </c>
      <c r="O133" s="1">
        <f t="shared" si="57"/>
        <v>25.783783783783782</v>
      </c>
      <c r="P133" s="1">
        <f t="shared" si="58"/>
        <v>130.5</v>
      </c>
      <c r="Q133" s="1" t="e">
        <f t="shared" si="59"/>
        <v>#DIV/0!</v>
      </c>
      <c r="R133" s="1" t="e">
        <f t="shared" si="60"/>
        <v>#DIV/0!</v>
      </c>
      <c r="S133" s="1" t="e">
        <f t="shared" si="61"/>
        <v>#DIV/0!</v>
      </c>
    </row>
    <row r="134" spans="1:19">
      <c r="A134" t="s">
        <v>55</v>
      </c>
      <c r="B134" s="2">
        <v>0.98599999999999999</v>
      </c>
      <c r="C134" s="2">
        <v>0.98599999999999999</v>
      </c>
      <c r="D134" s="2">
        <v>0.63700000000000001</v>
      </c>
      <c r="E134" s="2">
        <v>0.98596671103634903</v>
      </c>
      <c r="F134" s="2">
        <v>0.44535698302911803</v>
      </c>
      <c r="G134" s="4">
        <v>0.97699999999999998</v>
      </c>
      <c r="H134" s="2">
        <f t="shared" si="50"/>
        <v>0.92599999999999993</v>
      </c>
      <c r="I134" s="2">
        <f t="shared" si="51"/>
        <v>0.94899999999999995</v>
      </c>
      <c r="J134" s="2">
        <f t="shared" si="52"/>
        <v>0.63300000000000001</v>
      </c>
      <c r="K134" s="2">
        <f t="shared" si="53"/>
        <v>0.98596671103634903</v>
      </c>
      <c r="L134" s="2">
        <f t="shared" si="54"/>
        <v>0.44535698302911803</v>
      </c>
      <c r="M134" s="4">
        <f t="shared" si="55"/>
        <v>0.97699999999999998</v>
      </c>
      <c r="N134" s="1">
        <f t="shared" si="56"/>
        <v>15.433333333333334</v>
      </c>
      <c r="O134" s="1">
        <f t="shared" si="57"/>
        <v>25.648648648648649</v>
      </c>
      <c r="P134" s="1">
        <f t="shared" si="58"/>
        <v>158.25</v>
      </c>
      <c r="Q134" s="1" t="e">
        <f t="shared" si="59"/>
        <v>#DIV/0!</v>
      </c>
      <c r="R134" s="1" t="e">
        <f t="shared" si="60"/>
        <v>#DIV/0!</v>
      </c>
      <c r="S134" s="1" t="e">
        <f t="shared" si="61"/>
        <v>#DIV/0!</v>
      </c>
    </row>
    <row r="135" spans="1:19">
      <c r="A135" t="s">
        <v>111</v>
      </c>
      <c r="B135" s="2">
        <v>0.92500000000000004</v>
      </c>
      <c r="C135" s="2">
        <v>0.96199999999999997</v>
      </c>
      <c r="D135" s="2">
        <v>0.48699999999999999</v>
      </c>
      <c r="E135" s="2">
        <v>0.96765987623378502</v>
      </c>
      <c r="F135" s="2">
        <v>0.44312595187707599</v>
      </c>
      <c r="G135" s="4">
        <v>0.92500000000000004</v>
      </c>
      <c r="H135" s="2">
        <f t="shared" si="50"/>
        <v>0.86499999999999999</v>
      </c>
      <c r="I135" s="2">
        <f t="shared" si="51"/>
        <v>0.92499999999999993</v>
      </c>
      <c r="J135" s="2">
        <f t="shared" si="52"/>
        <v>0.48299999999999998</v>
      </c>
      <c r="K135" s="2">
        <f t="shared" si="53"/>
        <v>0.96765987623378502</v>
      </c>
      <c r="L135" s="2">
        <f t="shared" si="54"/>
        <v>0.44312595187707599</v>
      </c>
      <c r="M135" s="4">
        <f t="shared" si="55"/>
        <v>0.92500000000000004</v>
      </c>
      <c r="N135" s="1">
        <f t="shared" si="56"/>
        <v>14.416666666666668</v>
      </c>
      <c r="O135" s="1">
        <f t="shared" si="57"/>
        <v>25</v>
      </c>
      <c r="P135" s="1">
        <f t="shared" si="58"/>
        <v>120.75</v>
      </c>
      <c r="Q135" s="1" t="e">
        <f t="shared" si="59"/>
        <v>#DIV/0!</v>
      </c>
      <c r="R135" s="1" t="e">
        <f t="shared" si="60"/>
        <v>#DIV/0!</v>
      </c>
      <c r="S135" s="1" t="e">
        <f t="shared" si="61"/>
        <v>#DIV/0!</v>
      </c>
    </row>
    <row r="136" spans="1:19">
      <c r="A136" t="s">
        <v>71</v>
      </c>
      <c r="B136" s="2">
        <v>0.94599999999999995</v>
      </c>
      <c r="C136" s="2">
        <v>0.98399999999999999</v>
      </c>
      <c r="D136" s="2">
        <v>0.56999999999999995</v>
      </c>
      <c r="E136" s="2">
        <v>0.98431386446717495</v>
      </c>
      <c r="F136" s="2">
        <v>0.43495422983075399</v>
      </c>
      <c r="G136" s="4">
        <v>0.93899999999999995</v>
      </c>
      <c r="H136" s="2">
        <f t="shared" si="50"/>
        <v>0.8859999999999999</v>
      </c>
      <c r="I136" s="2">
        <f t="shared" si="51"/>
        <v>0.94699999999999995</v>
      </c>
      <c r="J136" s="2">
        <f t="shared" si="52"/>
        <v>0.56599999999999995</v>
      </c>
      <c r="K136" s="2">
        <f t="shared" si="53"/>
        <v>0.98431386446717495</v>
      </c>
      <c r="L136" s="2">
        <f t="shared" si="54"/>
        <v>0.43495422983075399</v>
      </c>
      <c r="M136" s="4">
        <f t="shared" si="55"/>
        <v>0.93899999999999995</v>
      </c>
      <c r="N136" s="1">
        <f t="shared" si="56"/>
        <v>14.766666666666666</v>
      </c>
      <c r="O136" s="1">
        <f t="shared" si="57"/>
        <v>25.594594594594593</v>
      </c>
      <c r="P136" s="1">
        <f t="shared" si="58"/>
        <v>141.49999999999997</v>
      </c>
      <c r="Q136" s="1" t="e">
        <f t="shared" si="59"/>
        <v>#DIV/0!</v>
      </c>
      <c r="R136" s="1" t="e">
        <f t="shared" si="60"/>
        <v>#DIV/0!</v>
      </c>
      <c r="S136" s="1" t="e">
        <f t="shared" si="61"/>
        <v>#DIV/0!</v>
      </c>
    </row>
    <row r="137" spans="1:19">
      <c r="A137" t="s">
        <v>117</v>
      </c>
      <c r="B137" s="2">
        <v>0.92400000000000004</v>
      </c>
      <c r="C137" s="2">
        <v>0.96299999999999997</v>
      </c>
      <c r="D137" s="2">
        <v>0.48599999999999999</v>
      </c>
      <c r="E137" s="2">
        <v>0.95699999999999996</v>
      </c>
      <c r="F137" s="2">
        <v>0.42799999999999999</v>
      </c>
      <c r="G137" s="4">
        <v>0.92400000000000004</v>
      </c>
      <c r="H137" s="2">
        <f t="shared" si="50"/>
        <v>0.8640000000000001</v>
      </c>
      <c r="I137" s="2">
        <f t="shared" si="51"/>
        <v>0.92599999999999993</v>
      </c>
      <c r="J137" s="2">
        <f t="shared" si="52"/>
        <v>0.48199999999999998</v>
      </c>
      <c r="K137" s="2">
        <f t="shared" si="53"/>
        <v>0.95699999999999996</v>
      </c>
      <c r="L137" s="2">
        <f t="shared" si="54"/>
        <v>0.42799999999999999</v>
      </c>
      <c r="M137" s="4">
        <f t="shared" si="55"/>
        <v>0.92400000000000004</v>
      </c>
      <c r="N137" s="1">
        <f t="shared" si="56"/>
        <v>14.400000000000002</v>
      </c>
      <c r="O137" s="1">
        <f t="shared" si="57"/>
        <v>25.027027027027028</v>
      </c>
      <c r="P137" s="1">
        <f t="shared" si="58"/>
        <v>120.5</v>
      </c>
      <c r="Q137" s="1" t="e">
        <f t="shared" si="59"/>
        <v>#DIV/0!</v>
      </c>
      <c r="R137" s="1" t="e">
        <f t="shared" si="60"/>
        <v>#DIV/0!</v>
      </c>
      <c r="S137" s="1" t="e">
        <f t="shared" si="61"/>
        <v>#DIV/0!</v>
      </c>
    </row>
    <row r="138" spans="1:19">
      <c r="A138" t="s">
        <v>67</v>
      </c>
      <c r="B138" s="2">
        <v>0.96099999999999997</v>
      </c>
      <c r="C138" s="2">
        <v>0.97799999999999998</v>
      </c>
      <c r="D138" s="2">
        <v>0.56100000000000005</v>
      </c>
      <c r="E138" s="2">
        <v>0.97837861883434096</v>
      </c>
      <c r="F138" s="2">
        <v>0.42475989355015298</v>
      </c>
      <c r="G138" s="4">
        <v>0.96099999999999997</v>
      </c>
      <c r="H138" s="2">
        <f t="shared" si="50"/>
        <v>0.90100000000000002</v>
      </c>
      <c r="I138" s="2">
        <f t="shared" si="51"/>
        <v>0.94099999999999995</v>
      </c>
      <c r="J138" s="2">
        <f t="shared" si="52"/>
        <v>0.55700000000000005</v>
      </c>
      <c r="K138" s="2">
        <f t="shared" si="53"/>
        <v>0.97837861883434096</v>
      </c>
      <c r="L138" s="2">
        <f t="shared" si="54"/>
        <v>0.42475989355015298</v>
      </c>
      <c r="M138" s="4">
        <f t="shared" si="55"/>
        <v>0.96099999999999997</v>
      </c>
      <c r="N138" s="1">
        <f t="shared" si="56"/>
        <v>15.016666666666667</v>
      </c>
      <c r="O138" s="1">
        <f t="shared" si="57"/>
        <v>25.432432432432432</v>
      </c>
      <c r="P138" s="1">
        <f t="shared" si="58"/>
        <v>139.25</v>
      </c>
      <c r="Q138" s="1" t="e">
        <f t="shared" si="59"/>
        <v>#DIV/0!</v>
      </c>
      <c r="R138" s="1" t="e">
        <f t="shared" si="60"/>
        <v>#DIV/0!</v>
      </c>
      <c r="S138" s="1" t="e">
        <f t="shared" si="61"/>
        <v>#DIV/0!</v>
      </c>
    </row>
    <row r="139" spans="1:19">
      <c r="A139" t="s">
        <v>118</v>
      </c>
      <c r="B139" s="2">
        <v>0.88700000000000001</v>
      </c>
      <c r="C139" s="2">
        <v>0.95799999999999996</v>
      </c>
      <c r="D139" s="2">
        <v>0.45700000000000002</v>
      </c>
      <c r="E139" s="2">
        <v>0.96</v>
      </c>
      <c r="F139" s="2">
        <v>0.42099999999999999</v>
      </c>
      <c r="G139" s="4">
        <v>0.89600000000000002</v>
      </c>
      <c r="H139" s="2">
        <f t="shared" si="50"/>
        <v>0.82699999999999996</v>
      </c>
      <c r="I139" s="2">
        <f t="shared" si="51"/>
        <v>0.92099999999999993</v>
      </c>
      <c r="J139" s="2">
        <f t="shared" si="52"/>
        <v>0.45300000000000001</v>
      </c>
      <c r="K139" s="2">
        <f t="shared" si="53"/>
        <v>0.96</v>
      </c>
      <c r="L139" s="2">
        <f t="shared" si="54"/>
        <v>0.42099999999999999</v>
      </c>
      <c r="M139" s="4">
        <f t="shared" si="55"/>
        <v>0.89600000000000002</v>
      </c>
      <c r="N139" s="1">
        <f t="shared" si="56"/>
        <v>13.783333333333333</v>
      </c>
      <c r="O139" s="1">
        <f t="shared" si="57"/>
        <v>24.891891891891891</v>
      </c>
      <c r="P139" s="1">
        <f t="shared" si="58"/>
        <v>113.25</v>
      </c>
      <c r="Q139" s="1" t="e">
        <f t="shared" si="59"/>
        <v>#DIV/0!</v>
      </c>
      <c r="R139" s="1" t="e">
        <f t="shared" si="60"/>
        <v>#DIV/0!</v>
      </c>
      <c r="S139" s="1" t="e">
        <f t="shared" si="61"/>
        <v>#DIV/0!</v>
      </c>
    </row>
    <row r="140" spans="1:19">
      <c r="A140" t="s">
        <v>120</v>
      </c>
      <c r="B140" s="2">
        <v>0.97799999999999998</v>
      </c>
      <c r="C140" s="2">
        <v>0.99199999999999999</v>
      </c>
      <c r="D140" s="2">
        <v>0.56899999999999995</v>
      </c>
      <c r="E140" s="2">
        <v>0.99199999999999999</v>
      </c>
      <c r="F140" s="2">
        <v>0.41799999999999998</v>
      </c>
      <c r="G140" s="4">
        <v>0.97799999999999998</v>
      </c>
      <c r="H140" s="2">
        <f t="shared" si="50"/>
        <v>0.91799999999999993</v>
      </c>
      <c r="I140" s="2">
        <f t="shared" si="51"/>
        <v>0.95499999999999996</v>
      </c>
      <c r="J140" s="2">
        <f t="shared" si="52"/>
        <v>0.56499999999999995</v>
      </c>
      <c r="K140" s="2">
        <f t="shared" si="53"/>
        <v>0.99199999999999999</v>
      </c>
      <c r="L140" s="2">
        <f t="shared" si="54"/>
        <v>0.41799999999999998</v>
      </c>
      <c r="M140" s="4">
        <f t="shared" si="55"/>
        <v>0.97799999999999998</v>
      </c>
      <c r="N140" s="1">
        <f t="shared" si="56"/>
        <v>15.299999999999999</v>
      </c>
      <c r="O140" s="1">
        <f t="shared" si="57"/>
        <v>25.810810810810811</v>
      </c>
      <c r="P140" s="1">
        <f t="shared" si="58"/>
        <v>141.24999999999997</v>
      </c>
      <c r="Q140" s="1" t="e">
        <f t="shared" si="59"/>
        <v>#DIV/0!</v>
      </c>
      <c r="R140" s="1" t="e">
        <f t="shared" si="60"/>
        <v>#DIV/0!</v>
      </c>
      <c r="S140" s="1" t="e">
        <f t="shared" si="61"/>
        <v>#DIV/0!</v>
      </c>
    </row>
    <row r="141" spans="1:19">
      <c r="A141" t="s">
        <v>189</v>
      </c>
      <c r="B141" s="2">
        <v>0.96799070247933861</v>
      </c>
      <c r="C141" s="2">
        <v>0.98799999999999999</v>
      </c>
      <c r="D141" s="2">
        <v>0.63600000000000001</v>
      </c>
      <c r="E141" s="2">
        <v>0.95899999999999996</v>
      </c>
      <c r="F141" s="2">
        <v>0.41799999999999998</v>
      </c>
      <c r="G141" s="4">
        <v>0.95048711204629144</v>
      </c>
      <c r="H141" s="2">
        <f t="shared" si="50"/>
        <v>0.90799070247933855</v>
      </c>
      <c r="I141" s="2">
        <f t="shared" si="51"/>
        <v>0.95099999999999996</v>
      </c>
      <c r="J141" s="2">
        <f t="shared" si="52"/>
        <v>0.63200000000000001</v>
      </c>
      <c r="K141" s="2">
        <f t="shared" si="53"/>
        <v>0.95899999999999996</v>
      </c>
      <c r="L141" s="2">
        <f t="shared" si="54"/>
        <v>0.41799999999999998</v>
      </c>
      <c r="M141" s="4">
        <f t="shared" si="55"/>
        <v>0.95048711204629144</v>
      </c>
      <c r="N141" s="1">
        <f t="shared" si="56"/>
        <v>15.133178374655643</v>
      </c>
      <c r="O141" s="1">
        <f t="shared" si="57"/>
        <v>25.702702702702702</v>
      </c>
      <c r="P141" s="1">
        <f t="shared" si="58"/>
        <v>158</v>
      </c>
      <c r="Q141" s="1" t="e">
        <f t="shared" si="59"/>
        <v>#DIV/0!</v>
      </c>
      <c r="R141" s="1" t="e">
        <f t="shared" si="60"/>
        <v>#DIV/0!</v>
      </c>
      <c r="S141" s="1" t="e">
        <f t="shared" si="61"/>
        <v>#DIV/0!</v>
      </c>
    </row>
    <row r="142" spans="1:19">
      <c r="A142" t="s">
        <v>112</v>
      </c>
      <c r="B142" s="2">
        <v>0.95099999999999996</v>
      </c>
      <c r="C142" s="2">
        <v>0.97599999999999998</v>
      </c>
      <c r="D142" s="2">
        <v>0.48199999999999998</v>
      </c>
      <c r="E142" s="2">
        <v>0.96699999999999997</v>
      </c>
      <c r="F142" s="2">
        <v>0.41499999999999998</v>
      </c>
      <c r="G142" s="4">
        <v>0.94199999999999995</v>
      </c>
      <c r="H142" s="2">
        <f t="shared" si="50"/>
        <v>0.89100000000000001</v>
      </c>
      <c r="I142" s="2">
        <f t="shared" si="51"/>
        <v>0.93899999999999995</v>
      </c>
      <c r="J142" s="2">
        <f t="shared" si="52"/>
        <v>0.47799999999999998</v>
      </c>
      <c r="K142" s="2">
        <f t="shared" si="53"/>
        <v>0.96699999999999997</v>
      </c>
      <c r="L142" s="2">
        <f t="shared" si="54"/>
        <v>0.41499999999999998</v>
      </c>
      <c r="M142" s="4">
        <f t="shared" si="55"/>
        <v>0.94199999999999995</v>
      </c>
      <c r="N142" s="1">
        <f t="shared" si="56"/>
        <v>14.850000000000001</v>
      </c>
      <c r="O142" s="1">
        <f t="shared" si="57"/>
        <v>25.378378378378379</v>
      </c>
      <c r="P142" s="1">
        <f t="shared" si="58"/>
        <v>119.49999999999999</v>
      </c>
      <c r="Q142" s="1" t="e">
        <f t="shared" si="59"/>
        <v>#DIV/0!</v>
      </c>
      <c r="R142" s="1" t="e">
        <f t="shared" si="60"/>
        <v>#DIV/0!</v>
      </c>
      <c r="S142" s="1" t="e">
        <f t="shared" si="61"/>
        <v>#DIV/0!</v>
      </c>
    </row>
    <row r="143" spans="1:19">
      <c r="A143" t="s">
        <v>114</v>
      </c>
      <c r="B143" s="2">
        <v>0.97299999999999998</v>
      </c>
      <c r="C143" s="2">
        <v>0.99199999999999999</v>
      </c>
      <c r="D143" s="2">
        <v>0.57099999999999995</v>
      </c>
      <c r="E143" s="2">
        <v>0.99199999999999999</v>
      </c>
      <c r="F143" s="2">
        <v>0.41</v>
      </c>
      <c r="G143" s="4">
        <v>0.97299999999999998</v>
      </c>
      <c r="H143" s="2">
        <f t="shared" si="50"/>
        <v>0.91300000000000003</v>
      </c>
      <c r="I143" s="2">
        <f t="shared" si="51"/>
        <v>0.95499999999999996</v>
      </c>
      <c r="J143" s="2">
        <f t="shared" si="52"/>
        <v>0.56699999999999995</v>
      </c>
      <c r="K143" s="2">
        <f t="shared" si="53"/>
        <v>0.99199999999999999</v>
      </c>
      <c r="L143" s="2">
        <f t="shared" si="54"/>
        <v>0.41</v>
      </c>
      <c r="M143" s="4">
        <f t="shared" si="55"/>
        <v>0.97299999999999998</v>
      </c>
      <c r="N143" s="1">
        <f t="shared" si="56"/>
        <v>15.216666666666669</v>
      </c>
      <c r="O143" s="1">
        <f t="shared" si="57"/>
        <v>25.810810810810811</v>
      </c>
      <c r="P143" s="1">
        <f t="shared" si="58"/>
        <v>141.74999999999997</v>
      </c>
      <c r="Q143" s="1" t="e">
        <f t="shared" si="59"/>
        <v>#DIV/0!</v>
      </c>
      <c r="R143" s="1" t="e">
        <f t="shared" si="60"/>
        <v>#DIV/0!</v>
      </c>
      <c r="S143" s="1" t="e">
        <f t="shared" si="61"/>
        <v>#DIV/0!</v>
      </c>
    </row>
    <row r="144" spans="1:19">
      <c r="A144" t="s">
        <v>57</v>
      </c>
      <c r="B144" s="2">
        <v>0.872</v>
      </c>
      <c r="C144" s="2">
        <v>0.92600000000000005</v>
      </c>
      <c r="D144" s="2">
        <v>0.51500000000000001</v>
      </c>
      <c r="E144" s="2">
        <v>0.91718347013233203</v>
      </c>
      <c r="F144" s="2">
        <v>0.34533728605272901</v>
      </c>
      <c r="G144" s="4">
        <v>0.86299999999999999</v>
      </c>
      <c r="H144" s="2">
        <f t="shared" si="50"/>
        <v>0.81200000000000006</v>
      </c>
      <c r="I144" s="2">
        <f t="shared" si="51"/>
        <v>0.88900000000000001</v>
      </c>
      <c r="J144" s="2">
        <f t="shared" si="52"/>
        <v>0.51100000000000001</v>
      </c>
      <c r="K144" s="2">
        <f t="shared" si="53"/>
        <v>0.91718347013233203</v>
      </c>
      <c r="L144" s="2">
        <f t="shared" si="54"/>
        <v>0.34533728605272901</v>
      </c>
      <c r="M144" s="4">
        <f t="shared" si="55"/>
        <v>0.86299999999999999</v>
      </c>
      <c r="N144" s="1">
        <f t="shared" si="56"/>
        <v>13.533333333333335</v>
      </c>
      <c r="O144" s="1">
        <f t="shared" si="57"/>
        <v>24.027027027027028</v>
      </c>
      <c r="P144" s="1">
        <f t="shared" si="58"/>
        <v>127.75</v>
      </c>
      <c r="Q144" s="1" t="e">
        <f t="shared" si="59"/>
        <v>#DIV/0!</v>
      </c>
      <c r="R144" s="1" t="e">
        <f t="shared" si="60"/>
        <v>#DIV/0!</v>
      </c>
      <c r="S144" s="1" t="e">
        <f t="shared" si="61"/>
        <v>#DIV/0!</v>
      </c>
    </row>
    <row r="145" spans="1:19">
      <c r="A145" t="s">
        <v>69</v>
      </c>
      <c r="B145" s="2">
        <v>0.83899999999999997</v>
      </c>
      <c r="C145" s="2">
        <v>0.89600000000000002</v>
      </c>
      <c r="D145" s="2">
        <v>0.501</v>
      </c>
      <c r="E145" s="2">
        <v>0.82822125695632698</v>
      </c>
      <c r="F145" s="2">
        <v>0.30578885924767601</v>
      </c>
      <c r="G145" s="2">
        <v>0.80500000000000005</v>
      </c>
      <c r="H145" s="2">
        <f t="shared" si="50"/>
        <v>0.77899999999999991</v>
      </c>
      <c r="I145" s="2">
        <f t="shared" si="51"/>
        <v>0.85899999999999999</v>
      </c>
      <c r="J145" s="2">
        <f t="shared" si="52"/>
        <v>0.497</v>
      </c>
      <c r="K145" s="2">
        <f t="shared" si="53"/>
        <v>0.82822125695632698</v>
      </c>
      <c r="L145" s="2">
        <f t="shared" si="54"/>
        <v>0.30578885924767601</v>
      </c>
      <c r="M145" s="4">
        <f t="shared" si="55"/>
        <v>0.80500000000000005</v>
      </c>
      <c r="N145" s="1">
        <f t="shared" si="56"/>
        <v>12.983333333333333</v>
      </c>
      <c r="O145" s="1">
        <f t="shared" si="57"/>
        <v>23.216216216216218</v>
      </c>
      <c r="P145" s="1">
        <f t="shared" si="58"/>
        <v>124.25</v>
      </c>
      <c r="Q145" s="1" t="e">
        <f t="shared" si="59"/>
        <v>#DIV/0!</v>
      </c>
      <c r="R145" s="1" t="e">
        <f t="shared" si="60"/>
        <v>#DIV/0!</v>
      </c>
      <c r="S145" s="1" t="e">
        <f t="shared" si="61"/>
        <v>#DIV/0!</v>
      </c>
    </row>
    <row r="146" spans="1:19">
      <c r="A146" t="s">
        <v>193</v>
      </c>
      <c r="B146" s="2">
        <v>0.81895604395604393</v>
      </c>
      <c r="C146" s="2">
        <v>0.86399999999999999</v>
      </c>
      <c r="D146" s="2">
        <v>0.47699999999999998</v>
      </c>
      <c r="E146" s="2">
        <v>0.84399999999999997</v>
      </c>
      <c r="F146" s="2">
        <v>0.30299999999999999</v>
      </c>
      <c r="G146" s="2">
        <v>0.79999874999999998</v>
      </c>
      <c r="H146" s="2">
        <f t="shared" si="50"/>
        <v>0.75895604395604388</v>
      </c>
      <c r="I146" s="2">
        <f t="shared" si="51"/>
        <v>0.82699999999999996</v>
      </c>
      <c r="J146" s="2">
        <f t="shared" si="52"/>
        <v>0.47299999999999998</v>
      </c>
      <c r="K146" s="2">
        <f t="shared" si="53"/>
        <v>0.84399999999999997</v>
      </c>
      <c r="L146" s="2">
        <f t="shared" si="54"/>
        <v>0.30299999999999999</v>
      </c>
      <c r="M146" s="4">
        <f t="shared" si="55"/>
        <v>0.79999874999999998</v>
      </c>
      <c r="N146" s="1">
        <f t="shared" si="56"/>
        <v>12.649267399267398</v>
      </c>
      <c r="O146" s="1">
        <f t="shared" si="57"/>
        <v>22.351351351351351</v>
      </c>
      <c r="P146" s="1">
        <f t="shared" si="58"/>
        <v>118.24999999999999</v>
      </c>
      <c r="Q146" s="1" t="e">
        <f t="shared" si="59"/>
        <v>#DIV/0!</v>
      </c>
      <c r="R146" s="1" t="e">
        <f t="shared" si="60"/>
        <v>#DIV/0!</v>
      </c>
      <c r="S146" s="1" t="e">
        <f t="shared" si="61"/>
        <v>#DIV/0!</v>
      </c>
    </row>
    <row r="147" spans="1:19">
      <c r="A147" t="s">
        <v>73</v>
      </c>
      <c r="B147" s="2">
        <v>0.81299999999999994</v>
      </c>
      <c r="C147" s="2">
        <v>0.86199999999999999</v>
      </c>
      <c r="D147" s="2">
        <v>0.48099999999999998</v>
      </c>
      <c r="E147" s="2">
        <v>0.85318564923461104</v>
      </c>
      <c r="F147" s="2">
        <v>0.30232402246684198</v>
      </c>
      <c r="G147" s="2">
        <v>0.81100000000000005</v>
      </c>
      <c r="H147" s="2">
        <f t="shared" si="50"/>
        <v>0.75299999999999989</v>
      </c>
      <c r="I147" s="2">
        <f t="shared" si="51"/>
        <v>0.82499999999999996</v>
      </c>
      <c r="J147" s="2">
        <f t="shared" si="52"/>
        <v>0.47699999999999998</v>
      </c>
      <c r="K147" s="2">
        <f t="shared" si="53"/>
        <v>0.85318564923461104</v>
      </c>
      <c r="L147" s="2">
        <f t="shared" si="54"/>
        <v>0.30232402246684198</v>
      </c>
      <c r="M147" s="4">
        <f t="shared" si="55"/>
        <v>0.81100000000000005</v>
      </c>
      <c r="N147" s="1">
        <f t="shared" si="56"/>
        <v>12.549999999999999</v>
      </c>
      <c r="O147" s="1">
        <f t="shared" si="57"/>
        <v>22.297297297297298</v>
      </c>
      <c r="P147" s="1">
        <f t="shared" si="58"/>
        <v>119.24999999999999</v>
      </c>
      <c r="Q147" s="1" t="e">
        <f t="shared" si="59"/>
        <v>#DIV/0!</v>
      </c>
      <c r="R147" s="1" t="e">
        <f t="shared" si="60"/>
        <v>#DIV/0!</v>
      </c>
      <c r="S147" s="1" t="e">
        <f t="shared" si="61"/>
        <v>#DIV/0!</v>
      </c>
    </row>
    <row r="148" spans="1:19">
      <c r="A148" t="s">
        <v>39</v>
      </c>
      <c r="B148" s="2">
        <v>6.0000000000000001E-3</v>
      </c>
      <c r="C148" s="2">
        <v>0.94099999999999995</v>
      </c>
      <c r="D148" s="2">
        <v>0.51800000000000002</v>
      </c>
      <c r="E148" s="2">
        <v>0.96299999999999997</v>
      </c>
      <c r="F148" s="2">
        <v>0.29399999999999998</v>
      </c>
      <c r="G148" s="2">
        <v>7.0000000000000001E-3</v>
      </c>
      <c r="H148" s="2">
        <f t="shared" si="50"/>
        <v>-5.3999999999999999E-2</v>
      </c>
      <c r="I148" s="2">
        <f t="shared" si="51"/>
        <v>0.90399999999999991</v>
      </c>
      <c r="J148" s="2">
        <f t="shared" si="52"/>
        <v>0.51400000000000001</v>
      </c>
      <c r="K148" s="2">
        <f t="shared" si="53"/>
        <v>0.96299999999999997</v>
      </c>
      <c r="L148" s="2">
        <f t="shared" si="54"/>
        <v>0.29399999999999998</v>
      </c>
      <c r="M148" s="4">
        <f t="shared" si="55"/>
        <v>7.0000000000000001E-3</v>
      </c>
      <c r="N148" s="1">
        <f t="shared" si="56"/>
        <v>-0.9</v>
      </c>
      <c r="O148" s="1">
        <f t="shared" si="57"/>
        <v>24.432432432432432</v>
      </c>
      <c r="P148" s="1">
        <f t="shared" si="58"/>
        <v>128.5</v>
      </c>
      <c r="Q148" s="1" t="e">
        <f t="shared" si="59"/>
        <v>#DIV/0!</v>
      </c>
      <c r="R148" s="1" t="e">
        <f t="shared" si="60"/>
        <v>#DIV/0!</v>
      </c>
      <c r="S148" s="1" t="e">
        <f t="shared" si="61"/>
        <v>#DIV/0!</v>
      </c>
    </row>
    <row r="149" spans="1:19">
      <c r="A149" t="s">
        <v>65</v>
      </c>
      <c r="B149" s="2">
        <v>0.81799999999999995</v>
      </c>
      <c r="C149" s="2">
        <v>0.89100000000000001</v>
      </c>
      <c r="D149" s="2">
        <v>0.48899999999999999</v>
      </c>
      <c r="E149" s="2">
        <v>0.87724899101919596</v>
      </c>
      <c r="F149" s="2">
        <v>0.29224335014938302</v>
      </c>
      <c r="G149" s="2">
        <v>0.80800000000000005</v>
      </c>
      <c r="H149" s="2">
        <f t="shared" si="50"/>
        <v>0.75800000000000001</v>
      </c>
      <c r="I149" s="2">
        <f t="shared" si="51"/>
        <v>0.85399999999999998</v>
      </c>
      <c r="J149" s="2">
        <f t="shared" si="52"/>
        <v>0.48499999999999999</v>
      </c>
      <c r="K149" s="2">
        <f t="shared" si="53"/>
        <v>0.87724899101919596</v>
      </c>
      <c r="L149" s="2">
        <f t="shared" si="54"/>
        <v>0.29224335014938302</v>
      </c>
      <c r="M149" s="4">
        <f t="shared" si="55"/>
        <v>0.80800000000000005</v>
      </c>
      <c r="N149" s="1">
        <f t="shared" si="56"/>
        <v>12.633333333333335</v>
      </c>
      <c r="O149" s="1">
        <f t="shared" si="57"/>
        <v>23.081081081081081</v>
      </c>
      <c r="P149" s="1">
        <f t="shared" si="58"/>
        <v>121.25</v>
      </c>
      <c r="Q149" s="1" t="e">
        <f t="shared" si="59"/>
        <v>#DIV/0!</v>
      </c>
      <c r="R149" s="1" t="e">
        <f t="shared" si="60"/>
        <v>#DIV/0!</v>
      </c>
      <c r="S149" s="1" t="e">
        <f t="shared" si="61"/>
        <v>#DIV/0!</v>
      </c>
    </row>
    <row r="150" spans="1:19">
      <c r="A150" t="s">
        <v>61</v>
      </c>
      <c r="B150" s="2">
        <v>0.81799999999999995</v>
      </c>
      <c r="C150" s="2">
        <v>0.86499999999999999</v>
      </c>
      <c r="D150" s="2">
        <v>0.47099999999999997</v>
      </c>
      <c r="E150" s="2">
        <v>0.870704937874614</v>
      </c>
      <c r="F150" s="2">
        <v>0.28718930276318899</v>
      </c>
      <c r="G150" s="2">
        <v>0.81100000000000005</v>
      </c>
      <c r="H150" s="2">
        <f t="shared" si="50"/>
        <v>0.75800000000000001</v>
      </c>
      <c r="I150" s="2">
        <f t="shared" si="51"/>
        <v>0.82799999999999996</v>
      </c>
      <c r="J150" s="2">
        <f t="shared" si="52"/>
        <v>0.46699999999999997</v>
      </c>
      <c r="K150" s="2">
        <f t="shared" si="53"/>
        <v>0.870704937874614</v>
      </c>
      <c r="L150" s="2">
        <f t="shared" si="54"/>
        <v>0.28718930276318899</v>
      </c>
      <c r="M150" s="4">
        <f t="shared" si="55"/>
        <v>0.81100000000000005</v>
      </c>
      <c r="N150" s="1">
        <f t="shared" si="56"/>
        <v>12.633333333333335</v>
      </c>
      <c r="O150" s="1">
        <f t="shared" si="57"/>
        <v>22.378378378378379</v>
      </c>
      <c r="P150" s="1">
        <f t="shared" si="58"/>
        <v>116.74999999999999</v>
      </c>
      <c r="Q150" s="1" t="e">
        <f t="shared" si="59"/>
        <v>#DIV/0!</v>
      </c>
      <c r="R150" s="1" t="e">
        <f t="shared" si="60"/>
        <v>#DIV/0!</v>
      </c>
      <c r="S150" s="1" t="e">
        <f t="shared" si="61"/>
        <v>#DIV/0!</v>
      </c>
    </row>
    <row r="151" spans="1:19">
      <c r="A151" t="s">
        <v>121</v>
      </c>
      <c r="B151" s="2">
        <v>0.76100000000000001</v>
      </c>
      <c r="C151" s="2">
        <v>0.81</v>
      </c>
      <c r="D151" s="2">
        <v>0.436</v>
      </c>
      <c r="E151" s="2">
        <v>0.82299999999999995</v>
      </c>
      <c r="F151" s="2">
        <v>0.27300000000000002</v>
      </c>
      <c r="G151" s="2">
        <v>0.78</v>
      </c>
      <c r="H151" s="2">
        <f t="shared" si="50"/>
        <v>0.70100000000000007</v>
      </c>
      <c r="I151" s="2">
        <f t="shared" si="51"/>
        <v>0.77300000000000002</v>
      </c>
      <c r="J151" s="2">
        <f t="shared" si="52"/>
        <v>0.432</v>
      </c>
      <c r="K151" s="2">
        <f t="shared" si="53"/>
        <v>0.82299999999999995</v>
      </c>
      <c r="L151" s="2">
        <f t="shared" si="54"/>
        <v>0.27300000000000002</v>
      </c>
      <c r="M151" s="4">
        <f t="shared" si="55"/>
        <v>0.78</v>
      </c>
      <c r="N151" s="1">
        <f t="shared" si="56"/>
        <v>11.683333333333335</v>
      </c>
      <c r="O151" s="1">
        <f t="shared" si="57"/>
        <v>20.891891891891895</v>
      </c>
      <c r="P151" s="1">
        <f t="shared" si="58"/>
        <v>108</v>
      </c>
      <c r="Q151" s="1" t="e">
        <f t="shared" si="59"/>
        <v>#DIV/0!</v>
      </c>
      <c r="R151" s="1" t="e">
        <f t="shared" si="60"/>
        <v>#DIV/0!</v>
      </c>
      <c r="S151" s="1" t="e">
        <f t="shared" si="61"/>
        <v>#DIV/0!</v>
      </c>
    </row>
    <row r="152" spans="1:19">
      <c r="A152" t="s">
        <v>115</v>
      </c>
      <c r="B152" s="2">
        <v>0.752</v>
      </c>
      <c r="C152" s="2">
        <v>0.81200000000000006</v>
      </c>
      <c r="D152" s="2">
        <v>0.435</v>
      </c>
      <c r="E152" s="2">
        <v>0.82</v>
      </c>
      <c r="F152" s="2">
        <v>0.26700000000000002</v>
      </c>
      <c r="G152" s="2">
        <v>0.77</v>
      </c>
      <c r="H152" s="2">
        <f t="shared" si="50"/>
        <v>0.69199999999999995</v>
      </c>
      <c r="I152" s="2">
        <f t="shared" si="51"/>
        <v>0.77500000000000002</v>
      </c>
      <c r="J152" s="2">
        <f t="shared" si="52"/>
        <v>0.43099999999999999</v>
      </c>
      <c r="K152" s="2">
        <f t="shared" si="53"/>
        <v>0.82</v>
      </c>
      <c r="L152" s="2">
        <f t="shared" si="54"/>
        <v>0.26700000000000002</v>
      </c>
      <c r="M152" s="4">
        <f t="shared" si="55"/>
        <v>0.77</v>
      </c>
      <c r="N152" s="1">
        <f t="shared" si="56"/>
        <v>11.533333333333333</v>
      </c>
      <c r="O152" s="1">
        <f t="shared" si="57"/>
        <v>20.945945945945947</v>
      </c>
      <c r="P152" s="1">
        <f t="shared" si="58"/>
        <v>107.75</v>
      </c>
      <c r="Q152" s="1" t="e">
        <f t="shared" si="59"/>
        <v>#DIV/0!</v>
      </c>
      <c r="R152" s="1" t="e">
        <f t="shared" si="60"/>
        <v>#DIV/0!</v>
      </c>
      <c r="S152" s="1" t="e">
        <f t="shared" si="61"/>
        <v>#DIV/0!</v>
      </c>
    </row>
    <row r="153" spans="1:19">
      <c r="A153" t="s">
        <v>15</v>
      </c>
      <c r="B153" s="2">
        <v>2E-3</v>
      </c>
      <c r="C153" s="2">
        <v>0.03</v>
      </c>
      <c r="D153" s="2">
        <v>8.9999999999999993E-3</v>
      </c>
      <c r="E153" s="2">
        <v>1.11E-2</v>
      </c>
      <c r="F153" s="2">
        <v>2.0400000000000001E-3</v>
      </c>
      <c r="G153" s="2">
        <v>1E-3</v>
      </c>
      <c r="H153" s="2">
        <f t="shared" si="50"/>
        <v>-5.7999999999999996E-2</v>
      </c>
      <c r="I153" s="2">
        <f t="shared" si="51"/>
        <v>-6.9999999999999993E-3</v>
      </c>
      <c r="J153" s="2">
        <f t="shared" si="52"/>
        <v>4.9999999999999992E-3</v>
      </c>
      <c r="K153" s="2">
        <f t="shared" si="53"/>
        <v>1.11E-2</v>
      </c>
      <c r="L153" s="2">
        <f t="shared" si="54"/>
        <v>2.0400000000000001E-3</v>
      </c>
      <c r="M153" s="4">
        <f t="shared" si="55"/>
        <v>1E-3</v>
      </c>
      <c r="N153" s="1">
        <f t="shared" si="56"/>
        <v>-0.96666666666666667</v>
      </c>
      <c r="O153" s="1">
        <f t="shared" si="57"/>
        <v>-0.18918918918918917</v>
      </c>
      <c r="P153" s="1">
        <f t="shared" si="58"/>
        <v>1.2499999999999998</v>
      </c>
      <c r="Q153" s="1" t="e">
        <f t="shared" si="59"/>
        <v>#DIV/0!</v>
      </c>
      <c r="R153" s="1" t="e">
        <f t="shared" si="60"/>
        <v>#DIV/0!</v>
      </c>
      <c r="S153" s="1" t="e">
        <f t="shared" si="61"/>
        <v>#DIV/0!</v>
      </c>
    </row>
    <row r="154" spans="1:19">
      <c r="A154" t="s">
        <v>3</v>
      </c>
      <c r="B154" s="2">
        <v>0.96799999999999997</v>
      </c>
      <c r="C154" s="2">
        <v>0.97199999999999998</v>
      </c>
      <c r="D154" s="2">
        <v>0.70799999999999996</v>
      </c>
      <c r="E154" s="2">
        <v>0</v>
      </c>
      <c r="F154" s="2">
        <v>0</v>
      </c>
      <c r="G154" s="2">
        <v>0</v>
      </c>
      <c r="H154" s="2">
        <f t="shared" si="50"/>
        <v>0.90799999999999992</v>
      </c>
      <c r="I154" s="2">
        <f t="shared" si="51"/>
        <v>0.93499999999999994</v>
      </c>
      <c r="J154" s="2">
        <f t="shared" si="52"/>
        <v>0.70399999999999996</v>
      </c>
      <c r="K154" s="2">
        <f t="shared" si="53"/>
        <v>0</v>
      </c>
      <c r="L154" s="2">
        <f t="shared" si="54"/>
        <v>0</v>
      </c>
      <c r="M154" s="4">
        <f t="shared" si="55"/>
        <v>0</v>
      </c>
      <c r="N154" s="1">
        <f t="shared" si="56"/>
        <v>15.133333333333333</v>
      </c>
      <c r="O154" s="1">
        <f t="shared" si="57"/>
        <v>25.27027027027027</v>
      </c>
      <c r="P154" s="1">
        <f t="shared" si="58"/>
        <v>176</v>
      </c>
      <c r="Q154" s="1" t="e">
        <f t="shared" si="59"/>
        <v>#DIV/0!</v>
      </c>
      <c r="R154" s="1" t="e">
        <f t="shared" si="60"/>
        <v>#DIV/0!</v>
      </c>
      <c r="S154" s="1" t="e">
        <f t="shared" si="61"/>
        <v>#DIV/0!</v>
      </c>
    </row>
    <row r="155" spans="1:19">
      <c r="A155" t="s">
        <v>5</v>
      </c>
      <c r="B155" s="2">
        <v>0.86299999999999999</v>
      </c>
      <c r="C155" s="2">
        <v>0.89800000000000002</v>
      </c>
      <c r="D155" s="2">
        <v>0.48</v>
      </c>
      <c r="E155" s="2">
        <v>0</v>
      </c>
      <c r="F155" s="2">
        <v>0</v>
      </c>
      <c r="G155" s="2">
        <v>0</v>
      </c>
      <c r="H155" s="2">
        <f t="shared" si="50"/>
        <v>0.80299999999999994</v>
      </c>
      <c r="I155" s="2">
        <f t="shared" si="51"/>
        <v>0.86099999999999999</v>
      </c>
      <c r="J155" s="2">
        <f t="shared" si="52"/>
        <v>0.47599999999999998</v>
      </c>
      <c r="K155" s="2">
        <f t="shared" si="53"/>
        <v>0</v>
      </c>
      <c r="L155" s="2">
        <f t="shared" si="54"/>
        <v>0</v>
      </c>
      <c r="M155" s="4">
        <f t="shared" si="55"/>
        <v>0</v>
      </c>
      <c r="N155" s="1">
        <f t="shared" si="56"/>
        <v>13.383333333333333</v>
      </c>
      <c r="O155" s="1">
        <f t="shared" si="57"/>
        <v>23.27027027027027</v>
      </c>
      <c r="P155" s="1">
        <f t="shared" si="58"/>
        <v>118.99999999999999</v>
      </c>
      <c r="Q155" s="1" t="e">
        <f t="shared" si="59"/>
        <v>#DIV/0!</v>
      </c>
      <c r="R155" s="1" t="e">
        <f t="shared" si="60"/>
        <v>#DIV/0!</v>
      </c>
      <c r="S155" s="1" t="e">
        <f t="shared" si="61"/>
        <v>#DIV/0!</v>
      </c>
    </row>
    <row r="156" spans="1:19">
      <c r="A156" t="s">
        <v>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f t="shared" si="50"/>
        <v>-0.06</v>
      </c>
      <c r="I156" s="2">
        <f t="shared" si="51"/>
        <v>-3.6999999999999998E-2</v>
      </c>
      <c r="J156" s="2">
        <f t="shared" si="52"/>
        <v>-4.0000000000000001E-3</v>
      </c>
      <c r="K156" s="2">
        <f t="shared" si="53"/>
        <v>0</v>
      </c>
      <c r="L156" s="2">
        <f t="shared" si="54"/>
        <v>0</v>
      </c>
      <c r="M156" s="4">
        <f t="shared" si="55"/>
        <v>0</v>
      </c>
      <c r="N156" s="1">
        <f t="shared" si="56"/>
        <v>-1</v>
      </c>
      <c r="O156" s="1">
        <f t="shared" si="57"/>
        <v>-1</v>
      </c>
      <c r="P156" s="1">
        <f t="shared" si="58"/>
        <v>-1</v>
      </c>
      <c r="Q156" s="1" t="e">
        <f t="shared" si="59"/>
        <v>#DIV/0!</v>
      </c>
      <c r="R156" s="1" t="e">
        <f t="shared" si="60"/>
        <v>#DIV/0!</v>
      </c>
      <c r="S156" s="1" t="e">
        <f t="shared" si="61"/>
        <v>#DIV/0!</v>
      </c>
    </row>
    <row r="157" spans="1:19">
      <c r="A157" t="s">
        <v>7</v>
      </c>
      <c r="B157" s="2">
        <v>0.95499999999999996</v>
      </c>
      <c r="C157" s="2">
        <v>0.95899999999999996</v>
      </c>
      <c r="D157" s="2">
        <v>0.60199999999999998</v>
      </c>
      <c r="E157" s="2">
        <v>0</v>
      </c>
      <c r="F157" s="2">
        <v>0</v>
      </c>
      <c r="G157" s="2">
        <v>0</v>
      </c>
      <c r="H157" s="2">
        <f t="shared" si="50"/>
        <v>0.89500000000000002</v>
      </c>
      <c r="I157" s="2">
        <f t="shared" si="51"/>
        <v>0.92199999999999993</v>
      </c>
      <c r="J157" s="2">
        <f t="shared" si="52"/>
        <v>0.59799999999999998</v>
      </c>
      <c r="K157" s="2">
        <f t="shared" si="53"/>
        <v>0</v>
      </c>
      <c r="L157" s="2">
        <f t="shared" si="54"/>
        <v>0</v>
      </c>
      <c r="M157" s="4">
        <f t="shared" si="55"/>
        <v>0</v>
      </c>
      <c r="N157" s="1">
        <f t="shared" si="56"/>
        <v>14.916666666666668</v>
      </c>
      <c r="O157" s="1">
        <f t="shared" si="57"/>
        <v>24.918918918918919</v>
      </c>
      <c r="P157" s="1">
        <f t="shared" si="58"/>
        <v>149.5</v>
      </c>
      <c r="Q157" s="1" t="e">
        <f t="shared" si="59"/>
        <v>#DIV/0!</v>
      </c>
      <c r="R157" s="1" t="e">
        <f t="shared" si="60"/>
        <v>#DIV/0!</v>
      </c>
      <c r="S157" s="1" t="e">
        <f t="shared" si="61"/>
        <v>#DIV/0!</v>
      </c>
    </row>
    <row r="158" spans="1:19">
      <c r="A158" t="s">
        <v>12</v>
      </c>
      <c r="B158" s="2">
        <v>0.98399999999999999</v>
      </c>
      <c r="C158" s="2">
        <v>0.99199999999999999</v>
      </c>
      <c r="D158" s="2">
        <v>0.68100000000000005</v>
      </c>
      <c r="E158" s="2">
        <v>0</v>
      </c>
      <c r="F158" s="2">
        <v>0</v>
      </c>
      <c r="G158" s="2">
        <v>0</v>
      </c>
      <c r="H158" s="2">
        <f t="shared" si="50"/>
        <v>0.92399999999999993</v>
      </c>
      <c r="I158" s="2">
        <f t="shared" si="51"/>
        <v>0.95499999999999996</v>
      </c>
      <c r="J158" s="2">
        <f t="shared" si="52"/>
        <v>0.67700000000000005</v>
      </c>
      <c r="K158" s="2">
        <f t="shared" si="53"/>
        <v>0</v>
      </c>
      <c r="L158" s="2">
        <f t="shared" si="54"/>
        <v>0</v>
      </c>
      <c r="M158" s="4">
        <f t="shared" si="55"/>
        <v>0</v>
      </c>
      <c r="N158" s="1">
        <f t="shared" si="56"/>
        <v>15.399999999999999</v>
      </c>
      <c r="O158" s="1">
        <f t="shared" si="57"/>
        <v>25.810810810810811</v>
      </c>
      <c r="P158" s="1">
        <f t="shared" si="58"/>
        <v>169.25</v>
      </c>
      <c r="Q158" s="1" t="e">
        <f t="shared" si="59"/>
        <v>#DIV/0!</v>
      </c>
      <c r="R158" s="1" t="e">
        <f t="shared" si="60"/>
        <v>#DIV/0!</v>
      </c>
      <c r="S158" s="1" t="e">
        <f t="shared" si="61"/>
        <v>#DIV/0!</v>
      </c>
    </row>
    <row r="159" spans="1:19">
      <c r="A159" t="s">
        <v>14</v>
      </c>
      <c r="B159" s="2">
        <v>0.90800000000000003</v>
      </c>
      <c r="C159" s="2">
        <v>0.92400000000000004</v>
      </c>
      <c r="D159" s="2">
        <v>0.50700000000000001</v>
      </c>
      <c r="E159" s="2">
        <v>0</v>
      </c>
      <c r="F159" s="2">
        <v>0</v>
      </c>
      <c r="G159" s="2">
        <v>0</v>
      </c>
      <c r="H159" s="2">
        <f t="shared" si="50"/>
        <v>0.84800000000000009</v>
      </c>
      <c r="I159" s="2">
        <f t="shared" si="51"/>
        <v>0.88700000000000001</v>
      </c>
      <c r="J159" s="2">
        <f t="shared" si="52"/>
        <v>0.503</v>
      </c>
      <c r="K159" s="2">
        <f t="shared" si="53"/>
        <v>0</v>
      </c>
      <c r="L159" s="2">
        <f t="shared" si="54"/>
        <v>0</v>
      </c>
      <c r="M159" s="4">
        <f t="shared" si="55"/>
        <v>0</v>
      </c>
      <c r="N159" s="1">
        <f t="shared" si="56"/>
        <v>14.133333333333335</v>
      </c>
      <c r="O159" s="1">
        <f t="shared" si="57"/>
        <v>23.972972972972975</v>
      </c>
      <c r="P159" s="1">
        <f t="shared" si="58"/>
        <v>125.75</v>
      </c>
      <c r="Q159" s="1" t="e">
        <f t="shared" si="59"/>
        <v>#DIV/0!</v>
      </c>
      <c r="R159" s="1" t="e">
        <f t="shared" si="60"/>
        <v>#DIV/0!</v>
      </c>
      <c r="S159" s="1" t="e">
        <f t="shared" si="61"/>
        <v>#DIV/0!</v>
      </c>
    </row>
    <row r="160" spans="1:19">
      <c r="A160" t="s">
        <v>16</v>
      </c>
      <c r="B160" s="2">
        <v>0.95699999999999996</v>
      </c>
      <c r="C160" s="2">
        <v>0.96399999999999997</v>
      </c>
      <c r="D160" s="2">
        <v>0.58599999999999997</v>
      </c>
      <c r="E160" s="2">
        <v>0</v>
      </c>
      <c r="F160" s="2">
        <v>0</v>
      </c>
      <c r="G160" s="2">
        <v>0</v>
      </c>
      <c r="H160" s="2">
        <f t="shared" si="50"/>
        <v>0.89700000000000002</v>
      </c>
      <c r="I160" s="2">
        <f t="shared" si="51"/>
        <v>0.92699999999999994</v>
      </c>
      <c r="J160" s="2">
        <f t="shared" si="52"/>
        <v>0.58199999999999996</v>
      </c>
      <c r="K160" s="2">
        <f t="shared" si="53"/>
        <v>0</v>
      </c>
      <c r="L160" s="2">
        <f t="shared" si="54"/>
        <v>0</v>
      </c>
      <c r="M160" s="4">
        <f t="shared" si="55"/>
        <v>0</v>
      </c>
      <c r="N160" s="1">
        <f t="shared" si="56"/>
        <v>14.950000000000001</v>
      </c>
      <c r="O160" s="1">
        <f t="shared" si="57"/>
        <v>25.054054054054053</v>
      </c>
      <c r="P160" s="1">
        <f t="shared" si="58"/>
        <v>145.5</v>
      </c>
      <c r="Q160" s="1" t="e">
        <f t="shared" si="59"/>
        <v>#DIV/0!</v>
      </c>
      <c r="R160" s="1" t="e">
        <f t="shared" si="60"/>
        <v>#DIV/0!</v>
      </c>
      <c r="S160" s="1" t="e">
        <f t="shared" si="61"/>
        <v>#DIV/0!</v>
      </c>
    </row>
    <row r="161" spans="1:19">
      <c r="A161" t="s">
        <v>18</v>
      </c>
      <c r="B161" s="2">
        <v>0.96899999999999997</v>
      </c>
      <c r="C161" s="2">
        <v>0.97099999999999997</v>
      </c>
      <c r="D161" s="2">
        <v>0.65300000000000002</v>
      </c>
      <c r="E161" s="2">
        <v>0</v>
      </c>
      <c r="F161" s="2">
        <v>0</v>
      </c>
      <c r="G161" s="2">
        <v>0</v>
      </c>
      <c r="H161" s="2">
        <f t="shared" si="50"/>
        <v>0.90900000000000003</v>
      </c>
      <c r="I161" s="2">
        <f t="shared" si="51"/>
        <v>0.93399999999999994</v>
      </c>
      <c r="J161" s="2">
        <f t="shared" si="52"/>
        <v>0.64900000000000002</v>
      </c>
      <c r="K161" s="2">
        <f t="shared" si="53"/>
        <v>0</v>
      </c>
      <c r="L161" s="2">
        <f t="shared" si="54"/>
        <v>0</v>
      </c>
      <c r="M161" s="4">
        <f t="shared" si="55"/>
        <v>0</v>
      </c>
      <c r="N161" s="1">
        <f t="shared" si="56"/>
        <v>15.15</v>
      </c>
      <c r="O161" s="1">
        <f t="shared" si="57"/>
        <v>25.243243243243242</v>
      </c>
      <c r="P161" s="1">
        <f t="shared" si="58"/>
        <v>162.25</v>
      </c>
      <c r="Q161" s="1" t="e">
        <f t="shared" si="59"/>
        <v>#DIV/0!</v>
      </c>
      <c r="R161" s="1" t="e">
        <f t="shared" si="60"/>
        <v>#DIV/0!</v>
      </c>
      <c r="S161" s="1" t="e">
        <f t="shared" si="61"/>
        <v>#DIV/0!</v>
      </c>
    </row>
    <row r="162" spans="1:19">
      <c r="A162" t="s">
        <v>20</v>
      </c>
      <c r="B162" s="2">
        <v>0.88700000000000001</v>
      </c>
      <c r="C162" s="2">
        <v>0.94</v>
      </c>
      <c r="D162" s="2">
        <v>0.47599999999999998</v>
      </c>
      <c r="E162" s="2">
        <v>0</v>
      </c>
      <c r="F162" s="2">
        <v>0</v>
      </c>
      <c r="G162" s="2">
        <v>0</v>
      </c>
      <c r="H162" s="2">
        <f t="shared" ref="H162:H193" si="62">B162-V$2</f>
        <v>0.82699999999999996</v>
      </c>
      <c r="I162" s="2">
        <f t="shared" ref="I162:I193" si="63">C162-W$2</f>
        <v>0.90299999999999991</v>
      </c>
      <c r="J162" s="2">
        <f t="shared" ref="J162:J193" si="64">D162-X$2</f>
        <v>0.47199999999999998</v>
      </c>
      <c r="K162" s="2">
        <f t="shared" ref="K162:K193" si="65">E162-Y$2</f>
        <v>0</v>
      </c>
      <c r="L162" s="2">
        <f t="shared" ref="L162:L193" si="66">F162-Z$2</f>
        <v>0</v>
      </c>
      <c r="M162" s="4">
        <f t="shared" ref="M162:M193" si="67">G162-AA$2</f>
        <v>0</v>
      </c>
      <c r="N162" s="1">
        <f t="shared" ref="N162:N193" si="68">(B162-V$2)/V$2</f>
        <v>13.783333333333333</v>
      </c>
      <c r="O162" s="1">
        <f t="shared" ref="O162:O193" si="69">(C162-W$2)/W$2</f>
        <v>24.405405405405403</v>
      </c>
      <c r="P162" s="1">
        <f t="shared" ref="P162:P193" si="70">(D162-X$2)/X$2</f>
        <v>117.99999999999999</v>
      </c>
      <c r="Q162" s="1" t="e">
        <f t="shared" ref="Q162:Q193" si="71">(E162-Y$2)/Y$2</f>
        <v>#DIV/0!</v>
      </c>
      <c r="R162" s="1" t="e">
        <f t="shared" ref="R162:R193" si="72">(F162-Z$2)/Z$2</f>
        <v>#DIV/0!</v>
      </c>
      <c r="S162" s="1" t="e">
        <f t="shared" ref="S162:S193" si="73">(G162-AA$2)/AA$2</f>
        <v>#DIV/0!</v>
      </c>
    </row>
    <row r="163" spans="1:19">
      <c r="A163" t="s">
        <v>21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f t="shared" si="62"/>
        <v>-0.06</v>
      </c>
      <c r="I163" s="2">
        <f t="shared" si="63"/>
        <v>-3.6999999999999998E-2</v>
      </c>
      <c r="J163" s="2">
        <f t="shared" si="64"/>
        <v>-4.0000000000000001E-3</v>
      </c>
      <c r="K163" s="2">
        <f t="shared" si="65"/>
        <v>0</v>
      </c>
      <c r="L163" s="2">
        <f t="shared" si="66"/>
        <v>0</v>
      </c>
      <c r="M163" s="4">
        <f t="shared" si="67"/>
        <v>0</v>
      </c>
      <c r="N163" s="1">
        <f t="shared" si="68"/>
        <v>-1</v>
      </c>
      <c r="O163" s="1">
        <f t="shared" si="69"/>
        <v>-1</v>
      </c>
      <c r="P163" s="1">
        <f t="shared" si="70"/>
        <v>-1</v>
      </c>
      <c r="Q163" s="1" t="e">
        <f t="shared" si="71"/>
        <v>#DIV/0!</v>
      </c>
      <c r="R163" s="1" t="e">
        <f t="shared" si="72"/>
        <v>#DIV/0!</v>
      </c>
      <c r="S163" s="1" t="e">
        <f t="shared" si="73"/>
        <v>#DIV/0!</v>
      </c>
    </row>
    <row r="164" spans="1:19">
      <c r="A164" t="s">
        <v>22</v>
      </c>
      <c r="B164" s="2">
        <v>0.95</v>
      </c>
      <c r="C164" s="2">
        <v>0.95499999999999996</v>
      </c>
      <c r="D164" s="2">
        <v>0.59299999999999997</v>
      </c>
      <c r="E164" s="2">
        <v>0</v>
      </c>
      <c r="F164" s="2">
        <v>0</v>
      </c>
      <c r="G164" s="2">
        <v>0</v>
      </c>
      <c r="H164" s="2">
        <f t="shared" si="62"/>
        <v>0.8899999999999999</v>
      </c>
      <c r="I164" s="2">
        <f t="shared" si="63"/>
        <v>0.91799999999999993</v>
      </c>
      <c r="J164" s="2">
        <f t="shared" si="64"/>
        <v>0.58899999999999997</v>
      </c>
      <c r="K164" s="2">
        <f t="shared" si="65"/>
        <v>0</v>
      </c>
      <c r="L164" s="2">
        <f t="shared" si="66"/>
        <v>0</v>
      </c>
      <c r="M164" s="4">
        <f t="shared" si="67"/>
        <v>0</v>
      </c>
      <c r="N164" s="1">
        <f t="shared" si="68"/>
        <v>14.833333333333332</v>
      </c>
      <c r="O164" s="1">
        <f t="shared" si="69"/>
        <v>24.810810810810811</v>
      </c>
      <c r="P164" s="1">
        <f t="shared" si="70"/>
        <v>147.25</v>
      </c>
      <c r="Q164" s="1" t="e">
        <f t="shared" si="71"/>
        <v>#DIV/0!</v>
      </c>
      <c r="R164" s="1" t="e">
        <f t="shared" si="72"/>
        <v>#DIV/0!</v>
      </c>
      <c r="S164" s="1" t="e">
        <f t="shared" si="73"/>
        <v>#DIV/0!</v>
      </c>
    </row>
    <row r="165" spans="1:19">
      <c r="A165" t="s">
        <v>24</v>
      </c>
      <c r="B165" s="2">
        <v>0.97699999999999998</v>
      </c>
      <c r="C165" s="2">
        <v>0.97899999999999998</v>
      </c>
      <c r="D165" s="2">
        <v>0.63500000000000001</v>
      </c>
      <c r="E165" s="2">
        <v>0</v>
      </c>
      <c r="F165" s="2">
        <v>0</v>
      </c>
      <c r="G165" s="2">
        <v>0</v>
      </c>
      <c r="H165" s="2">
        <f t="shared" si="62"/>
        <v>0.91700000000000004</v>
      </c>
      <c r="I165" s="2">
        <f t="shared" si="63"/>
        <v>0.94199999999999995</v>
      </c>
      <c r="J165" s="2">
        <f t="shared" si="64"/>
        <v>0.63100000000000001</v>
      </c>
      <c r="K165" s="2">
        <f t="shared" si="65"/>
        <v>0</v>
      </c>
      <c r="L165" s="2">
        <f t="shared" si="66"/>
        <v>0</v>
      </c>
      <c r="M165" s="4">
        <f t="shared" si="67"/>
        <v>0</v>
      </c>
      <c r="N165" s="1">
        <f t="shared" si="68"/>
        <v>15.283333333333335</v>
      </c>
      <c r="O165" s="1">
        <f t="shared" si="69"/>
        <v>25.45945945945946</v>
      </c>
      <c r="P165" s="1">
        <f t="shared" si="70"/>
        <v>157.75</v>
      </c>
      <c r="Q165" s="1" t="e">
        <f t="shared" si="71"/>
        <v>#DIV/0!</v>
      </c>
      <c r="R165" s="1" t="e">
        <f t="shared" si="72"/>
        <v>#DIV/0!</v>
      </c>
      <c r="S165" s="1" t="e">
        <f t="shared" si="73"/>
        <v>#DIV/0!</v>
      </c>
    </row>
    <row r="166" spans="1:19">
      <c r="A166" t="s">
        <v>26</v>
      </c>
      <c r="B166" s="2">
        <v>0.873</v>
      </c>
      <c r="C166" s="2">
        <v>0.90600000000000003</v>
      </c>
      <c r="D166" s="2">
        <v>0.45</v>
      </c>
      <c r="E166" s="2">
        <v>0</v>
      </c>
      <c r="F166" s="2">
        <v>0</v>
      </c>
      <c r="G166" s="2">
        <v>0</v>
      </c>
      <c r="H166" s="2">
        <f t="shared" si="62"/>
        <v>0.81299999999999994</v>
      </c>
      <c r="I166" s="2">
        <f t="shared" si="63"/>
        <v>0.86899999999999999</v>
      </c>
      <c r="J166" s="2">
        <f t="shared" si="64"/>
        <v>0.44600000000000001</v>
      </c>
      <c r="K166" s="2">
        <f t="shared" si="65"/>
        <v>0</v>
      </c>
      <c r="L166" s="2">
        <f t="shared" si="66"/>
        <v>0</v>
      </c>
      <c r="M166" s="4">
        <f t="shared" si="67"/>
        <v>0</v>
      </c>
      <c r="N166" s="1">
        <f t="shared" si="68"/>
        <v>13.549999999999999</v>
      </c>
      <c r="O166" s="1">
        <f t="shared" si="69"/>
        <v>23.486486486486488</v>
      </c>
      <c r="P166" s="1">
        <f t="shared" si="70"/>
        <v>111.5</v>
      </c>
      <c r="Q166" s="1" t="e">
        <f t="shared" si="71"/>
        <v>#DIV/0!</v>
      </c>
      <c r="R166" s="1" t="e">
        <f t="shared" si="72"/>
        <v>#DIV/0!</v>
      </c>
      <c r="S166" s="1" t="e">
        <f t="shared" si="73"/>
        <v>#DIV/0!</v>
      </c>
    </row>
    <row r="167" spans="1:19">
      <c r="A167" t="s">
        <v>27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f t="shared" si="62"/>
        <v>-0.06</v>
      </c>
      <c r="I167" s="2">
        <f t="shared" si="63"/>
        <v>-3.6999999999999998E-2</v>
      </c>
      <c r="J167" s="2">
        <f t="shared" si="64"/>
        <v>-4.0000000000000001E-3</v>
      </c>
      <c r="K167" s="2">
        <f t="shared" si="65"/>
        <v>0</v>
      </c>
      <c r="L167" s="2">
        <f t="shared" si="66"/>
        <v>0</v>
      </c>
      <c r="M167" s="4">
        <f t="shared" si="67"/>
        <v>0</v>
      </c>
      <c r="N167" s="1">
        <f t="shared" si="68"/>
        <v>-1</v>
      </c>
      <c r="O167" s="1">
        <f t="shared" si="69"/>
        <v>-1</v>
      </c>
      <c r="P167" s="1">
        <f t="shared" si="70"/>
        <v>-1</v>
      </c>
      <c r="Q167" s="1" t="e">
        <f t="shared" si="71"/>
        <v>#DIV/0!</v>
      </c>
      <c r="R167" s="1" t="e">
        <f t="shared" si="72"/>
        <v>#DIV/0!</v>
      </c>
      <c r="S167" s="1" t="e">
        <f t="shared" si="73"/>
        <v>#DIV/0!</v>
      </c>
    </row>
    <row r="168" spans="1:19">
      <c r="A168" t="s">
        <v>28</v>
      </c>
      <c r="B168" s="2">
        <v>0.96899999999999997</v>
      </c>
      <c r="C168" s="2">
        <v>0.97099999999999997</v>
      </c>
      <c r="D168" s="2">
        <v>0.55000000000000004</v>
      </c>
      <c r="E168" s="2">
        <v>0</v>
      </c>
      <c r="F168" s="2">
        <v>0</v>
      </c>
      <c r="G168" s="2">
        <v>0</v>
      </c>
      <c r="H168" s="2">
        <f t="shared" si="62"/>
        <v>0.90900000000000003</v>
      </c>
      <c r="I168" s="2">
        <f t="shared" si="63"/>
        <v>0.93399999999999994</v>
      </c>
      <c r="J168" s="2">
        <f t="shared" si="64"/>
        <v>0.54600000000000004</v>
      </c>
      <c r="K168" s="2">
        <f t="shared" si="65"/>
        <v>0</v>
      </c>
      <c r="L168" s="2">
        <f t="shared" si="66"/>
        <v>0</v>
      </c>
      <c r="M168" s="4">
        <f t="shared" si="67"/>
        <v>0</v>
      </c>
      <c r="N168" s="1">
        <f t="shared" si="68"/>
        <v>15.15</v>
      </c>
      <c r="O168" s="1">
        <f t="shared" si="69"/>
        <v>25.243243243243242</v>
      </c>
      <c r="P168" s="1">
        <f t="shared" si="70"/>
        <v>136.5</v>
      </c>
      <c r="Q168" s="1" t="e">
        <f t="shared" si="71"/>
        <v>#DIV/0!</v>
      </c>
      <c r="R168" s="1" t="e">
        <f t="shared" si="72"/>
        <v>#DIV/0!</v>
      </c>
      <c r="S168" s="1" t="e">
        <f t="shared" si="73"/>
        <v>#DIV/0!</v>
      </c>
    </row>
    <row r="169" spans="1:19">
      <c r="A169" t="s">
        <v>30</v>
      </c>
      <c r="B169" s="2">
        <v>0.45300000000000001</v>
      </c>
      <c r="C169" s="2">
        <v>0.41099999999999998</v>
      </c>
      <c r="D169" s="2">
        <v>0.16700000000000001</v>
      </c>
      <c r="E169" s="2">
        <v>0</v>
      </c>
      <c r="F169" s="2">
        <v>0</v>
      </c>
      <c r="G169" s="2">
        <v>0</v>
      </c>
      <c r="H169" s="2">
        <f t="shared" si="62"/>
        <v>0.39300000000000002</v>
      </c>
      <c r="I169" s="2">
        <f t="shared" si="63"/>
        <v>0.374</v>
      </c>
      <c r="J169" s="2">
        <f t="shared" si="64"/>
        <v>0.16300000000000001</v>
      </c>
      <c r="K169" s="2">
        <f t="shared" si="65"/>
        <v>0</v>
      </c>
      <c r="L169" s="2">
        <f t="shared" si="66"/>
        <v>0</v>
      </c>
      <c r="M169" s="4">
        <f t="shared" si="67"/>
        <v>0</v>
      </c>
      <c r="N169" s="1">
        <f t="shared" si="68"/>
        <v>6.5500000000000007</v>
      </c>
      <c r="O169" s="1">
        <f t="shared" si="69"/>
        <v>10.108108108108109</v>
      </c>
      <c r="P169" s="1">
        <f t="shared" si="70"/>
        <v>40.75</v>
      </c>
      <c r="Q169" s="1" t="e">
        <f t="shared" si="71"/>
        <v>#DIV/0!</v>
      </c>
      <c r="R169" s="1" t="e">
        <f t="shared" si="72"/>
        <v>#DIV/0!</v>
      </c>
      <c r="S169" s="1" t="e">
        <f t="shared" si="73"/>
        <v>#DIV/0!</v>
      </c>
    </row>
    <row r="170" spans="1:19">
      <c r="A170" t="s">
        <v>32</v>
      </c>
      <c r="B170" s="2">
        <v>0.81599999999999995</v>
      </c>
      <c r="C170" s="2">
        <v>0.88700000000000001</v>
      </c>
      <c r="D170" s="2">
        <v>0.45300000000000001</v>
      </c>
      <c r="E170" s="2">
        <v>0</v>
      </c>
      <c r="F170" s="2">
        <v>0</v>
      </c>
      <c r="G170" s="2">
        <v>0</v>
      </c>
      <c r="H170" s="2">
        <f t="shared" si="62"/>
        <v>0.75600000000000001</v>
      </c>
      <c r="I170" s="2">
        <f t="shared" si="63"/>
        <v>0.85</v>
      </c>
      <c r="J170" s="2">
        <f t="shared" si="64"/>
        <v>0.44900000000000001</v>
      </c>
      <c r="K170" s="2">
        <f t="shared" si="65"/>
        <v>0</v>
      </c>
      <c r="L170" s="2">
        <f t="shared" si="66"/>
        <v>0</v>
      </c>
      <c r="M170" s="4">
        <f t="shared" si="67"/>
        <v>0</v>
      </c>
      <c r="N170" s="1">
        <f t="shared" si="68"/>
        <v>12.600000000000001</v>
      </c>
      <c r="O170" s="1">
        <f t="shared" si="69"/>
        <v>22.972972972972972</v>
      </c>
      <c r="P170" s="1">
        <f t="shared" si="70"/>
        <v>112.25</v>
      </c>
      <c r="Q170" s="1" t="e">
        <f t="shared" si="71"/>
        <v>#DIV/0!</v>
      </c>
      <c r="R170" s="1" t="e">
        <f t="shared" si="72"/>
        <v>#DIV/0!</v>
      </c>
      <c r="S170" s="1" t="e">
        <f t="shared" si="73"/>
        <v>#DIV/0!</v>
      </c>
    </row>
    <row r="171" spans="1:19">
      <c r="A171" t="s">
        <v>33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f t="shared" si="62"/>
        <v>-0.06</v>
      </c>
      <c r="I171" s="2">
        <f t="shared" si="63"/>
        <v>-3.6999999999999998E-2</v>
      </c>
      <c r="J171" s="2">
        <f t="shared" si="64"/>
        <v>-4.0000000000000001E-3</v>
      </c>
      <c r="K171" s="2">
        <f t="shared" si="65"/>
        <v>0</v>
      </c>
      <c r="L171" s="2">
        <f t="shared" si="66"/>
        <v>0</v>
      </c>
      <c r="M171" s="4">
        <f t="shared" si="67"/>
        <v>0</v>
      </c>
      <c r="N171" s="1">
        <f t="shared" si="68"/>
        <v>-1</v>
      </c>
      <c r="O171" s="1">
        <f t="shared" si="69"/>
        <v>-1</v>
      </c>
      <c r="P171" s="1">
        <f t="shared" si="70"/>
        <v>-1</v>
      </c>
      <c r="Q171" s="1" t="e">
        <f t="shared" si="71"/>
        <v>#DIV/0!</v>
      </c>
      <c r="R171" s="1" t="e">
        <f t="shared" si="72"/>
        <v>#DIV/0!</v>
      </c>
      <c r="S171" s="1" t="e">
        <f t="shared" si="73"/>
        <v>#DIV/0!</v>
      </c>
    </row>
    <row r="172" spans="1:19">
      <c r="A172" t="s">
        <v>34</v>
      </c>
      <c r="B172" s="2">
        <v>0.72</v>
      </c>
      <c r="C172" s="2">
        <v>0.71</v>
      </c>
      <c r="D172" s="2">
        <v>0.307</v>
      </c>
      <c r="E172" s="2">
        <v>0</v>
      </c>
      <c r="F172" s="2">
        <v>0</v>
      </c>
      <c r="G172" s="2">
        <v>0</v>
      </c>
      <c r="H172" s="2">
        <f t="shared" si="62"/>
        <v>0.65999999999999992</v>
      </c>
      <c r="I172" s="2">
        <f t="shared" si="63"/>
        <v>0.67299999999999993</v>
      </c>
      <c r="J172" s="2">
        <f t="shared" si="64"/>
        <v>0.30299999999999999</v>
      </c>
      <c r="K172" s="2">
        <f t="shared" si="65"/>
        <v>0</v>
      </c>
      <c r="L172" s="2">
        <f t="shared" si="66"/>
        <v>0</v>
      </c>
      <c r="M172" s="4">
        <f t="shared" si="67"/>
        <v>0</v>
      </c>
      <c r="N172" s="1">
        <f t="shared" si="68"/>
        <v>10.999999999999998</v>
      </c>
      <c r="O172" s="1">
        <f t="shared" si="69"/>
        <v>18.189189189189189</v>
      </c>
      <c r="P172" s="1">
        <f t="shared" si="70"/>
        <v>75.75</v>
      </c>
      <c r="Q172" s="1" t="e">
        <f t="shared" si="71"/>
        <v>#DIV/0!</v>
      </c>
      <c r="R172" s="1" t="e">
        <f t="shared" si="72"/>
        <v>#DIV/0!</v>
      </c>
      <c r="S172" s="1" t="e">
        <f t="shared" si="73"/>
        <v>#DIV/0!</v>
      </c>
    </row>
    <row r="173" spans="1:19">
      <c r="A173" t="s">
        <v>36</v>
      </c>
      <c r="B173" s="2">
        <v>0.51100000000000001</v>
      </c>
      <c r="C173" s="2">
        <v>0.46899999999999997</v>
      </c>
      <c r="D173" s="2">
        <v>0.19800000000000001</v>
      </c>
      <c r="E173" s="2">
        <v>0</v>
      </c>
      <c r="F173" s="2">
        <v>0</v>
      </c>
      <c r="G173" s="2">
        <v>0</v>
      </c>
      <c r="H173" s="2">
        <f t="shared" si="62"/>
        <v>0.45100000000000001</v>
      </c>
      <c r="I173" s="2">
        <f t="shared" si="63"/>
        <v>0.432</v>
      </c>
      <c r="J173" s="2">
        <f t="shared" si="64"/>
        <v>0.19400000000000001</v>
      </c>
      <c r="K173" s="2">
        <f t="shared" si="65"/>
        <v>0</v>
      </c>
      <c r="L173" s="2">
        <f t="shared" si="66"/>
        <v>0</v>
      </c>
      <c r="M173" s="4">
        <f t="shared" si="67"/>
        <v>0</v>
      </c>
      <c r="N173" s="1">
        <f t="shared" si="68"/>
        <v>7.5166666666666675</v>
      </c>
      <c r="O173" s="1">
        <f t="shared" si="69"/>
        <v>11.675675675675675</v>
      </c>
      <c r="P173" s="1">
        <f t="shared" si="70"/>
        <v>48.5</v>
      </c>
      <c r="Q173" s="1" t="e">
        <f t="shared" si="71"/>
        <v>#DIV/0!</v>
      </c>
      <c r="R173" s="1" t="e">
        <f t="shared" si="72"/>
        <v>#DIV/0!</v>
      </c>
      <c r="S173" s="1" t="e">
        <f t="shared" si="73"/>
        <v>#DIV/0!</v>
      </c>
    </row>
    <row r="174" spans="1:19">
      <c r="A174" t="s">
        <v>38</v>
      </c>
      <c r="B174" s="2">
        <v>0.74299999999999999</v>
      </c>
      <c r="C174" s="2">
        <v>0.79100000000000004</v>
      </c>
      <c r="D174" s="2">
        <v>0.35699999999999998</v>
      </c>
      <c r="E174" s="2">
        <v>0</v>
      </c>
      <c r="F174" s="2">
        <v>0</v>
      </c>
      <c r="G174" s="2">
        <v>0</v>
      </c>
      <c r="H174" s="2">
        <f t="shared" si="62"/>
        <v>0.68300000000000005</v>
      </c>
      <c r="I174" s="2">
        <f t="shared" si="63"/>
        <v>0.754</v>
      </c>
      <c r="J174" s="2">
        <f t="shared" si="64"/>
        <v>0.35299999999999998</v>
      </c>
      <c r="K174" s="2">
        <f t="shared" si="65"/>
        <v>0</v>
      </c>
      <c r="L174" s="2">
        <f t="shared" si="66"/>
        <v>0</v>
      </c>
      <c r="M174" s="4">
        <f t="shared" si="67"/>
        <v>0</v>
      </c>
      <c r="N174" s="1">
        <f t="shared" si="68"/>
        <v>11.383333333333335</v>
      </c>
      <c r="O174" s="1">
        <f t="shared" si="69"/>
        <v>20.378378378378379</v>
      </c>
      <c r="P174" s="1">
        <f t="shared" si="70"/>
        <v>88.25</v>
      </c>
      <c r="Q174" s="1" t="e">
        <f t="shared" si="71"/>
        <v>#DIV/0!</v>
      </c>
      <c r="R174" s="1" t="e">
        <f t="shared" si="72"/>
        <v>#DIV/0!</v>
      </c>
      <c r="S174" s="1" t="e">
        <f t="shared" si="73"/>
        <v>#DIV/0!</v>
      </c>
    </row>
    <row r="175" spans="1:19">
      <c r="A175" t="s">
        <v>40</v>
      </c>
      <c r="B175" s="2">
        <v>0.68500000000000005</v>
      </c>
      <c r="C175" s="2">
        <v>0.64900000000000002</v>
      </c>
      <c r="D175" s="2">
        <v>0.26900000000000002</v>
      </c>
      <c r="E175" s="2">
        <v>0</v>
      </c>
      <c r="F175" s="2">
        <v>0</v>
      </c>
      <c r="G175" s="2">
        <v>0</v>
      </c>
      <c r="H175" s="2">
        <f t="shared" si="62"/>
        <v>0.625</v>
      </c>
      <c r="I175" s="2">
        <f t="shared" si="63"/>
        <v>0.61199999999999999</v>
      </c>
      <c r="J175" s="2">
        <f t="shared" si="64"/>
        <v>0.26500000000000001</v>
      </c>
      <c r="K175" s="2">
        <f t="shared" si="65"/>
        <v>0</v>
      </c>
      <c r="L175" s="2">
        <f t="shared" si="66"/>
        <v>0</v>
      </c>
      <c r="M175" s="4">
        <f t="shared" si="67"/>
        <v>0</v>
      </c>
      <c r="N175" s="1">
        <f t="shared" si="68"/>
        <v>10.416666666666668</v>
      </c>
      <c r="O175" s="1">
        <f t="shared" si="69"/>
        <v>16.54054054054054</v>
      </c>
      <c r="P175" s="1">
        <f t="shared" si="70"/>
        <v>66.25</v>
      </c>
      <c r="Q175" s="1" t="e">
        <f t="shared" si="71"/>
        <v>#DIV/0!</v>
      </c>
      <c r="R175" s="1" t="e">
        <f t="shared" si="72"/>
        <v>#DIV/0!</v>
      </c>
      <c r="S175" s="1" t="e">
        <f t="shared" si="73"/>
        <v>#DIV/0!</v>
      </c>
    </row>
    <row r="176" spans="1:19">
      <c r="A176" t="s">
        <v>75</v>
      </c>
      <c r="B176" s="2">
        <v>0.33200000000000002</v>
      </c>
      <c r="C176" s="2">
        <v>0.26100000000000001</v>
      </c>
      <c r="D176" s="2">
        <v>7.6999999999999999E-2</v>
      </c>
      <c r="E176" s="2">
        <v>0</v>
      </c>
      <c r="F176" s="2">
        <v>0</v>
      </c>
      <c r="G176" s="2">
        <v>0</v>
      </c>
      <c r="H176" s="2">
        <f t="shared" si="62"/>
        <v>0.27200000000000002</v>
      </c>
      <c r="I176" s="2">
        <f t="shared" si="63"/>
        <v>0.224</v>
      </c>
      <c r="J176" s="2">
        <f t="shared" si="64"/>
        <v>7.2999999999999995E-2</v>
      </c>
      <c r="K176" s="2">
        <f t="shared" si="65"/>
        <v>0</v>
      </c>
      <c r="L176" s="2">
        <f t="shared" si="66"/>
        <v>0</v>
      </c>
      <c r="M176" s="4">
        <f t="shared" si="67"/>
        <v>0</v>
      </c>
      <c r="N176" s="1">
        <f t="shared" si="68"/>
        <v>4.5333333333333341</v>
      </c>
      <c r="O176" s="1">
        <f t="shared" si="69"/>
        <v>6.0540540540540544</v>
      </c>
      <c r="P176" s="1">
        <f t="shared" si="70"/>
        <v>18.25</v>
      </c>
      <c r="Q176" s="1" t="e">
        <f t="shared" si="71"/>
        <v>#DIV/0!</v>
      </c>
      <c r="R176" s="1" t="e">
        <f t="shared" si="72"/>
        <v>#DIV/0!</v>
      </c>
      <c r="S176" s="1" t="e">
        <f t="shared" si="73"/>
        <v>#DIV/0!</v>
      </c>
    </row>
    <row r="177" spans="1:19">
      <c r="A177" t="s">
        <v>74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f t="shared" si="62"/>
        <v>-0.06</v>
      </c>
      <c r="I177" s="2">
        <f t="shared" si="63"/>
        <v>-3.6999999999999998E-2</v>
      </c>
      <c r="J177" s="2">
        <f t="shared" si="64"/>
        <v>-4.0000000000000001E-3</v>
      </c>
      <c r="K177" s="2">
        <f t="shared" si="65"/>
        <v>0</v>
      </c>
      <c r="L177" s="2">
        <f t="shared" si="66"/>
        <v>0</v>
      </c>
      <c r="M177" s="4">
        <f t="shared" si="67"/>
        <v>0</v>
      </c>
      <c r="N177" s="1">
        <f t="shared" si="68"/>
        <v>-1</v>
      </c>
      <c r="O177" s="1">
        <f t="shared" si="69"/>
        <v>-1</v>
      </c>
      <c r="P177" s="1">
        <f t="shared" si="70"/>
        <v>-1</v>
      </c>
      <c r="Q177" s="1" t="e">
        <f t="shared" si="71"/>
        <v>#DIV/0!</v>
      </c>
      <c r="R177" s="1" t="e">
        <f t="shared" si="72"/>
        <v>#DIV/0!</v>
      </c>
      <c r="S177" s="1" t="e">
        <f t="shared" si="73"/>
        <v>#DIV/0!</v>
      </c>
    </row>
    <row r="178" spans="1:19">
      <c r="A178" t="s">
        <v>79</v>
      </c>
      <c r="B178" s="2">
        <v>0.33200000000000002</v>
      </c>
      <c r="C178" s="2">
        <v>0.26100000000000001</v>
      </c>
      <c r="D178" s="2">
        <v>7.6999999999999999E-2</v>
      </c>
      <c r="E178" s="2">
        <v>0</v>
      </c>
      <c r="F178" s="2">
        <v>0</v>
      </c>
      <c r="G178" s="2">
        <v>0</v>
      </c>
      <c r="H178" s="2">
        <f t="shared" si="62"/>
        <v>0.27200000000000002</v>
      </c>
      <c r="I178" s="2">
        <f t="shared" si="63"/>
        <v>0.224</v>
      </c>
      <c r="J178" s="2">
        <f t="shared" si="64"/>
        <v>7.2999999999999995E-2</v>
      </c>
      <c r="K178" s="2">
        <f t="shared" si="65"/>
        <v>0</v>
      </c>
      <c r="L178" s="2">
        <f t="shared" si="66"/>
        <v>0</v>
      </c>
      <c r="M178" s="4">
        <f t="shared" si="67"/>
        <v>0</v>
      </c>
      <c r="N178" s="1">
        <f t="shared" si="68"/>
        <v>4.5333333333333341</v>
      </c>
      <c r="O178" s="1">
        <f t="shared" si="69"/>
        <v>6.0540540540540544</v>
      </c>
      <c r="P178" s="1">
        <f t="shared" si="70"/>
        <v>18.25</v>
      </c>
      <c r="Q178" s="1" t="e">
        <f t="shared" si="71"/>
        <v>#DIV/0!</v>
      </c>
      <c r="R178" s="1" t="e">
        <f t="shared" si="72"/>
        <v>#DIV/0!</v>
      </c>
      <c r="S178" s="1" t="e">
        <f t="shared" si="73"/>
        <v>#DIV/0!</v>
      </c>
    </row>
    <row r="179" spans="1:19">
      <c r="A179" t="s">
        <v>78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f t="shared" si="62"/>
        <v>-0.06</v>
      </c>
      <c r="I179" s="2">
        <f t="shared" si="63"/>
        <v>-3.6999999999999998E-2</v>
      </c>
      <c r="J179" s="2">
        <f t="shared" si="64"/>
        <v>-4.0000000000000001E-3</v>
      </c>
      <c r="K179" s="2">
        <f t="shared" si="65"/>
        <v>0</v>
      </c>
      <c r="L179" s="2">
        <f t="shared" si="66"/>
        <v>0</v>
      </c>
      <c r="M179" s="4">
        <f t="shared" si="67"/>
        <v>0</v>
      </c>
      <c r="N179" s="1">
        <f t="shared" si="68"/>
        <v>-1</v>
      </c>
      <c r="O179" s="1">
        <f t="shared" si="69"/>
        <v>-1</v>
      </c>
      <c r="P179" s="1">
        <f t="shared" si="70"/>
        <v>-1</v>
      </c>
      <c r="Q179" s="1" t="e">
        <f t="shared" si="71"/>
        <v>#DIV/0!</v>
      </c>
      <c r="R179" s="1" t="e">
        <f t="shared" si="72"/>
        <v>#DIV/0!</v>
      </c>
      <c r="S179" s="1" t="e">
        <f t="shared" si="73"/>
        <v>#DIV/0!</v>
      </c>
    </row>
    <row r="180" spans="1:19">
      <c r="A180" t="s">
        <v>83</v>
      </c>
      <c r="B180" s="2">
        <v>4.0000000000000001E-3</v>
      </c>
      <c r="C180" s="2">
        <v>2.5000000000000001E-2</v>
      </c>
      <c r="D180" s="2">
        <v>7.0000000000000001E-3</v>
      </c>
      <c r="E180" s="2">
        <v>0</v>
      </c>
      <c r="F180" s="2">
        <v>0</v>
      </c>
      <c r="G180" s="2">
        <v>0</v>
      </c>
      <c r="H180" s="2">
        <f t="shared" si="62"/>
        <v>-5.5999999999999994E-2</v>
      </c>
      <c r="I180" s="2">
        <f t="shared" si="63"/>
        <v>-1.1999999999999997E-2</v>
      </c>
      <c r="J180" s="2">
        <f t="shared" si="64"/>
        <v>3.0000000000000001E-3</v>
      </c>
      <c r="K180" s="2">
        <f t="shared" si="65"/>
        <v>0</v>
      </c>
      <c r="L180" s="2">
        <f t="shared" si="66"/>
        <v>0</v>
      </c>
      <c r="M180" s="4">
        <f t="shared" si="67"/>
        <v>0</v>
      </c>
      <c r="N180" s="1">
        <f t="shared" si="68"/>
        <v>-0.93333333333333324</v>
      </c>
      <c r="O180" s="1">
        <f t="shared" si="69"/>
        <v>-0.32432432432432423</v>
      </c>
      <c r="P180" s="1">
        <f t="shared" si="70"/>
        <v>0.75</v>
      </c>
      <c r="Q180" s="1" t="e">
        <f t="shared" si="71"/>
        <v>#DIV/0!</v>
      </c>
      <c r="R180" s="1" t="e">
        <f t="shared" si="72"/>
        <v>#DIV/0!</v>
      </c>
      <c r="S180" s="1" t="e">
        <f t="shared" si="73"/>
        <v>#DIV/0!</v>
      </c>
    </row>
    <row r="181" spans="1:19">
      <c r="A181" t="s">
        <v>82</v>
      </c>
      <c r="B181" s="2">
        <v>2E-3</v>
      </c>
      <c r="C181" s="2">
        <v>1E-3</v>
      </c>
      <c r="D181" s="2">
        <v>0</v>
      </c>
      <c r="E181" s="2">
        <v>0</v>
      </c>
      <c r="F181" s="2">
        <v>0</v>
      </c>
      <c r="G181" s="2">
        <v>0</v>
      </c>
      <c r="H181" s="2">
        <f t="shared" si="62"/>
        <v>-5.7999999999999996E-2</v>
      </c>
      <c r="I181" s="2">
        <f t="shared" si="63"/>
        <v>-3.5999999999999997E-2</v>
      </c>
      <c r="J181" s="2">
        <f t="shared" si="64"/>
        <v>-4.0000000000000001E-3</v>
      </c>
      <c r="K181" s="2">
        <f t="shared" si="65"/>
        <v>0</v>
      </c>
      <c r="L181" s="2">
        <f t="shared" si="66"/>
        <v>0</v>
      </c>
      <c r="M181" s="4">
        <f t="shared" si="67"/>
        <v>0</v>
      </c>
      <c r="N181" s="1">
        <f t="shared" si="68"/>
        <v>-0.96666666666666667</v>
      </c>
      <c r="O181" s="1">
        <f t="shared" si="69"/>
        <v>-0.97297297297297292</v>
      </c>
      <c r="P181" s="1">
        <f t="shared" si="70"/>
        <v>-1</v>
      </c>
      <c r="Q181" s="1" t="e">
        <f t="shared" si="71"/>
        <v>#DIV/0!</v>
      </c>
      <c r="R181" s="1" t="e">
        <f t="shared" si="72"/>
        <v>#DIV/0!</v>
      </c>
      <c r="S181" s="1" t="e">
        <f t="shared" si="73"/>
        <v>#DIV/0!</v>
      </c>
    </row>
    <row r="182" spans="1:19">
      <c r="A182" t="s">
        <v>87</v>
      </c>
      <c r="B182" s="2">
        <v>4.0000000000000001E-3</v>
      </c>
      <c r="C182" s="2">
        <v>2.5000000000000001E-2</v>
      </c>
      <c r="D182" s="2">
        <v>7.0000000000000001E-3</v>
      </c>
      <c r="E182" s="2">
        <v>0</v>
      </c>
      <c r="F182" s="2">
        <v>0</v>
      </c>
      <c r="G182" s="2">
        <v>0</v>
      </c>
      <c r="H182" s="2">
        <f t="shared" si="62"/>
        <v>-5.5999999999999994E-2</v>
      </c>
      <c r="I182" s="2">
        <f t="shared" si="63"/>
        <v>-1.1999999999999997E-2</v>
      </c>
      <c r="J182" s="2">
        <f t="shared" si="64"/>
        <v>3.0000000000000001E-3</v>
      </c>
      <c r="K182" s="2">
        <f t="shared" si="65"/>
        <v>0</v>
      </c>
      <c r="L182" s="2">
        <f t="shared" si="66"/>
        <v>0</v>
      </c>
      <c r="M182" s="4">
        <f t="shared" si="67"/>
        <v>0</v>
      </c>
      <c r="N182" s="1">
        <f t="shared" si="68"/>
        <v>-0.93333333333333324</v>
      </c>
      <c r="O182" s="1">
        <f t="shared" si="69"/>
        <v>-0.32432432432432423</v>
      </c>
      <c r="P182" s="1">
        <f t="shared" si="70"/>
        <v>0.75</v>
      </c>
      <c r="Q182" s="1" t="e">
        <f t="shared" si="71"/>
        <v>#DIV/0!</v>
      </c>
      <c r="R182" s="1" t="e">
        <f t="shared" si="72"/>
        <v>#DIV/0!</v>
      </c>
      <c r="S182" s="1" t="e">
        <f t="shared" si="73"/>
        <v>#DIV/0!</v>
      </c>
    </row>
    <row r="183" spans="1:19">
      <c r="A183" t="s">
        <v>86</v>
      </c>
      <c r="B183" s="2">
        <v>2E-3</v>
      </c>
      <c r="C183" s="2">
        <v>1E-3</v>
      </c>
      <c r="D183" s="2">
        <v>0</v>
      </c>
      <c r="E183" s="2">
        <v>0</v>
      </c>
      <c r="F183" s="2">
        <v>0</v>
      </c>
      <c r="G183" s="2">
        <v>0</v>
      </c>
      <c r="H183" s="2">
        <f t="shared" si="62"/>
        <v>-5.7999999999999996E-2</v>
      </c>
      <c r="I183" s="2">
        <f t="shared" si="63"/>
        <v>-3.5999999999999997E-2</v>
      </c>
      <c r="J183" s="2">
        <f t="shared" si="64"/>
        <v>-4.0000000000000001E-3</v>
      </c>
      <c r="K183" s="2">
        <f t="shared" si="65"/>
        <v>0</v>
      </c>
      <c r="L183" s="2">
        <f t="shared" si="66"/>
        <v>0</v>
      </c>
      <c r="M183" s="4">
        <f t="shared" si="67"/>
        <v>0</v>
      </c>
      <c r="N183" s="1">
        <f t="shared" si="68"/>
        <v>-0.96666666666666667</v>
      </c>
      <c r="O183" s="1">
        <f t="shared" si="69"/>
        <v>-0.97297297297297292</v>
      </c>
      <c r="P183" s="1">
        <f t="shared" si="70"/>
        <v>-1</v>
      </c>
      <c r="Q183" s="1" t="e">
        <f t="shared" si="71"/>
        <v>#DIV/0!</v>
      </c>
      <c r="R183" s="1" t="e">
        <f t="shared" si="72"/>
        <v>#DIV/0!</v>
      </c>
      <c r="S183" s="1" t="e">
        <f t="shared" si="73"/>
        <v>#DIV/0!</v>
      </c>
    </row>
    <row r="184" spans="1:19">
      <c r="A184" t="s">
        <v>91</v>
      </c>
      <c r="B184" s="2">
        <v>4.0000000000000001E-3</v>
      </c>
      <c r="C184" s="2">
        <v>2.5000000000000001E-2</v>
      </c>
      <c r="D184" s="2">
        <v>7.0000000000000001E-3</v>
      </c>
      <c r="E184" s="2">
        <v>0</v>
      </c>
      <c r="F184" s="2">
        <v>0</v>
      </c>
      <c r="G184" s="2">
        <v>0</v>
      </c>
      <c r="H184" s="2">
        <f t="shared" si="62"/>
        <v>-5.5999999999999994E-2</v>
      </c>
      <c r="I184" s="2">
        <f t="shared" si="63"/>
        <v>-1.1999999999999997E-2</v>
      </c>
      <c r="J184" s="2">
        <f t="shared" si="64"/>
        <v>3.0000000000000001E-3</v>
      </c>
      <c r="K184" s="2">
        <f t="shared" si="65"/>
        <v>0</v>
      </c>
      <c r="L184" s="2">
        <f t="shared" si="66"/>
        <v>0</v>
      </c>
      <c r="M184" s="4">
        <f t="shared" si="67"/>
        <v>0</v>
      </c>
      <c r="N184" s="1">
        <f t="shared" si="68"/>
        <v>-0.93333333333333324</v>
      </c>
      <c r="O184" s="1">
        <f t="shared" si="69"/>
        <v>-0.32432432432432423</v>
      </c>
      <c r="P184" s="1">
        <f t="shared" si="70"/>
        <v>0.75</v>
      </c>
      <c r="Q184" s="1" t="e">
        <f t="shared" si="71"/>
        <v>#DIV/0!</v>
      </c>
      <c r="R184" s="1" t="e">
        <f t="shared" si="72"/>
        <v>#DIV/0!</v>
      </c>
      <c r="S184" s="1" t="e">
        <f t="shared" si="73"/>
        <v>#DIV/0!</v>
      </c>
    </row>
    <row r="185" spans="1:19">
      <c r="A185" t="s">
        <v>90</v>
      </c>
      <c r="B185" s="2">
        <v>2E-3</v>
      </c>
      <c r="C185" s="2">
        <v>1E-3</v>
      </c>
      <c r="D185" s="2">
        <v>0</v>
      </c>
      <c r="E185" s="2">
        <v>0</v>
      </c>
      <c r="F185" s="2">
        <v>0</v>
      </c>
      <c r="G185" s="2">
        <v>0</v>
      </c>
      <c r="H185" s="2">
        <f t="shared" si="62"/>
        <v>-5.7999999999999996E-2</v>
      </c>
      <c r="I185" s="2">
        <f t="shared" si="63"/>
        <v>-3.5999999999999997E-2</v>
      </c>
      <c r="J185" s="2">
        <f t="shared" si="64"/>
        <v>-4.0000000000000001E-3</v>
      </c>
      <c r="K185" s="2">
        <f t="shared" si="65"/>
        <v>0</v>
      </c>
      <c r="L185" s="2">
        <f t="shared" si="66"/>
        <v>0</v>
      </c>
      <c r="M185" s="4">
        <f t="shared" si="67"/>
        <v>0</v>
      </c>
      <c r="N185" s="1">
        <f t="shared" si="68"/>
        <v>-0.96666666666666667</v>
      </c>
      <c r="O185" s="1">
        <f t="shared" si="69"/>
        <v>-0.97297297297297292</v>
      </c>
      <c r="P185" s="1">
        <f t="shared" si="70"/>
        <v>-1</v>
      </c>
      <c r="Q185" s="1" t="e">
        <f t="shared" si="71"/>
        <v>#DIV/0!</v>
      </c>
      <c r="R185" s="1" t="e">
        <f t="shared" si="72"/>
        <v>#DIV/0!</v>
      </c>
      <c r="S185" s="1" t="e">
        <f t="shared" si="73"/>
        <v>#DIV/0!</v>
      </c>
    </row>
    <row r="186" spans="1:19">
      <c r="A186" t="s">
        <v>95</v>
      </c>
      <c r="B186" s="2">
        <v>2E-3</v>
      </c>
      <c r="C186" s="2">
        <v>1E-3</v>
      </c>
      <c r="D186" s="2">
        <v>0</v>
      </c>
      <c r="E186" s="2">
        <v>0</v>
      </c>
      <c r="F186" s="2">
        <v>0</v>
      </c>
      <c r="G186" s="2">
        <v>0</v>
      </c>
      <c r="H186" s="2">
        <f t="shared" si="62"/>
        <v>-5.7999999999999996E-2</v>
      </c>
      <c r="I186" s="2">
        <f t="shared" si="63"/>
        <v>-3.5999999999999997E-2</v>
      </c>
      <c r="J186" s="2">
        <f t="shared" si="64"/>
        <v>-4.0000000000000001E-3</v>
      </c>
      <c r="K186" s="2">
        <f t="shared" si="65"/>
        <v>0</v>
      </c>
      <c r="L186" s="2">
        <f t="shared" si="66"/>
        <v>0</v>
      </c>
      <c r="M186" s="4">
        <f t="shared" si="67"/>
        <v>0</v>
      </c>
      <c r="N186" s="1">
        <f t="shared" si="68"/>
        <v>-0.96666666666666667</v>
      </c>
      <c r="O186" s="1">
        <f t="shared" si="69"/>
        <v>-0.97297297297297292</v>
      </c>
      <c r="P186" s="1">
        <f t="shared" si="70"/>
        <v>-1</v>
      </c>
      <c r="Q186" s="1" t="e">
        <f t="shared" si="71"/>
        <v>#DIV/0!</v>
      </c>
      <c r="R186" s="1" t="e">
        <f t="shared" si="72"/>
        <v>#DIV/0!</v>
      </c>
      <c r="S186" s="1" t="e">
        <f t="shared" si="73"/>
        <v>#DIV/0!</v>
      </c>
    </row>
    <row r="187" spans="1:19">
      <c r="A187" t="s">
        <v>94</v>
      </c>
      <c r="B187" s="2">
        <v>2E-3</v>
      </c>
      <c r="C187" s="2">
        <v>1E-3</v>
      </c>
      <c r="D187" s="2">
        <v>0</v>
      </c>
      <c r="E187" s="2">
        <v>0</v>
      </c>
      <c r="F187" s="2">
        <v>0</v>
      </c>
      <c r="G187" s="2">
        <v>0</v>
      </c>
      <c r="H187" s="2">
        <f t="shared" si="62"/>
        <v>-5.7999999999999996E-2</v>
      </c>
      <c r="I187" s="2">
        <f t="shared" si="63"/>
        <v>-3.5999999999999997E-2</v>
      </c>
      <c r="J187" s="2">
        <f t="shared" si="64"/>
        <v>-4.0000000000000001E-3</v>
      </c>
      <c r="K187" s="2">
        <f t="shared" si="65"/>
        <v>0</v>
      </c>
      <c r="L187" s="2">
        <f t="shared" si="66"/>
        <v>0</v>
      </c>
      <c r="M187" s="4">
        <f t="shared" si="67"/>
        <v>0</v>
      </c>
      <c r="N187" s="1">
        <f t="shared" si="68"/>
        <v>-0.96666666666666667</v>
      </c>
      <c r="O187" s="1">
        <f t="shared" si="69"/>
        <v>-0.97297297297297292</v>
      </c>
      <c r="P187" s="1">
        <f t="shared" si="70"/>
        <v>-1</v>
      </c>
      <c r="Q187" s="1" t="e">
        <f t="shared" si="71"/>
        <v>#DIV/0!</v>
      </c>
      <c r="R187" s="1" t="e">
        <f t="shared" si="72"/>
        <v>#DIV/0!</v>
      </c>
      <c r="S187" s="1" t="e">
        <f t="shared" si="73"/>
        <v>#DIV/0!</v>
      </c>
    </row>
    <row r="188" spans="1:19">
      <c r="A188" t="s">
        <v>99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f t="shared" si="62"/>
        <v>-0.06</v>
      </c>
      <c r="I188" s="2">
        <f t="shared" si="63"/>
        <v>-3.6999999999999998E-2</v>
      </c>
      <c r="J188" s="2">
        <f t="shared" si="64"/>
        <v>-4.0000000000000001E-3</v>
      </c>
      <c r="K188" s="2">
        <f t="shared" si="65"/>
        <v>0</v>
      </c>
      <c r="L188" s="2">
        <f t="shared" si="66"/>
        <v>0</v>
      </c>
      <c r="M188" s="4">
        <f t="shared" si="67"/>
        <v>0</v>
      </c>
      <c r="N188" s="1">
        <f t="shared" si="68"/>
        <v>-1</v>
      </c>
      <c r="O188" s="1">
        <f t="shared" si="69"/>
        <v>-1</v>
      </c>
      <c r="P188" s="1">
        <f t="shared" si="70"/>
        <v>-1</v>
      </c>
      <c r="Q188" s="1" t="e">
        <f t="shared" si="71"/>
        <v>#DIV/0!</v>
      </c>
      <c r="R188" s="1" t="e">
        <f t="shared" si="72"/>
        <v>#DIV/0!</v>
      </c>
      <c r="S188" s="1" t="e">
        <f t="shared" si="73"/>
        <v>#DIV/0!</v>
      </c>
    </row>
    <row r="189" spans="1:19">
      <c r="A189" t="s">
        <v>98</v>
      </c>
      <c r="B189" s="2">
        <v>4.0000000000000001E-3</v>
      </c>
      <c r="C189" s="2">
        <v>2.3E-2</v>
      </c>
      <c r="D189" s="2">
        <v>8.9999999999999993E-3</v>
      </c>
      <c r="E189" s="2">
        <v>0</v>
      </c>
      <c r="F189" s="2">
        <v>0</v>
      </c>
      <c r="G189" s="2">
        <v>0</v>
      </c>
      <c r="H189" s="2">
        <f t="shared" si="62"/>
        <v>-5.5999999999999994E-2</v>
      </c>
      <c r="I189" s="2">
        <f t="shared" si="63"/>
        <v>-1.3999999999999999E-2</v>
      </c>
      <c r="J189" s="2">
        <f t="shared" si="64"/>
        <v>4.9999999999999992E-3</v>
      </c>
      <c r="K189" s="2">
        <f t="shared" si="65"/>
        <v>0</v>
      </c>
      <c r="L189" s="2">
        <f t="shared" si="66"/>
        <v>0</v>
      </c>
      <c r="M189" s="4">
        <f t="shared" si="67"/>
        <v>0</v>
      </c>
      <c r="N189" s="1">
        <f t="shared" si="68"/>
        <v>-0.93333333333333324</v>
      </c>
      <c r="O189" s="1">
        <f t="shared" si="69"/>
        <v>-0.37837837837837834</v>
      </c>
      <c r="P189" s="1">
        <f t="shared" si="70"/>
        <v>1.2499999999999998</v>
      </c>
      <c r="Q189" s="1" t="e">
        <f t="shared" si="71"/>
        <v>#DIV/0!</v>
      </c>
      <c r="R189" s="1" t="e">
        <f t="shared" si="72"/>
        <v>#DIV/0!</v>
      </c>
      <c r="S189" s="1" t="e">
        <f t="shared" si="73"/>
        <v>#DIV/0!</v>
      </c>
    </row>
    <row r="190" spans="1:19">
      <c r="A190" t="s">
        <v>103</v>
      </c>
      <c r="B190" s="2">
        <v>1.0999999999999999E-2</v>
      </c>
      <c r="C190" s="2">
        <v>8.5000000000000006E-2</v>
      </c>
      <c r="D190" s="2">
        <v>0.02</v>
      </c>
      <c r="E190" s="2">
        <v>0</v>
      </c>
      <c r="F190" s="2">
        <v>0</v>
      </c>
      <c r="G190" s="2">
        <v>0</v>
      </c>
      <c r="H190" s="2">
        <f t="shared" si="62"/>
        <v>-4.9000000000000002E-2</v>
      </c>
      <c r="I190" s="2">
        <f t="shared" si="63"/>
        <v>4.8000000000000008E-2</v>
      </c>
      <c r="J190" s="2">
        <f t="shared" si="64"/>
        <v>1.6E-2</v>
      </c>
      <c r="K190" s="2">
        <f t="shared" si="65"/>
        <v>0</v>
      </c>
      <c r="L190" s="2">
        <f t="shared" si="66"/>
        <v>0</v>
      </c>
      <c r="M190" s="4">
        <f t="shared" si="67"/>
        <v>0</v>
      </c>
      <c r="N190" s="1">
        <f t="shared" si="68"/>
        <v>-0.81666666666666676</v>
      </c>
      <c r="O190" s="1">
        <f t="shared" si="69"/>
        <v>1.2972972972972976</v>
      </c>
      <c r="P190" s="1">
        <f t="shared" si="70"/>
        <v>4</v>
      </c>
      <c r="Q190" s="1" t="e">
        <f t="shared" si="71"/>
        <v>#DIV/0!</v>
      </c>
      <c r="R190" s="1" t="e">
        <f t="shared" si="72"/>
        <v>#DIV/0!</v>
      </c>
      <c r="S190" s="1" t="e">
        <f t="shared" si="73"/>
        <v>#DIV/0!</v>
      </c>
    </row>
    <row r="191" spans="1:19">
      <c r="A191" t="s">
        <v>102</v>
      </c>
      <c r="B191" s="2">
        <v>4.0000000000000001E-3</v>
      </c>
      <c r="C191" s="2">
        <v>2E-3</v>
      </c>
      <c r="D191" s="2">
        <v>0</v>
      </c>
      <c r="E191" s="2">
        <v>0</v>
      </c>
      <c r="F191" s="2">
        <v>0</v>
      </c>
      <c r="G191" s="2">
        <v>0</v>
      </c>
      <c r="H191" s="2">
        <f t="shared" si="62"/>
        <v>-5.5999999999999994E-2</v>
      </c>
      <c r="I191" s="2">
        <f t="shared" si="63"/>
        <v>-3.4999999999999996E-2</v>
      </c>
      <c r="J191" s="2">
        <f t="shared" si="64"/>
        <v>-4.0000000000000001E-3</v>
      </c>
      <c r="K191" s="2">
        <f t="shared" si="65"/>
        <v>0</v>
      </c>
      <c r="L191" s="2">
        <f t="shared" si="66"/>
        <v>0</v>
      </c>
      <c r="M191" s="4">
        <f t="shared" si="67"/>
        <v>0</v>
      </c>
      <c r="N191" s="1">
        <f t="shared" si="68"/>
        <v>-0.93333333333333324</v>
      </c>
      <c r="O191" s="1">
        <f t="shared" si="69"/>
        <v>-0.94594594594594594</v>
      </c>
      <c r="P191" s="1">
        <f t="shared" si="70"/>
        <v>-1</v>
      </c>
      <c r="Q191" s="1" t="e">
        <f t="shared" si="71"/>
        <v>#DIV/0!</v>
      </c>
      <c r="R191" s="1" t="e">
        <f t="shared" si="72"/>
        <v>#DIV/0!</v>
      </c>
      <c r="S191" s="1" t="e">
        <f t="shared" si="73"/>
        <v>#DIV/0!</v>
      </c>
    </row>
    <row r="192" spans="1:19">
      <c r="A192" t="s">
        <v>107</v>
      </c>
      <c r="B192" s="2">
        <v>1.0999999999999999E-2</v>
      </c>
      <c r="C192" s="2">
        <v>8.5000000000000006E-2</v>
      </c>
      <c r="D192" s="2">
        <v>0.02</v>
      </c>
      <c r="E192" s="2">
        <v>0</v>
      </c>
      <c r="F192" s="2">
        <v>0</v>
      </c>
      <c r="G192" s="2">
        <v>0</v>
      </c>
      <c r="H192" s="2">
        <f t="shared" si="62"/>
        <v>-4.9000000000000002E-2</v>
      </c>
      <c r="I192" s="2">
        <f t="shared" si="63"/>
        <v>4.8000000000000008E-2</v>
      </c>
      <c r="J192" s="2">
        <f t="shared" si="64"/>
        <v>1.6E-2</v>
      </c>
      <c r="K192" s="2">
        <f t="shared" si="65"/>
        <v>0</v>
      </c>
      <c r="L192" s="2">
        <f t="shared" si="66"/>
        <v>0</v>
      </c>
      <c r="M192" s="4">
        <f t="shared" si="67"/>
        <v>0</v>
      </c>
      <c r="N192" s="1">
        <f t="shared" si="68"/>
        <v>-0.81666666666666676</v>
      </c>
      <c r="O192" s="1">
        <f t="shared" si="69"/>
        <v>1.2972972972972976</v>
      </c>
      <c r="P192" s="1">
        <f t="shared" si="70"/>
        <v>4</v>
      </c>
      <c r="Q192" s="1" t="e">
        <f t="shared" si="71"/>
        <v>#DIV/0!</v>
      </c>
      <c r="R192" s="1" t="e">
        <f t="shared" si="72"/>
        <v>#DIV/0!</v>
      </c>
      <c r="S192" s="1" t="e">
        <f t="shared" si="73"/>
        <v>#DIV/0!</v>
      </c>
    </row>
    <row r="193" spans="1:19">
      <c r="A193" t="s">
        <v>106</v>
      </c>
      <c r="B193" s="2">
        <v>4.0000000000000001E-3</v>
      </c>
      <c r="C193" s="2">
        <v>2E-3</v>
      </c>
      <c r="D193" s="2">
        <v>0</v>
      </c>
      <c r="E193" s="2">
        <v>0</v>
      </c>
      <c r="F193" s="2">
        <v>0</v>
      </c>
      <c r="G193" s="2">
        <v>0</v>
      </c>
      <c r="H193" s="2">
        <f t="shared" si="62"/>
        <v>-5.5999999999999994E-2</v>
      </c>
      <c r="I193" s="2">
        <f t="shared" si="63"/>
        <v>-3.4999999999999996E-2</v>
      </c>
      <c r="J193" s="2">
        <f t="shared" si="64"/>
        <v>-4.0000000000000001E-3</v>
      </c>
      <c r="K193" s="2">
        <f t="shared" si="65"/>
        <v>0</v>
      </c>
      <c r="L193" s="2">
        <f t="shared" si="66"/>
        <v>0</v>
      </c>
      <c r="M193" s="4">
        <f t="shared" si="67"/>
        <v>0</v>
      </c>
      <c r="N193" s="1">
        <f t="shared" si="68"/>
        <v>-0.93333333333333324</v>
      </c>
      <c r="O193" s="1">
        <f t="shared" si="69"/>
        <v>-0.94594594594594594</v>
      </c>
      <c r="P193" s="1">
        <f t="shared" si="70"/>
        <v>-1</v>
      </c>
      <c r="Q193" s="1" t="e">
        <f t="shared" si="71"/>
        <v>#DIV/0!</v>
      </c>
      <c r="R193" s="1" t="e">
        <f t="shared" si="72"/>
        <v>#DIV/0!</v>
      </c>
      <c r="S193" s="1" t="e">
        <f t="shared" si="73"/>
        <v>#DIV/0!</v>
      </c>
    </row>
  </sheetData>
  <autoFilter ref="A1:G144">
    <filterColumn colId="4"/>
    <filterColumn colId="5"/>
    <sortState ref="A2:G144">
      <sortCondition descending="1" ref="G2:G144"/>
      <sortCondition descending="1" ref="B2:B144"/>
    </sortState>
  </autoFilter>
  <sortState ref="A2:S193">
    <sortCondition descending="1" ref="F2:F193"/>
    <sortCondition descending="1" ref="G2:G1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193"/>
  <sheetViews>
    <sheetView tabSelected="1" workbookViewId="0">
      <selection activeCell="C8" sqref="C8"/>
    </sheetView>
  </sheetViews>
  <sheetFormatPr defaultRowHeight="13.8"/>
  <cols>
    <col min="50" max="52" width="8.8984375" bestFit="1" customWidth="1"/>
    <col min="53" max="55" width="9" bestFit="1" customWidth="1"/>
  </cols>
  <sheetData>
    <row r="1" spans="1:60">
      <c r="A1" t="s">
        <v>0</v>
      </c>
      <c r="B1" s="2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4" t="s">
        <v>2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4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5" t="s">
        <v>162</v>
      </c>
      <c r="T1" s="2" t="s">
        <v>1</v>
      </c>
      <c r="U1" s="2" t="s">
        <v>147</v>
      </c>
      <c r="V1" s="2" t="s">
        <v>148</v>
      </c>
      <c r="W1" s="2" t="s">
        <v>149</v>
      </c>
      <c r="X1" s="2" t="s">
        <v>150</v>
      </c>
      <c r="Y1" s="4" t="s">
        <v>2</v>
      </c>
      <c r="Z1" s="2" t="s">
        <v>151</v>
      </c>
      <c r="AA1" s="2" t="s">
        <v>152</v>
      </c>
      <c r="AB1" s="2" t="s">
        <v>153</v>
      </c>
      <c r="AC1" s="2" t="s">
        <v>154</v>
      </c>
      <c r="AD1" s="2" t="s">
        <v>155</v>
      </c>
      <c r="AE1" s="4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5" t="s">
        <v>162</v>
      </c>
      <c r="AL1" s="2" t="s">
        <v>1</v>
      </c>
      <c r="AM1" s="2" t="s">
        <v>147</v>
      </c>
      <c r="AN1" s="2" t="s">
        <v>148</v>
      </c>
      <c r="AO1" s="2" t="s">
        <v>149</v>
      </c>
      <c r="AP1" s="2" t="s">
        <v>150</v>
      </c>
      <c r="AQ1" s="4" t="s">
        <v>2</v>
      </c>
      <c r="AR1" s="2" t="s">
        <v>151</v>
      </c>
      <c r="AS1" s="2" t="s">
        <v>152</v>
      </c>
      <c r="AT1" s="2" t="s">
        <v>153</v>
      </c>
      <c r="AU1" s="2" t="s">
        <v>154</v>
      </c>
      <c r="AV1" s="2" t="s">
        <v>155</v>
      </c>
      <c r="AW1" s="4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5" t="s">
        <v>162</v>
      </c>
      <c r="BD1" s="6" t="s">
        <v>163</v>
      </c>
      <c r="BE1" s="6" t="s">
        <v>215</v>
      </c>
      <c r="BG1" s="6" t="s">
        <v>164</v>
      </c>
      <c r="BH1">
        <v>0.6</v>
      </c>
    </row>
    <row r="2" spans="1:60">
      <c r="A2" s="10" t="s">
        <v>45</v>
      </c>
      <c r="B2" s="9">
        <v>0.23</v>
      </c>
      <c r="C2" s="9">
        <v>0.14899999999999999</v>
      </c>
      <c r="D2" s="9">
        <v>5.7000000000000002E-2</v>
      </c>
      <c r="E2" s="9">
        <v>0.152</v>
      </c>
      <c r="F2" s="2">
        <v>5.3199999999999997E-2</v>
      </c>
      <c r="G2" s="4">
        <v>0.224</v>
      </c>
      <c r="H2" s="2">
        <v>-0.24099999999999996</v>
      </c>
      <c r="I2" s="2">
        <v>-0.23</v>
      </c>
      <c r="J2" s="2">
        <v>-0.14500000000000002</v>
      </c>
      <c r="K2" s="2">
        <v>8.0814116216420498E-2</v>
      </c>
      <c r="L2" s="2">
        <v>3.8069351520426897E-2</v>
      </c>
      <c r="M2" s="4">
        <v>4.6000000000000013E-2</v>
      </c>
      <c r="N2" s="1">
        <v>-0.51167728237791932</v>
      </c>
      <c r="O2" s="1">
        <v>-0.60686015831134565</v>
      </c>
      <c r="P2" s="1">
        <v>-0.7178217821782179</v>
      </c>
      <c r="Q2" s="1">
        <v>1.1352547994222129</v>
      </c>
      <c r="R2" s="1">
        <v>2.5160422946724221</v>
      </c>
      <c r="S2" s="5">
        <v>0.25842696629213491</v>
      </c>
      <c r="T2" s="2">
        <v>0.81</v>
      </c>
      <c r="U2" s="2">
        <v>0.79500000000000004</v>
      </c>
      <c r="V2" s="2">
        <v>0.57199999999999995</v>
      </c>
      <c r="W2" s="2">
        <v>0.77</v>
      </c>
      <c r="X2" s="2">
        <v>0.51</v>
      </c>
      <c r="Y2" s="4">
        <v>0.78900000000000003</v>
      </c>
      <c r="Z2" s="2">
        <v>-2.6999999999999913E-2</v>
      </c>
      <c r="AA2" s="2">
        <v>-2.8999999999999915E-2</v>
      </c>
      <c r="AB2" s="2">
        <v>-1.100000000000001E-2</v>
      </c>
      <c r="AC2" s="2">
        <v>-1.8160471554781954E-2</v>
      </c>
      <c r="AD2" s="2">
        <v>7.4056995892479993E-2</v>
      </c>
      <c r="AE2" s="4">
        <v>-9.000000000000008E-3</v>
      </c>
      <c r="AF2" s="1">
        <v>-3.2258064516128927E-2</v>
      </c>
      <c r="AG2" s="1">
        <v>-3.5194174757281455E-2</v>
      </c>
      <c r="AH2" s="1">
        <v>-1.8867924528301903E-2</v>
      </c>
      <c r="AI2" s="1">
        <v>-2.304159141469922E-2</v>
      </c>
      <c r="AJ2" s="1">
        <v>0.16987770234802241</v>
      </c>
      <c r="AK2" s="5">
        <v>-1.1278195488721814E-2</v>
      </c>
      <c r="AL2" s="2">
        <v>0.95699999999999996</v>
      </c>
      <c r="AM2" s="2">
        <v>0.98199999999999998</v>
      </c>
      <c r="AN2" s="2">
        <v>0.69099999999999995</v>
      </c>
      <c r="AO2" s="2">
        <v>0.96299999999999997</v>
      </c>
      <c r="AP2" s="2">
        <v>0.502</v>
      </c>
      <c r="AQ2" s="4">
        <v>0.95</v>
      </c>
      <c r="AR2" s="2">
        <v>0.89700000000000002</v>
      </c>
      <c r="AS2" s="2">
        <v>0.94499999999999995</v>
      </c>
      <c r="AT2" s="2">
        <v>0.68699999999999994</v>
      </c>
      <c r="AU2" s="2">
        <v>0.96299999999999997</v>
      </c>
      <c r="AV2" s="2">
        <v>0.502</v>
      </c>
      <c r="AW2" s="4">
        <v>0.95</v>
      </c>
      <c r="AX2" s="1">
        <v>14.950000000000001</v>
      </c>
      <c r="AY2" s="1">
        <v>25.54054054054054</v>
      </c>
      <c r="AZ2" s="1">
        <v>171.74999999999997</v>
      </c>
      <c r="BA2" s="1" t="e">
        <v>#DIV/0!</v>
      </c>
      <c r="BB2" s="1" t="e">
        <v>#DIV/0!</v>
      </c>
      <c r="BC2" s="5" t="e">
        <v>#DIV/0!</v>
      </c>
      <c r="BD2" s="3">
        <f>$BH$1*F2+$BH$2*X2</f>
        <v>0.23592000000000002</v>
      </c>
      <c r="BE2" s="3">
        <f>$BH$1*M2+$BH$2*AE2</f>
        <v>2.4000000000000004E-2</v>
      </c>
      <c r="BG2" t="s">
        <v>165</v>
      </c>
      <c r="BH2">
        <f>1-BH1</f>
        <v>0.4</v>
      </c>
    </row>
    <row r="3" spans="1:60">
      <c r="A3" t="s">
        <v>113</v>
      </c>
      <c r="B3" s="9">
        <v>0.25700000000000001</v>
      </c>
      <c r="C3" s="9">
        <v>0.152</v>
      </c>
      <c r="D3" s="9">
        <v>6.3E-2</v>
      </c>
      <c r="E3" s="9">
        <v>0.17</v>
      </c>
      <c r="F3" s="2">
        <v>5.8099999999999999E-2</v>
      </c>
      <c r="G3" s="4">
        <v>0.24199999999999999</v>
      </c>
      <c r="H3" s="2">
        <v>-0.21399999999999997</v>
      </c>
      <c r="I3" s="2">
        <v>-0.22700000000000001</v>
      </c>
      <c r="J3" s="2">
        <v>-0.13900000000000001</v>
      </c>
      <c r="K3" s="2">
        <v>9.8814116216420514E-2</v>
      </c>
      <c r="L3" s="2">
        <v>4.2969351520426899E-2</v>
      </c>
      <c r="M3" s="4">
        <v>6.4000000000000001E-2</v>
      </c>
      <c r="N3" s="1">
        <v>-0.45435244161358807</v>
      </c>
      <c r="O3" s="1">
        <v>-0.59894459102902375</v>
      </c>
      <c r="P3" s="1">
        <v>-0.68811881188118817</v>
      </c>
      <c r="Q3" s="1">
        <v>1.3881139204064226</v>
      </c>
      <c r="R3" s="1">
        <v>2.8398882954975138</v>
      </c>
      <c r="S3" s="5">
        <v>0.35955056179775285</v>
      </c>
      <c r="T3" s="2">
        <v>0.79400000000000004</v>
      </c>
      <c r="U3" s="2">
        <v>0.78200000000000003</v>
      </c>
      <c r="V3" s="2">
        <v>0.56100000000000005</v>
      </c>
      <c r="W3" s="2">
        <v>0.754</v>
      </c>
      <c r="X3" s="2">
        <v>0.499</v>
      </c>
      <c r="Y3" s="4">
        <v>0.77200000000000002</v>
      </c>
      <c r="Z3" s="2">
        <v>-4.2999999999999927E-2</v>
      </c>
      <c r="AA3" s="2">
        <v>-4.1999999999999926E-2</v>
      </c>
      <c r="AB3" s="2">
        <v>-2.1999999999999909E-2</v>
      </c>
      <c r="AC3" s="2">
        <v>-3.4160471554781968E-2</v>
      </c>
      <c r="AD3" s="2">
        <v>6.3056995892479983E-2</v>
      </c>
      <c r="AE3" s="4">
        <v>-2.6000000000000023E-2</v>
      </c>
      <c r="AF3" s="1">
        <v>-5.137395459976097E-2</v>
      </c>
      <c r="AG3" s="1">
        <v>-5.0970873786407682E-2</v>
      </c>
      <c r="AH3" s="1">
        <v>-3.7735849056603619E-2</v>
      </c>
      <c r="AI3" s="1">
        <v>-4.3342025878809386E-2</v>
      </c>
      <c r="AJ3" s="1">
        <v>0.14464504602286896</v>
      </c>
      <c r="AK3" s="5">
        <v>-3.2581453634085239E-2</v>
      </c>
      <c r="AL3" s="2">
        <v>0.98699999999999999</v>
      </c>
      <c r="AM3" s="2">
        <v>0.99399999999999999</v>
      </c>
      <c r="AN3" s="2">
        <v>0.69699999999999995</v>
      </c>
      <c r="AO3" s="2">
        <v>0.97499999999999998</v>
      </c>
      <c r="AP3" s="2">
        <v>0.52500000000000002</v>
      </c>
      <c r="AQ3" s="4">
        <v>0.96899999999999997</v>
      </c>
      <c r="AR3" s="2">
        <v>0.92700000000000005</v>
      </c>
      <c r="AS3" s="2">
        <v>0.95699999999999996</v>
      </c>
      <c r="AT3" s="2">
        <v>0.69299999999999995</v>
      </c>
      <c r="AU3" s="2">
        <v>0.97499999999999998</v>
      </c>
      <c r="AV3" s="2">
        <v>0.52500000000000002</v>
      </c>
      <c r="AW3" s="4">
        <v>0.96899999999999997</v>
      </c>
      <c r="AX3" s="1">
        <v>15.450000000000001</v>
      </c>
      <c r="AY3" s="1">
        <v>25.864864864864867</v>
      </c>
      <c r="AZ3" s="1">
        <v>173.24999999999997</v>
      </c>
      <c r="BA3" s="1" t="e">
        <v>#DIV/0!</v>
      </c>
      <c r="BB3" s="1" t="e">
        <v>#DIV/0!</v>
      </c>
      <c r="BC3" s="5" t="e">
        <v>#DIV/0!</v>
      </c>
      <c r="BD3" s="3">
        <f>$BH$1*F3+$BH$2*X3</f>
        <v>0.23446</v>
      </c>
      <c r="BE3" s="3">
        <f>$BH$1*M3+$BH$2*AE3</f>
        <v>2.7999999999999987E-2</v>
      </c>
    </row>
    <row r="4" spans="1:60">
      <c r="A4" t="s">
        <v>125</v>
      </c>
      <c r="B4" s="9">
        <v>0.25700000000000001</v>
      </c>
      <c r="C4" s="9">
        <v>0.152</v>
      </c>
      <c r="D4" s="9">
        <v>6.3E-2</v>
      </c>
      <c r="E4" s="2">
        <v>0.17</v>
      </c>
      <c r="F4" s="2">
        <v>5.8099999999999999E-2</v>
      </c>
      <c r="G4" s="4">
        <v>0.24199999999999999</v>
      </c>
      <c r="H4" s="2">
        <v>-0.21399999999999997</v>
      </c>
      <c r="I4" s="2">
        <v>-0.22700000000000001</v>
      </c>
      <c r="J4" s="2">
        <v>-0.13900000000000001</v>
      </c>
      <c r="K4" s="2">
        <v>9.8814116216420514E-2</v>
      </c>
      <c r="L4" s="2">
        <v>4.2969351520426899E-2</v>
      </c>
      <c r="M4" s="4">
        <v>6.4000000000000001E-2</v>
      </c>
      <c r="N4" s="1">
        <v>-0.45435244161358807</v>
      </c>
      <c r="O4" s="1">
        <v>-0.59894459102902375</v>
      </c>
      <c r="P4" s="1">
        <v>-0.68811881188118817</v>
      </c>
      <c r="Q4" s="1">
        <v>1.3881139204064226</v>
      </c>
      <c r="R4" s="1">
        <v>2.8398882954975138</v>
      </c>
      <c r="S4" s="5">
        <v>0.35955056179775285</v>
      </c>
      <c r="T4" s="2">
        <v>0.79400000000000004</v>
      </c>
      <c r="U4" s="2">
        <v>0.78200000000000003</v>
      </c>
      <c r="V4" s="2">
        <v>0.56100000000000005</v>
      </c>
      <c r="W4" s="2">
        <v>0.754</v>
      </c>
      <c r="X4" s="2">
        <v>0.499</v>
      </c>
      <c r="Y4" s="4">
        <v>0.77200000000000002</v>
      </c>
      <c r="Z4" s="2">
        <v>-4.2999999999999927E-2</v>
      </c>
      <c r="AA4" s="2">
        <v>-4.1999999999999926E-2</v>
      </c>
      <c r="AB4" s="2">
        <v>-2.1999999999999909E-2</v>
      </c>
      <c r="AC4" s="2">
        <v>-3.4160471554781968E-2</v>
      </c>
      <c r="AD4" s="2">
        <v>6.3056995892479983E-2</v>
      </c>
      <c r="AE4" s="4">
        <v>-2.6000000000000023E-2</v>
      </c>
      <c r="AF4" s="1">
        <v>-5.137395459976097E-2</v>
      </c>
      <c r="AG4" s="1">
        <v>-5.0970873786407682E-2</v>
      </c>
      <c r="AH4" s="1">
        <v>-3.7735849056603619E-2</v>
      </c>
      <c r="AI4" s="1">
        <v>-4.3342025878809386E-2</v>
      </c>
      <c r="AJ4" s="1">
        <v>0.14464504602286896</v>
      </c>
      <c r="AK4" s="5">
        <v>-3.2581453634085239E-2</v>
      </c>
      <c r="AL4" s="2">
        <v>0.98699999999999999</v>
      </c>
      <c r="AM4" s="2">
        <v>0.99399999999999999</v>
      </c>
      <c r="AN4" s="2">
        <v>0.69699999999999995</v>
      </c>
      <c r="AO4" s="2">
        <v>0.97499999999999998</v>
      </c>
      <c r="AP4" s="2">
        <v>0.52500000000000002</v>
      </c>
      <c r="AQ4" s="4">
        <v>0.96899999999999997</v>
      </c>
      <c r="AR4" s="2">
        <v>0.92700000000000005</v>
      </c>
      <c r="AS4" s="2">
        <v>0.95699999999999996</v>
      </c>
      <c r="AT4" s="2">
        <v>0.69299999999999995</v>
      </c>
      <c r="AU4" s="2">
        <v>0.97499999999999998</v>
      </c>
      <c r="AV4" s="2">
        <v>0.52500000000000002</v>
      </c>
      <c r="AW4" s="4">
        <v>0.96899999999999997</v>
      </c>
      <c r="AX4" s="1">
        <v>15.450000000000001</v>
      </c>
      <c r="AY4" s="1">
        <v>25.864864864864867</v>
      </c>
      <c r="AZ4" s="1">
        <v>173.24999999999997</v>
      </c>
      <c r="BA4" s="1" t="e">
        <v>#DIV/0!</v>
      </c>
      <c r="BB4" s="1" t="e">
        <v>#DIV/0!</v>
      </c>
      <c r="BC4" s="5" t="e">
        <v>#DIV/0!</v>
      </c>
      <c r="BD4" s="3">
        <f>$BH$1*F4+$BH$2*X4</f>
        <v>0.23446</v>
      </c>
      <c r="BE4" s="3">
        <f>$BH$1*M4+$BH$2*AE4</f>
        <v>2.7999999999999987E-2</v>
      </c>
    </row>
    <row r="5" spans="1:60">
      <c r="A5" t="s">
        <v>137</v>
      </c>
      <c r="B5" s="9">
        <v>0.25700000000000001</v>
      </c>
      <c r="C5" s="9">
        <v>0.152</v>
      </c>
      <c r="D5" s="9">
        <v>6.3E-2</v>
      </c>
      <c r="E5" s="2">
        <v>0.17</v>
      </c>
      <c r="F5" s="2">
        <v>5.8099999999999999E-2</v>
      </c>
      <c r="G5" s="4">
        <v>0.24199999999999999</v>
      </c>
      <c r="H5" s="2">
        <v>-0.21399999999999997</v>
      </c>
      <c r="I5" s="2">
        <v>-0.22700000000000001</v>
      </c>
      <c r="J5" s="2">
        <v>-0.13900000000000001</v>
      </c>
      <c r="K5" s="2">
        <v>9.8814116216420514E-2</v>
      </c>
      <c r="L5" s="2">
        <v>4.2969351520426899E-2</v>
      </c>
      <c r="M5" s="4">
        <v>6.4000000000000001E-2</v>
      </c>
      <c r="N5" s="1">
        <v>-0.45435244161358807</v>
      </c>
      <c r="O5" s="1">
        <v>-0.59894459102902375</v>
      </c>
      <c r="P5" s="1">
        <v>-0.68811881188118817</v>
      </c>
      <c r="Q5" s="1">
        <v>1.3881139204064226</v>
      </c>
      <c r="R5" s="1">
        <v>2.8398882954975138</v>
      </c>
      <c r="S5" s="5">
        <v>0.35955056179775285</v>
      </c>
      <c r="T5" s="2">
        <v>0.79400000000000004</v>
      </c>
      <c r="U5" s="2">
        <v>0.78200000000000003</v>
      </c>
      <c r="V5" s="2">
        <v>0.56100000000000005</v>
      </c>
      <c r="W5" s="2">
        <v>0.754</v>
      </c>
      <c r="X5" s="2">
        <v>0.499</v>
      </c>
      <c r="Y5" s="4">
        <v>0.77200000000000002</v>
      </c>
      <c r="Z5" s="2">
        <v>-4.2999999999999927E-2</v>
      </c>
      <c r="AA5" s="2">
        <v>-4.1999999999999926E-2</v>
      </c>
      <c r="AB5" s="2">
        <v>-2.1999999999999909E-2</v>
      </c>
      <c r="AC5" s="2">
        <v>-3.4160471554781968E-2</v>
      </c>
      <c r="AD5" s="2">
        <v>6.3056995892479983E-2</v>
      </c>
      <c r="AE5" s="4">
        <v>-2.6000000000000023E-2</v>
      </c>
      <c r="AF5" s="1">
        <v>-5.137395459976097E-2</v>
      </c>
      <c r="AG5" s="1">
        <v>-5.0970873786407682E-2</v>
      </c>
      <c r="AH5" s="1">
        <v>-3.7735849056603619E-2</v>
      </c>
      <c r="AI5" s="1">
        <v>-4.3342025878809386E-2</v>
      </c>
      <c r="AJ5" s="1">
        <v>0.14464504602286896</v>
      </c>
      <c r="AK5" s="5">
        <v>-3.2581453634085239E-2</v>
      </c>
      <c r="AL5" s="2">
        <v>0.98699999999999999</v>
      </c>
      <c r="AM5" s="2">
        <v>0.99399999999999999</v>
      </c>
      <c r="AN5" s="2">
        <v>0.69699999999999995</v>
      </c>
      <c r="AO5" s="2">
        <v>0.97499999999999998</v>
      </c>
      <c r="AP5" s="2">
        <v>0.52500000000000002</v>
      </c>
      <c r="AQ5" s="4">
        <v>0.96899999999999997</v>
      </c>
      <c r="AR5" s="2">
        <v>0.92700000000000005</v>
      </c>
      <c r="AS5" s="2">
        <v>0.95699999999999996</v>
      </c>
      <c r="AT5" s="2">
        <v>0.69299999999999995</v>
      </c>
      <c r="AU5" s="2">
        <v>0.97499999999999998</v>
      </c>
      <c r="AV5" s="2">
        <v>0.52500000000000002</v>
      </c>
      <c r="AW5" s="4">
        <v>0.96899999999999997</v>
      </c>
      <c r="AX5" s="1">
        <v>15.450000000000001</v>
      </c>
      <c r="AY5" s="1">
        <v>25.864864864864867</v>
      </c>
      <c r="AZ5" s="1">
        <v>173.24999999999997</v>
      </c>
      <c r="BA5" s="1" t="e">
        <v>#DIV/0!</v>
      </c>
      <c r="BB5" s="1" t="e">
        <v>#DIV/0!</v>
      </c>
      <c r="BC5" s="5" t="e">
        <v>#DIV/0!</v>
      </c>
      <c r="BD5" s="3">
        <f>$BH$1*F5+$BH$2*X5</f>
        <v>0.23446</v>
      </c>
      <c r="BE5" s="3">
        <f>$BH$1*M5+$BH$2*AE5</f>
        <v>2.7999999999999987E-2</v>
      </c>
    </row>
    <row r="6" spans="1:60">
      <c r="A6" t="s">
        <v>53</v>
      </c>
      <c r="B6" s="9">
        <v>0.24399999999999999</v>
      </c>
      <c r="C6" s="9">
        <v>0.156</v>
      </c>
      <c r="D6" s="9">
        <v>0.06</v>
      </c>
      <c r="E6" s="2">
        <v>0.14399999999999999</v>
      </c>
      <c r="F6" s="2">
        <v>5.4100000000000002E-2</v>
      </c>
      <c r="G6" s="4">
        <v>0.218</v>
      </c>
      <c r="H6" s="2">
        <v>-0.22699999999999998</v>
      </c>
      <c r="I6" s="2">
        <v>-0.223</v>
      </c>
      <c r="J6" s="2">
        <v>-0.14200000000000002</v>
      </c>
      <c r="K6" s="2">
        <v>7.2814116216420491E-2</v>
      </c>
      <c r="L6" s="2">
        <v>3.8969351520426902E-2</v>
      </c>
      <c r="M6" s="4">
        <v>4.0000000000000008E-2</v>
      </c>
      <c r="N6" s="1">
        <v>-0.48195329087048833</v>
      </c>
      <c r="O6" s="1">
        <v>-0.58839050131926118</v>
      </c>
      <c r="P6" s="1">
        <v>-0.70297029702970304</v>
      </c>
      <c r="Q6" s="1">
        <v>1.0228729678736752</v>
      </c>
      <c r="R6" s="1">
        <v>2.5755242131913167</v>
      </c>
      <c r="S6" s="5">
        <v>0.22471910112359555</v>
      </c>
      <c r="T6" s="2">
        <v>0.81</v>
      </c>
      <c r="U6" s="2">
        <v>0.79500000000000004</v>
      </c>
      <c r="V6" s="2">
        <v>0.57199999999999995</v>
      </c>
      <c r="W6" s="2">
        <v>0.77300000000000002</v>
      </c>
      <c r="X6" s="2">
        <v>0.505</v>
      </c>
      <c r="Y6" s="4">
        <v>0.79100000000000004</v>
      </c>
      <c r="Z6" s="2">
        <v>-2.6999999999999913E-2</v>
      </c>
      <c r="AA6" s="2">
        <v>-2.8999999999999915E-2</v>
      </c>
      <c r="AB6" s="2">
        <v>-1.100000000000001E-2</v>
      </c>
      <c r="AC6" s="2">
        <v>-1.5160471554781951E-2</v>
      </c>
      <c r="AD6" s="2">
        <v>6.9056995892479989E-2</v>
      </c>
      <c r="AE6" s="4">
        <v>-7.0000000000000062E-3</v>
      </c>
      <c r="AF6" s="1">
        <v>-3.2258064516128927E-2</v>
      </c>
      <c r="AG6" s="1">
        <v>-3.5194174757281455E-2</v>
      </c>
      <c r="AH6" s="1">
        <v>-1.8867924528301903E-2</v>
      </c>
      <c r="AI6" s="1">
        <v>-1.9235259952678566E-2</v>
      </c>
      <c r="AJ6" s="1">
        <v>0.1584083131093163</v>
      </c>
      <c r="AK6" s="5">
        <v>-8.7719298245614117E-3</v>
      </c>
      <c r="AL6" s="2">
        <v>0.95299999999999996</v>
      </c>
      <c r="AM6" s="2">
        <v>0.98299999999999998</v>
      </c>
      <c r="AN6" s="2">
        <v>0.66200000000000003</v>
      </c>
      <c r="AO6" s="2">
        <v>0.96299999999999997</v>
      </c>
      <c r="AP6" s="2">
        <v>0.499</v>
      </c>
      <c r="AQ6" s="4">
        <v>0.94599999999999995</v>
      </c>
      <c r="AR6" s="2">
        <v>0.89300000000000002</v>
      </c>
      <c r="AS6" s="2">
        <v>0.94599999999999995</v>
      </c>
      <c r="AT6" s="2">
        <v>0.65800000000000003</v>
      </c>
      <c r="AU6" s="2">
        <v>0.96299999999999997</v>
      </c>
      <c r="AV6" s="2">
        <v>0.499</v>
      </c>
      <c r="AW6" s="4">
        <v>0.94599999999999995</v>
      </c>
      <c r="AX6" s="1">
        <v>14.883333333333335</v>
      </c>
      <c r="AY6" s="1">
        <v>25.567567567567568</v>
      </c>
      <c r="AZ6" s="1">
        <v>164.5</v>
      </c>
      <c r="BA6" s="1" t="e">
        <v>#DIV/0!</v>
      </c>
      <c r="BB6" s="1" t="e">
        <v>#DIV/0!</v>
      </c>
      <c r="BC6" s="5" t="e">
        <v>#DIV/0!</v>
      </c>
      <c r="BD6" s="3">
        <f>$BH$1*F6+$BH$2*X6</f>
        <v>0.23446</v>
      </c>
      <c r="BE6" s="3">
        <f>$BH$1*M6+$BH$2*AE6</f>
        <v>2.12E-2</v>
      </c>
    </row>
    <row r="7" spans="1:60">
      <c r="A7" t="s">
        <v>57</v>
      </c>
      <c r="B7" s="2">
        <v>0.28000000000000003</v>
      </c>
      <c r="C7" s="2">
        <v>0.191</v>
      </c>
      <c r="D7" s="2">
        <v>8.1000000000000003E-2</v>
      </c>
      <c r="E7" s="9">
        <v>0.22020893234421399</v>
      </c>
      <c r="F7" s="9">
        <v>6.9002837889704002E-2</v>
      </c>
      <c r="G7" s="4">
        <v>0.29899999999999999</v>
      </c>
      <c r="H7" s="2">
        <v>-0.19099999999999995</v>
      </c>
      <c r="I7" s="2">
        <v>-0.188</v>
      </c>
      <c r="J7" s="2">
        <v>-0.12100000000000001</v>
      </c>
      <c r="K7" s="2">
        <v>0.14902304856063447</v>
      </c>
      <c r="L7" s="2">
        <v>5.3872189410130902E-2</v>
      </c>
      <c r="M7" s="4">
        <v>0.121</v>
      </c>
      <c r="N7" s="1">
        <v>-0.40552016985137995</v>
      </c>
      <c r="O7" s="1">
        <v>-0.49604221635883905</v>
      </c>
      <c r="P7" s="1">
        <v>-0.59900990099009899</v>
      </c>
      <c r="Q7" s="1">
        <v>2.0934353925238436</v>
      </c>
      <c r="R7" s="1">
        <v>3.5604679788087221</v>
      </c>
      <c r="S7" s="5">
        <v>0.6797752808988764</v>
      </c>
      <c r="T7" s="2">
        <v>0.81</v>
      </c>
      <c r="U7" s="2">
        <v>0.79700000000000004</v>
      </c>
      <c r="V7" s="2">
        <v>0.56000000000000005</v>
      </c>
      <c r="W7" s="2">
        <v>0.76848270725795198</v>
      </c>
      <c r="X7" s="2">
        <v>0.48025052913229799</v>
      </c>
      <c r="Y7" s="4">
        <v>0.78700000000000003</v>
      </c>
      <c r="Z7" s="2">
        <v>-2.6999999999999913E-2</v>
      </c>
      <c r="AA7" s="2">
        <v>-2.6999999999999913E-2</v>
      </c>
      <c r="AB7" s="2">
        <v>-2.2999999999999909E-2</v>
      </c>
      <c r="AC7" s="2">
        <v>-1.9677764296829992E-2</v>
      </c>
      <c r="AD7" s="2">
        <v>4.4307525024777972E-2</v>
      </c>
      <c r="AE7" s="4">
        <v>-1.100000000000001E-2</v>
      </c>
      <c r="AF7" s="1">
        <v>-3.2258064516128927E-2</v>
      </c>
      <c r="AG7" s="1">
        <v>-3.2766990291262031E-2</v>
      </c>
      <c r="AH7" s="1">
        <v>-3.9451114922812884E-2</v>
      </c>
      <c r="AI7" s="1">
        <v>-2.496669778175023E-2</v>
      </c>
      <c r="AJ7" s="1">
        <v>0.10163605014257796</v>
      </c>
      <c r="AK7" s="5">
        <v>-1.3784461152882217E-2</v>
      </c>
      <c r="AL7" s="2">
        <v>0.872</v>
      </c>
      <c r="AM7" s="2">
        <v>0.92600000000000005</v>
      </c>
      <c r="AN7" s="2">
        <v>0.51500000000000001</v>
      </c>
      <c r="AO7" s="2">
        <v>0.91718347013233203</v>
      </c>
      <c r="AP7" s="2">
        <v>0.34533728605272901</v>
      </c>
      <c r="AQ7" s="4">
        <v>0.86299999999999999</v>
      </c>
      <c r="AR7" s="2">
        <v>0.81200000000000006</v>
      </c>
      <c r="AS7" s="2">
        <v>0.88900000000000001</v>
      </c>
      <c r="AT7" s="2">
        <v>0.51100000000000001</v>
      </c>
      <c r="AU7" s="2">
        <v>0.91718347013233203</v>
      </c>
      <c r="AV7" s="2">
        <v>0.34533728605272901</v>
      </c>
      <c r="AW7" s="4">
        <v>0.86299999999999999</v>
      </c>
      <c r="AX7" s="1">
        <v>13.533333333333335</v>
      </c>
      <c r="AY7" s="1">
        <v>24.027027027027028</v>
      </c>
      <c r="AZ7" s="1">
        <v>127.75</v>
      </c>
      <c r="BA7" s="1" t="e">
        <v>#DIV/0!</v>
      </c>
      <c r="BB7" s="1" t="e">
        <v>#DIV/0!</v>
      </c>
      <c r="BC7" s="5" t="e">
        <v>#DIV/0!</v>
      </c>
      <c r="BD7" s="3">
        <f>$BH$1*F7+$BH$2*X7</f>
        <v>0.23350191438674162</v>
      </c>
      <c r="BE7" s="3">
        <f>$BH$1*M7+$BH$2*AE7</f>
        <v>6.8199999999999997E-2</v>
      </c>
    </row>
    <row r="8" spans="1:60">
      <c r="A8" t="s">
        <v>96</v>
      </c>
      <c r="B8" s="2">
        <v>0.246</v>
      </c>
      <c r="C8" s="2">
        <v>0.184</v>
      </c>
      <c r="D8" s="2">
        <v>7.4999999999999997E-2</v>
      </c>
      <c r="E8" s="9">
        <v>0.22800000000000001</v>
      </c>
      <c r="F8" s="9">
        <v>7.8899999999999998E-2</v>
      </c>
      <c r="G8" s="4">
        <v>0.31</v>
      </c>
      <c r="H8" s="2">
        <v>-0.22499999999999998</v>
      </c>
      <c r="I8" s="2">
        <v>-0.19500000000000001</v>
      </c>
      <c r="J8" s="2">
        <v>-0.127</v>
      </c>
      <c r="K8" s="2">
        <v>0.1568141162164205</v>
      </c>
      <c r="L8" s="2">
        <v>6.3769351520426898E-2</v>
      </c>
      <c r="M8" s="4">
        <v>0.13200000000000001</v>
      </c>
      <c r="N8" s="1">
        <v>-0.47770700636942676</v>
      </c>
      <c r="O8" s="1">
        <v>-0.51451187335092352</v>
      </c>
      <c r="P8" s="1">
        <v>-0.62871287128712872</v>
      </c>
      <c r="Q8" s="1">
        <v>2.2028821991333194</v>
      </c>
      <c r="R8" s="1">
        <v>4.2145815234897386</v>
      </c>
      <c r="S8" s="5">
        <v>0.7415730337078652</v>
      </c>
      <c r="T8" s="2">
        <v>0.78400000000000003</v>
      </c>
      <c r="U8" s="2">
        <v>0.76100000000000001</v>
      </c>
      <c r="V8" s="2">
        <v>0.53</v>
      </c>
      <c r="W8" s="2">
        <v>0.73399999999999999</v>
      </c>
      <c r="X8" s="2">
        <v>0.46400000000000002</v>
      </c>
      <c r="Y8" s="4">
        <v>0.75700000000000001</v>
      </c>
      <c r="Z8" s="2">
        <v>-5.2999999999999936E-2</v>
      </c>
      <c r="AA8" s="2">
        <v>-6.2999999999999945E-2</v>
      </c>
      <c r="AB8" s="2">
        <v>-5.2999999999999936E-2</v>
      </c>
      <c r="AC8" s="2">
        <v>-5.4160471554781986E-2</v>
      </c>
      <c r="AD8" s="2">
        <v>2.8056995892480008E-2</v>
      </c>
      <c r="AE8" s="4">
        <v>-4.1000000000000036E-2</v>
      </c>
      <c r="AF8" s="1">
        <v>-6.3321385902030985E-2</v>
      </c>
      <c r="AG8" s="1">
        <v>-7.6456310679611589E-2</v>
      </c>
      <c r="AH8" s="1">
        <v>-9.0909090909090801E-2</v>
      </c>
      <c r="AI8" s="1">
        <v>-6.8717568958947095E-2</v>
      </c>
      <c r="AJ8" s="1">
        <v>6.4359321351926305E-2</v>
      </c>
      <c r="AK8" s="5">
        <v>-5.1378446115288266E-2</v>
      </c>
      <c r="AL8" s="2">
        <v>0.97699999999999998</v>
      </c>
      <c r="AM8" s="2">
        <v>0.99399999999999999</v>
      </c>
      <c r="AN8" s="2">
        <v>0.68700000000000006</v>
      </c>
      <c r="AO8" s="2">
        <v>0.98499999999999999</v>
      </c>
      <c r="AP8" s="2">
        <v>0.51700000000000002</v>
      </c>
      <c r="AQ8" s="4">
        <v>0.96799999999999997</v>
      </c>
      <c r="AR8" s="2">
        <v>0.91700000000000004</v>
      </c>
      <c r="AS8" s="2">
        <v>0.95699999999999996</v>
      </c>
      <c r="AT8" s="2">
        <v>0.68300000000000005</v>
      </c>
      <c r="AU8" s="2">
        <v>0.98499999999999999</v>
      </c>
      <c r="AV8" s="2">
        <v>0.51700000000000002</v>
      </c>
      <c r="AW8" s="4">
        <v>0.96799999999999997</v>
      </c>
      <c r="AX8" s="1">
        <v>15.283333333333335</v>
      </c>
      <c r="AY8" s="1">
        <v>25.864864864864867</v>
      </c>
      <c r="AZ8" s="1">
        <v>170.75</v>
      </c>
      <c r="BA8" s="1" t="e">
        <v>#DIV/0!</v>
      </c>
      <c r="BB8" s="1" t="e">
        <v>#DIV/0!</v>
      </c>
      <c r="BC8" s="5" t="e">
        <v>#DIV/0!</v>
      </c>
      <c r="BD8" s="3">
        <f>$BH$1*F8+$BH$2*X8</f>
        <v>0.23294000000000001</v>
      </c>
      <c r="BE8" s="3">
        <f>$BH$1*M8+$BH$2*AE8</f>
        <v>6.2799999999999995E-2</v>
      </c>
    </row>
    <row r="9" spans="1:60">
      <c r="A9" t="s">
        <v>100</v>
      </c>
      <c r="B9" s="2">
        <v>0.246</v>
      </c>
      <c r="C9" s="2">
        <v>0.184</v>
      </c>
      <c r="D9" s="2">
        <v>7.4999999999999997E-2</v>
      </c>
      <c r="E9" s="9">
        <v>0.22800000000000001</v>
      </c>
      <c r="F9" s="9">
        <v>7.8899999999999998E-2</v>
      </c>
      <c r="G9" s="4">
        <v>0.31</v>
      </c>
      <c r="H9" s="2">
        <v>-0.22499999999999998</v>
      </c>
      <c r="I9" s="2">
        <v>-0.19500000000000001</v>
      </c>
      <c r="J9" s="2">
        <v>-0.127</v>
      </c>
      <c r="K9" s="2">
        <v>0.1568141162164205</v>
      </c>
      <c r="L9" s="2">
        <v>6.3769351520426898E-2</v>
      </c>
      <c r="M9" s="4">
        <v>0.13200000000000001</v>
      </c>
      <c r="N9" s="1">
        <v>-0.47770700636942676</v>
      </c>
      <c r="O9" s="1">
        <v>-0.51451187335092352</v>
      </c>
      <c r="P9" s="1">
        <v>-0.62871287128712872</v>
      </c>
      <c r="Q9" s="1">
        <v>2.2028821991333194</v>
      </c>
      <c r="R9" s="1">
        <v>4.2145815234897386</v>
      </c>
      <c r="S9" s="5">
        <v>0.7415730337078652</v>
      </c>
      <c r="T9" s="2">
        <v>0.78400000000000003</v>
      </c>
      <c r="U9" s="2">
        <v>0.76100000000000001</v>
      </c>
      <c r="V9" s="2">
        <v>0.53</v>
      </c>
      <c r="W9" s="2">
        <v>0.73399999999999999</v>
      </c>
      <c r="X9" s="2">
        <v>0.46400000000000002</v>
      </c>
      <c r="Y9" s="4">
        <v>0.75700000000000001</v>
      </c>
      <c r="Z9" s="2">
        <v>-5.2999999999999936E-2</v>
      </c>
      <c r="AA9" s="2">
        <v>-6.2999999999999945E-2</v>
      </c>
      <c r="AB9" s="2">
        <v>-5.2999999999999936E-2</v>
      </c>
      <c r="AC9" s="2">
        <v>-5.4160471554781986E-2</v>
      </c>
      <c r="AD9" s="2">
        <v>2.8056995892480008E-2</v>
      </c>
      <c r="AE9" s="4">
        <v>-4.1000000000000036E-2</v>
      </c>
      <c r="AF9" s="1">
        <v>-6.3321385902030985E-2</v>
      </c>
      <c r="AG9" s="1">
        <v>-7.6456310679611589E-2</v>
      </c>
      <c r="AH9" s="1">
        <v>-9.0909090909090801E-2</v>
      </c>
      <c r="AI9" s="1">
        <v>-6.8717568958947095E-2</v>
      </c>
      <c r="AJ9" s="1">
        <v>6.4359321351926305E-2</v>
      </c>
      <c r="AK9" s="5">
        <v>-5.1378446115288266E-2</v>
      </c>
      <c r="AL9" s="2">
        <v>0.97699999999999998</v>
      </c>
      <c r="AM9" s="2">
        <v>0.99399999999999999</v>
      </c>
      <c r="AN9" s="2">
        <v>0.68700000000000006</v>
      </c>
      <c r="AO9" s="2">
        <v>0.98499999999999999</v>
      </c>
      <c r="AP9" s="2">
        <v>0.51700000000000002</v>
      </c>
      <c r="AQ9" s="4">
        <v>0.96799999999999997</v>
      </c>
      <c r="AR9" s="2">
        <v>0.91700000000000004</v>
      </c>
      <c r="AS9" s="2">
        <v>0.95699999999999996</v>
      </c>
      <c r="AT9" s="2">
        <v>0.68300000000000005</v>
      </c>
      <c r="AU9" s="2">
        <v>0.98499999999999999</v>
      </c>
      <c r="AV9" s="2">
        <v>0.51700000000000002</v>
      </c>
      <c r="AW9" s="4">
        <v>0.96799999999999997</v>
      </c>
      <c r="AX9" s="1">
        <v>15.283333333333335</v>
      </c>
      <c r="AY9" s="1">
        <v>25.864864864864867</v>
      </c>
      <c r="AZ9" s="1">
        <v>170.75</v>
      </c>
      <c r="BA9" s="1" t="e">
        <v>#DIV/0!</v>
      </c>
      <c r="BB9" s="1" t="e">
        <v>#DIV/0!</v>
      </c>
      <c r="BC9" s="5" t="e">
        <v>#DIV/0!</v>
      </c>
      <c r="BD9" s="3">
        <f>$BH$1*F9+$BH$2*X9</f>
        <v>0.23294000000000001</v>
      </c>
      <c r="BE9" s="3">
        <f>$BH$1*M9+$BH$2*AE9</f>
        <v>6.2799999999999995E-2</v>
      </c>
    </row>
    <row r="10" spans="1:60">
      <c r="A10" t="s">
        <v>119</v>
      </c>
      <c r="B10" s="2">
        <v>0.24399999999999999</v>
      </c>
      <c r="C10" s="2">
        <v>0.152</v>
      </c>
      <c r="D10" s="2">
        <v>6.4000000000000001E-2</v>
      </c>
      <c r="E10" s="2">
        <v>0.152</v>
      </c>
      <c r="F10" s="2">
        <v>5.7799999999999997E-2</v>
      </c>
      <c r="G10" s="4">
        <v>0.222</v>
      </c>
      <c r="H10" s="2">
        <v>-0.22699999999999998</v>
      </c>
      <c r="I10" s="2">
        <v>-0.22700000000000001</v>
      </c>
      <c r="J10" s="2">
        <v>-0.13800000000000001</v>
      </c>
      <c r="K10" s="2">
        <v>8.0814116216420498E-2</v>
      </c>
      <c r="L10" s="2">
        <v>4.2669351520426897E-2</v>
      </c>
      <c r="M10" s="4">
        <v>4.4000000000000011E-2</v>
      </c>
      <c r="N10" s="1">
        <v>-0.48195329087048833</v>
      </c>
      <c r="O10" s="1">
        <v>-0.59894459102902375</v>
      </c>
      <c r="P10" s="1">
        <v>-0.68316831683168322</v>
      </c>
      <c r="Q10" s="1">
        <v>1.1352547994222129</v>
      </c>
      <c r="R10" s="1">
        <v>2.8200609893245487</v>
      </c>
      <c r="S10" s="5">
        <v>0.24719101123595513</v>
      </c>
      <c r="T10" s="2">
        <v>0.79500000000000004</v>
      </c>
      <c r="U10" s="2">
        <v>0.77900000000000003</v>
      </c>
      <c r="V10" s="2">
        <v>0.55800000000000005</v>
      </c>
      <c r="W10" s="2">
        <v>0.75</v>
      </c>
      <c r="X10" s="2">
        <v>0.495</v>
      </c>
      <c r="Y10" s="4">
        <v>0.77100000000000002</v>
      </c>
      <c r="Z10" s="2">
        <v>-4.1999999999999926E-2</v>
      </c>
      <c r="AA10" s="2">
        <v>-4.4999999999999929E-2</v>
      </c>
      <c r="AB10" s="2">
        <v>-2.4999999999999911E-2</v>
      </c>
      <c r="AC10" s="2">
        <v>-3.8160471554781972E-2</v>
      </c>
      <c r="AD10" s="2">
        <v>5.905699589247998E-2</v>
      </c>
      <c r="AE10" s="4">
        <v>-2.7000000000000024E-2</v>
      </c>
      <c r="AF10" s="1">
        <v>-5.0179211469533962E-2</v>
      </c>
      <c r="AG10" s="1">
        <v>-5.4611650485436813E-2</v>
      </c>
      <c r="AH10" s="1">
        <v>-4.2881646655231413E-2</v>
      </c>
      <c r="AI10" s="1">
        <v>-4.8417134494836929E-2</v>
      </c>
      <c r="AJ10" s="1">
        <v>0.13546953463190406</v>
      </c>
      <c r="AK10" s="5">
        <v>-3.3834586466165439E-2</v>
      </c>
      <c r="AL10" s="2">
        <v>0.98599999999999999</v>
      </c>
      <c r="AM10" s="2">
        <v>0.99399999999999999</v>
      </c>
      <c r="AN10" s="2">
        <v>0.64800000000000002</v>
      </c>
      <c r="AO10" s="2">
        <v>0.98399999999999999</v>
      </c>
      <c r="AP10" s="2">
        <v>0.501</v>
      </c>
      <c r="AQ10" s="4">
        <v>0.97699999999999998</v>
      </c>
      <c r="AR10" s="2">
        <v>0.92599999999999993</v>
      </c>
      <c r="AS10" s="2">
        <v>0.95699999999999996</v>
      </c>
      <c r="AT10" s="2">
        <v>0.64400000000000002</v>
      </c>
      <c r="AU10" s="2">
        <v>0.98399999999999999</v>
      </c>
      <c r="AV10" s="2">
        <v>0.501</v>
      </c>
      <c r="AW10" s="4">
        <v>0.97699999999999998</v>
      </c>
      <c r="AX10" s="1">
        <v>15.433333333333334</v>
      </c>
      <c r="AY10" s="1">
        <v>25.864864864864867</v>
      </c>
      <c r="AZ10" s="1">
        <v>161</v>
      </c>
      <c r="BA10" s="1" t="e">
        <v>#DIV/0!</v>
      </c>
      <c r="BB10" s="1" t="e">
        <v>#DIV/0!</v>
      </c>
      <c r="BC10" s="5" t="e">
        <v>#DIV/0!</v>
      </c>
      <c r="BD10" s="3">
        <f>$BH$1*F10+$BH$2*X10</f>
        <v>0.23268</v>
      </c>
      <c r="BE10" s="3">
        <f>$BH$1*M10+$BH$2*AE10</f>
        <v>1.5599999999999996E-2</v>
      </c>
    </row>
    <row r="11" spans="1:60">
      <c r="A11" t="s">
        <v>131</v>
      </c>
      <c r="B11" s="2">
        <v>0.24399999999999999</v>
      </c>
      <c r="C11" s="2">
        <v>0.152</v>
      </c>
      <c r="D11" s="2">
        <v>6.4000000000000001E-2</v>
      </c>
      <c r="E11" s="2">
        <v>0.152</v>
      </c>
      <c r="F11" s="2">
        <v>5.7799999999999997E-2</v>
      </c>
      <c r="G11" s="4">
        <v>0.222</v>
      </c>
      <c r="H11" s="2">
        <v>-0.22699999999999998</v>
      </c>
      <c r="I11" s="2">
        <v>-0.22700000000000001</v>
      </c>
      <c r="J11" s="2">
        <v>-0.13800000000000001</v>
      </c>
      <c r="K11" s="2">
        <v>8.0814116216420498E-2</v>
      </c>
      <c r="L11" s="2">
        <v>4.2669351520426897E-2</v>
      </c>
      <c r="M11" s="4">
        <v>4.4000000000000011E-2</v>
      </c>
      <c r="N11" s="1">
        <v>-0.48195329087048833</v>
      </c>
      <c r="O11" s="1">
        <v>-0.59894459102902375</v>
      </c>
      <c r="P11" s="1">
        <v>-0.68316831683168322</v>
      </c>
      <c r="Q11" s="1">
        <v>1.1352547994222129</v>
      </c>
      <c r="R11" s="1">
        <v>2.8200609893245487</v>
      </c>
      <c r="S11" s="5">
        <v>0.24719101123595513</v>
      </c>
      <c r="T11" s="2">
        <v>0.79500000000000004</v>
      </c>
      <c r="U11" s="2">
        <v>0.77900000000000003</v>
      </c>
      <c r="V11" s="2">
        <v>0.55800000000000005</v>
      </c>
      <c r="W11" s="2">
        <v>0.75</v>
      </c>
      <c r="X11" s="2">
        <v>0.495</v>
      </c>
      <c r="Y11" s="4">
        <v>0.77100000000000002</v>
      </c>
      <c r="Z11" s="2">
        <v>-4.1999999999999926E-2</v>
      </c>
      <c r="AA11" s="2">
        <v>-4.4999999999999929E-2</v>
      </c>
      <c r="AB11" s="2">
        <v>-2.4999999999999911E-2</v>
      </c>
      <c r="AC11" s="2">
        <v>-3.8160471554781972E-2</v>
      </c>
      <c r="AD11" s="2">
        <v>5.905699589247998E-2</v>
      </c>
      <c r="AE11" s="4">
        <v>-2.7000000000000024E-2</v>
      </c>
      <c r="AF11" s="1">
        <v>-5.0179211469533962E-2</v>
      </c>
      <c r="AG11" s="1">
        <v>-5.4611650485436813E-2</v>
      </c>
      <c r="AH11" s="1">
        <v>-4.2881646655231413E-2</v>
      </c>
      <c r="AI11" s="1">
        <v>-4.8417134494836929E-2</v>
      </c>
      <c r="AJ11" s="1">
        <v>0.13546953463190406</v>
      </c>
      <c r="AK11" s="5">
        <v>-3.3834586466165439E-2</v>
      </c>
      <c r="AL11" s="2">
        <v>0.98599999999999999</v>
      </c>
      <c r="AM11" s="2">
        <v>0.99399999999999999</v>
      </c>
      <c r="AN11" s="2">
        <v>0.64800000000000002</v>
      </c>
      <c r="AO11" s="2">
        <v>0.98399999999999999</v>
      </c>
      <c r="AP11" s="2">
        <v>0.501</v>
      </c>
      <c r="AQ11" s="4">
        <v>0.97699999999999998</v>
      </c>
      <c r="AR11" s="2">
        <v>0.92599999999999993</v>
      </c>
      <c r="AS11" s="2">
        <v>0.95699999999999996</v>
      </c>
      <c r="AT11" s="2">
        <v>0.64400000000000002</v>
      </c>
      <c r="AU11" s="2">
        <v>0.98399999999999999</v>
      </c>
      <c r="AV11" s="2">
        <v>0.501</v>
      </c>
      <c r="AW11" s="4">
        <v>0.97699999999999998</v>
      </c>
      <c r="AX11" s="1">
        <v>15.433333333333334</v>
      </c>
      <c r="AY11" s="1">
        <v>25.864864864864867</v>
      </c>
      <c r="AZ11" s="1">
        <v>161</v>
      </c>
      <c r="BA11" s="1" t="e">
        <v>#DIV/0!</v>
      </c>
      <c r="BB11" s="1" t="e">
        <v>#DIV/0!</v>
      </c>
      <c r="BC11" s="5" t="e">
        <v>#DIV/0!</v>
      </c>
      <c r="BD11" s="3">
        <f>$BH$1*F11+$BH$2*X11</f>
        <v>0.23268</v>
      </c>
      <c r="BE11" s="3">
        <f>$BH$1*M11+$BH$2*AE11</f>
        <v>1.5599999999999996E-2</v>
      </c>
    </row>
    <row r="12" spans="1:60">
      <c r="A12" t="s">
        <v>143</v>
      </c>
      <c r="B12" s="2">
        <v>0.24399999999999999</v>
      </c>
      <c r="C12" s="2">
        <v>0.152</v>
      </c>
      <c r="D12" s="2">
        <v>6.4000000000000001E-2</v>
      </c>
      <c r="E12" s="2">
        <v>0.152</v>
      </c>
      <c r="F12" s="2">
        <v>5.7799999999999997E-2</v>
      </c>
      <c r="G12" s="4">
        <v>0.222</v>
      </c>
      <c r="H12" s="2">
        <v>-0.22699999999999998</v>
      </c>
      <c r="I12" s="2">
        <v>-0.22700000000000001</v>
      </c>
      <c r="J12" s="2">
        <v>-0.13800000000000001</v>
      </c>
      <c r="K12" s="2">
        <v>8.0814116216420498E-2</v>
      </c>
      <c r="L12" s="2">
        <v>4.2669351520426897E-2</v>
      </c>
      <c r="M12" s="4">
        <v>4.4000000000000011E-2</v>
      </c>
      <c r="N12" s="1">
        <v>-0.48195329087048833</v>
      </c>
      <c r="O12" s="1">
        <v>-0.59894459102902375</v>
      </c>
      <c r="P12" s="1">
        <v>-0.68316831683168322</v>
      </c>
      <c r="Q12" s="1">
        <v>1.1352547994222129</v>
      </c>
      <c r="R12" s="1">
        <v>2.8200609893245487</v>
      </c>
      <c r="S12" s="5">
        <v>0.24719101123595513</v>
      </c>
      <c r="T12" s="2">
        <v>0.79500000000000004</v>
      </c>
      <c r="U12" s="2">
        <v>0.77900000000000003</v>
      </c>
      <c r="V12" s="2">
        <v>0.55800000000000005</v>
      </c>
      <c r="W12" s="2">
        <v>0.75</v>
      </c>
      <c r="X12" s="2">
        <v>0.495</v>
      </c>
      <c r="Y12" s="4">
        <v>0.77100000000000002</v>
      </c>
      <c r="Z12" s="2">
        <v>-4.1999999999999926E-2</v>
      </c>
      <c r="AA12" s="2">
        <v>-4.4999999999999929E-2</v>
      </c>
      <c r="AB12" s="2">
        <v>-2.4999999999999911E-2</v>
      </c>
      <c r="AC12" s="2">
        <v>-3.8160471554781972E-2</v>
      </c>
      <c r="AD12" s="2">
        <v>5.905699589247998E-2</v>
      </c>
      <c r="AE12" s="4">
        <v>-2.7000000000000024E-2</v>
      </c>
      <c r="AF12" s="1">
        <v>-5.0179211469533962E-2</v>
      </c>
      <c r="AG12" s="1">
        <v>-5.4611650485436813E-2</v>
      </c>
      <c r="AH12" s="1">
        <v>-4.2881646655231413E-2</v>
      </c>
      <c r="AI12" s="1">
        <v>-4.8417134494836929E-2</v>
      </c>
      <c r="AJ12" s="1">
        <v>0.13546953463190406</v>
      </c>
      <c r="AK12" s="5">
        <v>-3.3834586466165439E-2</v>
      </c>
      <c r="AL12" s="2">
        <v>0.98599999999999999</v>
      </c>
      <c r="AM12" s="2">
        <v>0.99399999999999999</v>
      </c>
      <c r="AN12" s="2">
        <v>0.64800000000000002</v>
      </c>
      <c r="AO12" s="2">
        <v>0.98399999999999999</v>
      </c>
      <c r="AP12" s="2">
        <v>0.501</v>
      </c>
      <c r="AQ12" s="4">
        <v>0.97699999999999998</v>
      </c>
      <c r="AR12" s="2">
        <v>0.92599999999999993</v>
      </c>
      <c r="AS12" s="2">
        <v>0.95699999999999996</v>
      </c>
      <c r="AT12" s="2">
        <v>0.64400000000000002</v>
      </c>
      <c r="AU12" s="2">
        <v>0.98399999999999999</v>
      </c>
      <c r="AV12" s="2">
        <v>0.501</v>
      </c>
      <c r="AW12" s="4">
        <v>0.97699999999999998</v>
      </c>
      <c r="AX12" s="1">
        <v>15.433333333333334</v>
      </c>
      <c r="AY12" s="1">
        <v>25.864864864864867</v>
      </c>
      <c r="AZ12" s="1">
        <v>161</v>
      </c>
      <c r="BA12" s="1" t="e">
        <v>#DIV/0!</v>
      </c>
      <c r="BB12" s="1" t="e">
        <v>#DIV/0!</v>
      </c>
      <c r="BC12" s="5" t="e">
        <v>#DIV/0!</v>
      </c>
      <c r="BD12" s="3">
        <f>$BH$1*F12+$BH$2*X12</f>
        <v>0.23268</v>
      </c>
      <c r="BE12" s="3">
        <f>$BH$1*M12+$BH$2*AE12</f>
        <v>1.5599999999999996E-2</v>
      </c>
    </row>
    <row r="13" spans="1:60">
      <c r="A13" t="s">
        <v>71</v>
      </c>
      <c r="B13" s="2">
        <v>0.30199999999999999</v>
      </c>
      <c r="C13" s="2">
        <v>0.23200000000000001</v>
      </c>
      <c r="D13" s="2">
        <v>9.7000000000000003E-2</v>
      </c>
      <c r="E13" s="2">
        <v>0.21364289078222301</v>
      </c>
      <c r="F13" s="9">
        <v>6.9346965158318799E-2</v>
      </c>
      <c r="G13" s="4">
        <v>0.29799999999999999</v>
      </c>
      <c r="H13" s="2">
        <v>-0.16899999999999998</v>
      </c>
      <c r="I13" s="2">
        <v>-0.14699999999999999</v>
      </c>
      <c r="J13" s="2">
        <v>-0.10500000000000001</v>
      </c>
      <c r="K13" s="2">
        <v>0.1424570069986435</v>
      </c>
      <c r="L13" s="2">
        <v>5.4216316678745699E-2</v>
      </c>
      <c r="M13" s="4">
        <v>0.12</v>
      </c>
      <c r="N13" s="1">
        <v>-0.35881104033970274</v>
      </c>
      <c r="O13" s="1">
        <v>-0.38786279683377306</v>
      </c>
      <c r="P13" s="1">
        <v>-0.51980198019801982</v>
      </c>
      <c r="Q13" s="1">
        <v>2.0011974204287979</v>
      </c>
      <c r="R13" s="1">
        <v>3.5832117011996947</v>
      </c>
      <c r="S13" s="5">
        <v>0.6741573033707865</v>
      </c>
      <c r="T13" s="2">
        <v>0.78800000000000003</v>
      </c>
      <c r="U13" s="2">
        <v>0.77600000000000002</v>
      </c>
      <c r="V13" s="2">
        <v>0.55000000000000004</v>
      </c>
      <c r="W13" s="2">
        <v>0.74148774565766096</v>
      </c>
      <c r="X13" s="2">
        <v>0.47680858160332701</v>
      </c>
      <c r="Y13" s="4">
        <v>0.76200000000000001</v>
      </c>
      <c r="Z13" s="2">
        <v>-4.8999999999999932E-2</v>
      </c>
      <c r="AA13" s="2">
        <v>-4.7999999999999932E-2</v>
      </c>
      <c r="AB13" s="2">
        <v>-3.2999999999999918E-2</v>
      </c>
      <c r="AC13" s="2">
        <v>-4.6672725897121015E-2</v>
      </c>
      <c r="AD13" s="2">
        <v>4.0865577495806993E-2</v>
      </c>
      <c r="AE13" s="4">
        <v>-3.6000000000000032E-2</v>
      </c>
      <c r="AF13" s="1">
        <v>-5.8542413381122982E-2</v>
      </c>
      <c r="AG13" s="1">
        <v>-5.8252427184465938E-2</v>
      </c>
      <c r="AH13" s="1">
        <v>-5.6603773584905523E-2</v>
      </c>
      <c r="AI13" s="1">
        <v>-5.9217288333492595E-2</v>
      </c>
      <c r="AJ13" s="1">
        <v>9.3740642952783795E-2</v>
      </c>
      <c r="AK13" s="5">
        <v>-4.5112781954887257E-2</v>
      </c>
      <c r="AL13" s="2">
        <v>0.94599999999999995</v>
      </c>
      <c r="AM13" s="2">
        <v>0.98399999999999999</v>
      </c>
      <c r="AN13" s="2">
        <v>0.56999999999999995</v>
      </c>
      <c r="AO13" s="2">
        <v>0.98431386446717495</v>
      </c>
      <c r="AP13" s="2">
        <v>0.43495422983075399</v>
      </c>
      <c r="AQ13" s="4">
        <v>0.93899999999999995</v>
      </c>
      <c r="AR13" s="2">
        <v>0.8859999999999999</v>
      </c>
      <c r="AS13" s="2">
        <v>0.94699999999999995</v>
      </c>
      <c r="AT13" s="2">
        <v>0.56599999999999995</v>
      </c>
      <c r="AU13" s="2">
        <v>0.98431386446717495</v>
      </c>
      <c r="AV13" s="2">
        <v>0.43495422983075399</v>
      </c>
      <c r="AW13" s="4">
        <v>0.93899999999999995</v>
      </c>
      <c r="AX13" s="1">
        <v>14.766666666666666</v>
      </c>
      <c r="AY13" s="1">
        <v>25.594594594594593</v>
      </c>
      <c r="AZ13" s="1">
        <v>141.49999999999997</v>
      </c>
      <c r="BA13" s="1" t="e">
        <v>#DIV/0!</v>
      </c>
      <c r="BB13" s="1" t="e">
        <v>#DIV/0!</v>
      </c>
      <c r="BC13" s="5" t="e">
        <v>#DIV/0!</v>
      </c>
      <c r="BD13" s="3">
        <f>$BH$1*F13+$BH$2*X13</f>
        <v>0.23233161173632211</v>
      </c>
      <c r="BE13" s="3">
        <f>$BH$1*M13+$BH$2*AE13</f>
        <v>5.7599999999999985E-2</v>
      </c>
    </row>
    <row r="14" spans="1:60">
      <c r="A14" t="s">
        <v>179</v>
      </c>
      <c r="B14" s="2">
        <v>0.241301652892562</v>
      </c>
      <c r="C14" s="2">
        <v>0.15</v>
      </c>
      <c r="D14" s="2">
        <v>5.5100000000000003E-2</v>
      </c>
      <c r="E14" s="2">
        <v>0.14699999999999999</v>
      </c>
      <c r="F14" s="2">
        <v>5.0500000000000003E-2</v>
      </c>
      <c r="G14" s="4">
        <v>0.23998333333333333</v>
      </c>
      <c r="H14" s="2">
        <v>-0.22969834710743797</v>
      </c>
      <c r="I14" s="2">
        <v>-0.22900000000000001</v>
      </c>
      <c r="J14" s="2">
        <v>-0.1469</v>
      </c>
      <c r="K14" s="2">
        <v>7.5814116216420493E-2</v>
      </c>
      <c r="L14" s="2">
        <v>3.5369351520426903E-2</v>
      </c>
      <c r="M14" s="4">
        <v>6.1983333333333335E-2</v>
      </c>
      <c r="N14" s="1">
        <v>-0.48768226562088746</v>
      </c>
      <c r="O14" s="1">
        <v>-0.60422163588390498</v>
      </c>
      <c r="P14" s="1">
        <v>-0.72722772277227721</v>
      </c>
      <c r="Q14" s="1">
        <v>1.0650161547043768</v>
      </c>
      <c r="R14" s="1">
        <v>2.3375965391157396</v>
      </c>
      <c r="S14" s="5">
        <v>0.34822097378277156</v>
      </c>
      <c r="T14" s="2">
        <v>0.81075321494182473</v>
      </c>
      <c r="U14" s="2">
        <v>0.79300000000000004</v>
      </c>
      <c r="V14" s="2">
        <v>0.56899999999999995</v>
      </c>
      <c r="W14" s="2">
        <v>0.76900000000000002</v>
      </c>
      <c r="X14" s="2">
        <v>0.505</v>
      </c>
      <c r="Y14" s="4">
        <v>0.78694021397105096</v>
      </c>
      <c r="Z14" s="2">
        <v>-2.6246785058175237E-2</v>
      </c>
      <c r="AA14" s="2">
        <v>-3.0999999999999917E-2</v>
      </c>
      <c r="AB14" s="2">
        <v>-1.4000000000000012E-2</v>
      </c>
      <c r="AC14" s="2">
        <v>-1.9160471554781955E-2</v>
      </c>
      <c r="AD14" s="2">
        <v>6.9056995892479989E-2</v>
      </c>
      <c r="AE14" s="4">
        <v>-1.1059786028949081E-2</v>
      </c>
      <c r="AF14" s="1">
        <v>-3.1358166138799569E-2</v>
      </c>
      <c r="AG14" s="1">
        <v>-3.7621359223300871E-2</v>
      </c>
      <c r="AH14" s="1">
        <v>-2.4013722126929697E-2</v>
      </c>
      <c r="AI14" s="1">
        <v>-2.4310368568706105E-2</v>
      </c>
      <c r="AJ14" s="1">
        <v>0.1584083131093163</v>
      </c>
      <c r="AK14" s="5">
        <v>-1.3859380988657995E-2</v>
      </c>
      <c r="AL14" s="2">
        <v>0.96273416407061274</v>
      </c>
      <c r="AM14" s="2">
        <v>0.98599999999999999</v>
      </c>
      <c r="AN14" s="2">
        <v>0.68899999999999995</v>
      </c>
      <c r="AO14" s="2">
        <v>0.96699999999999997</v>
      </c>
      <c r="AP14" s="2">
        <v>0.49299999999999999</v>
      </c>
      <c r="AQ14" s="4">
        <v>0.95429214659685868</v>
      </c>
      <c r="AR14" s="2">
        <v>0.9027341640706128</v>
      </c>
      <c r="AS14" s="2">
        <v>0.94899999999999995</v>
      </c>
      <c r="AT14" s="2">
        <v>0.68499999999999994</v>
      </c>
      <c r="AU14" s="2">
        <v>0.96699999999999997</v>
      </c>
      <c r="AV14" s="2">
        <v>0.49299999999999999</v>
      </c>
      <c r="AW14" s="4">
        <v>0.95429214659685868</v>
      </c>
      <c r="AX14" s="1">
        <v>15.045569401176881</v>
      </c>
      <c r="AY14" s="1">
        <v>25.648648648648649</v>
      </c>
      <c r="AZ14" s="1">
        <v>171.24999999999997</v>
      </c>
      <c r="BA14" s="1" t="e">
        <v>#DIV/0!</v>
      </c>
      <c r="BB14" s="1" t="e">
        <v>#DIV/0!</v>
      </c>
      <c r="BC14" s="5" t="e">
        <v>#DIV/0!</v>
      </c>
      <c r="BD14" s="3">
        <f>$BH$1*F14+$BH$2*X14</f>
        <v>0.23230000000000001</v>
      </c>
      <c r="BE14" s="3">
        <f>$BH$1*M14+$BH$2*AE14</f>
        <v>3.2766085588420368E-2</v>
      </c>
    </row>
    <row r="15" spans="1:60">
      <c r="A15" t="s">
        <v>84</v>
      </c>
      <c r="B15" s="2">
        <v>0.254</v>
      </c>
      <c r="C15" s="2">
        <v>0.16600000000000001</v>
      </c>
      <c r="D15" s="2">
        <v>7.3999999999999996E-2</v>
      </c>
      <c r="E15" s="2">
        <v>0.191</v>
      </c>
      <c r="F15" s="2">
        <v>6.9099999999999995E-2</v>
      </c>
      <c r="G15" s="4">
        <v>0.27700000000000002</v>
      </c>
      <c r="H15" s="2">
        <v>-0.21699999999999997</v>
      </c>
      <c r="I15" s="2">
        <v>-0.21299999999999999</v>
      </c>
      <c r="J15" s="2">
        <v>-0.128</v>
      </c>
      <c r="K15" s="2">
        <v>0.1198141162164205</v>
      </c>
      <c r="L15" s="2">
        <v>5.3969351520426895E-2</v>
      </c>
      <c r="M15" s="4">
        <v>9.9000000000000032E-2</v>
      </c>
      <c r="N15" s="1">
        <v>-0.46072186836518042</v>
      </c>
      <c r="O15" s="1">
        <v>-0.56200527704485481</v>
      </c>
      <c r="P15" s="1">
        <v>-0.63366336633663367</v>
      </c>
      <c r="Q15" s="1">
        <v>1.6831162282213334</v>
      </c>
      <c r="R15" s="1">
        <v>3.5668895218395558</v>
      </c>
      <c r="S15" s="5">
        <v>0.55617977528089912</v>
      </c>
      <c r="T15" s="2">
        <v>0.78200000000000003</v>
      </c>
      <c r="U15" s="2">
        <v>0.76</v>
      </c>
      <c r="V15" s="2">
        <v>0.53900000000000003</v>
      </c>
      <c r="W15" s="2">
        <v>0.73499999999999999</v>
      </c>
      <c r="X15" s="2">
        <v>0.47599999999999998</v>
      </c>
      <c r="Y15" s="4">
        <v>0.755</v>
      </c>
      <c r="Z15" s="2">
        <v>-5.4999999999999938E-2</v>
      </c>
      <c r="AA15" s="2">
        <v>-6.3999999999999946E-2</v>
      </c>
      <c r="AB15" s="2">
        <v>-4.3999999999999928E-2</v>
      </c>
      <c r="AC15" s="2">
        <v>-5.3160471554781985E-2</v>
      </c>
      <c r="AD15" s="2">
        <v>4.0056995892479963E-2</v>
      </c>
      <c r="AE15" s="4">
        <v>-4.3000000000000038E-2</v>
      </c>
      <c r="AF15" s="1">
        <v>-6.5710872162484987E-2</v>
      </c>
      <c r="AG15" s="1">
        <v>-7.7669902912621297E-2</v>
      </c>
      <c r="AH15" s="1">
        <v>-7.5471698113207433E-2</v>
      </c>
      <c r="AI15" s="1">
        <v>-6.7448791804940206E-2</v>
      </c>
      <c r="AJ15" s="1">
        <v>9.1885855524820842E-2</v>
      </c>
      <c r="AK15" s="5">
        <v>-5.3884711779448667E-2</v>
      </c>
      <c r="AL15" s="2">
        <v>0.99099999999999999</v>
      </c>
      <c r="AM15" s="2">
        <v>0.995</v>
      </c>
      <c r="AN15" s="2">
        <v>0.67900000000000005</v>
      </c>
      <c r="AO15" s="2">
        <v>0.995</v>
      </c>
      <c r="AP15" s="2">
        <v>0.53300000000000003</v>
      </c>
      <c r="AQ15" s="4">
        <v>0.99099999999999999</v>
      </c>
      <c r="AR15" s="2">
        <v>0.93100000000000005</v>
      </c>
      <c r="AS15" s="2">
        <v>0.95799999999999996</v>
      </c>
      <c r="AT15" s="2">
        <v>0.67500000000000004</v>
      </c>
      <c r="AU15" s="2">
        <v>0.995</v>
      </c>
      <c r="AV15" s="2">
        <v>0.53300000000000003</v>
      </c>
      <c r="AW15" s="4">
        <v>0.99099999999999999</v>
      </c>
      <c r="AX15" s="1">
        <v>15.516666666666667</v>
      </c>
      <c r="AY15" s="1">
        <v>25.891891891891891</v>
      </c>
      <c r="AZ15" s="1">
        <v>168.75</v>
      </c>
      <c r="BA15" s="1" t="e">
        <v>#DIV/0!</v>
      </c>
      <c r="BB15" s="1" t="e">
        <v>#DIV/0!</v>
      </c>
      <c r="BC15" s="5" t="e">
        <v>#DIV/0!</v>
      </c>
      <c r="BD15" s="3">
        <f>$BH$1*F15+$BH$2*X15</f>
        <v>0.23186000000000001</v>
      </c>
      <c r="BE15" s="3">
        <f>$BH$1*M15+$BH$2*AE15</f>
        <v>4.2200000000000001E-2</v>
      </c>
    </row>
    <row r="16" spans="1:60">
      <c r="A16" t="s">
        <v>76</v>
      </c>
      <c r="B16" s="2">
        <v>0.23599999999999999</v>
      </c>
      <c r="C16" s="2">
        <v>0.14499999999999999</v>
      </c>
      <c r="D16" s="2">
        <v>5.2999999999999999E-2</v>
      </c>
      <c r="E16" s="2">
        <v>0.182</v>
      </c>
      <c r="F16" s="2">
        <v>5.7599999999999998E-2</v>
      </c>
      <c r="G16" s="4">
        <v>0.25700000000000001</v>
      </c>
      <c r="H16" s="2">
        <v>-0.23499999999999999</v>
      </c>
      <c r="I16" s="2">
        <v>-0.23400000000000001</v>
      </c>
      <c r="J16" s="2">
        <v>-0.14900000000000002</v>
      </c>
      <c r="K16" s="2">
        <v>0.1108141162164205</v>
      </c>
      <c r="L16" s="2">
        <v>4.2469351520426898E-2</v>
      </c>
      <c r="M16" s="4">
        <v>7.9000000000000015E-2</v>
      </c>
      <c r="N16" s="1">
        <v>-0.49893842887473461</v>
      </c>
      <c r="O16" s="1">
        <v>-0.61741424802110823</v>
      </c>
      <c r="P16" s="1">
        <v>-0.73762376237623772</v>
      </c>
      <c r="Q16" s="1">
        <v>1.5566866677292286</v>
      </c>
      <c r="R16" s="1">
        <v>2.806842785209239</v>
      </c>
      <c r="S16" s="5">
        <v>0.44382022471910121</v>
      </c>
      <c r="T16" s="2">
        <v>0.79200000000000004</v>
      </c>
      <c r="U16" s="2">
        <v>0.77900000000000003</v>
      </c>
      <c r="V16" s="2">
        <v>0.55800000000000005</v>
      </c>
      <c r="W16" s="2">
        <v>0.749</v>
      </c>
      <c r="X16" s="2">
        <v>0.49199999999999999</v>
      </c>
      <c r="Y16" s="4">
        <v>0.76400000000000001</v>
      </c>
      <c r="Z16" s="2">
        <v>-4.4999999999999929E-2</v>
      </c>
      <c r="AA16" s="2">
        <v>-4.4999999999999929E-2</v>
      </c>
      <c r="AB16" s="2">
        <v>-2.4999999999999911E-2</v>
      </c>
      <c r="AC16" s="2">
        <v>-3.9160471554781973E-2</v>
      </c>
      <c r="AD16" s="2">
        <v>5.6056995892479977E-2</v>
      </c>
      <c r="AE16" s="4">
        <v>-3.400000000000003E-2</v>
      </c>
      <c r="AF16" s="1">
        <v>-5.3763440860214971E-2</v>
      </c>
      <c r="AG16" s="1">
        <v>-5.4611650485436813E-2</v>
      </c>
      <c r="AH16" s="1">
        <v>-4.2881646655231413E-2</v>
      </c>
      <c r="AI16" s="1">
        <v>-4.9685911648843811E-2</v>
      </c>
      <c r="AJ16" s="1">
        <v>0.1285879010886804</v>
      </c>
      <c r="AK16" s="5">
        <v>-4.2606516290726849E-2</v>
      </c>
      <c r="AL16" s="2">
        <v>0.97299999999999998</v>
      </c>
      <c r="AM16" s="2">
        <v>0.98699999999999999</v>
      </c>
      <c r="AN16" s="2">
        <v>0.71699999999999997</v>
      </c>
      <c r="AO16" s="2">
        <v>0.97599999999999998</v>
      </c>
      <c r="AP16" s="2">
        <v>0.59599999999999997</v>
      </c>
      <c r="AQ16" s="4">
        <v>0.96399999999999997</v>
      </c>
      <c r="AR16" s="2">
        <v>0.91300000000000003</v>
      </c>
      <c r="AS16" s="2">
        <v>0.95</v>
      </c>
      <c r="AT16" s="2">
        <v>0.71299999999999997</v>
      </c>
      <c r="AU16" s="2">
        <v>0.97599999999999998</v>
      </c>
      <c r="AV16" s="2">
        <v>0.59599999999999997</v>
      </c>
      <c r="AW16" s="4">
        <v>0.96399999999999997</v>
      </c>
      <c r="AX16" s="1">
        <v>15.216666666666669</v>
      </c>
      <c r="AY16" s="1">
        <v>25.675675675675677</v>
      </c>
      <c r="AZ16" s="1">
        <v>178.25</v>
      </c>
      <c r="BA16" s="1" t="e">
        <v>#DIV/0!</v>
      </c>
      <c r="BB16" s="1" t="e">
        <v>#DIV/0!</v>
      </c>
      <c r="BC16" s="5" t="e">
        <v>#DIV/0!</v>
      </c>
      <c r="BD16" s="3">
        <f>$BH$1*F16+$BH$2*X16</f>
        <v>0.23136000000000001</v>
      </c>
      <c r="BE16" s="3">
        <f>$BH$1*M16+$BH$2*AE16</f>
        <v>3.379999999999999E-2</v>
      </c>
    </row>
    <row r="17" spans="1:57">
      <c r="A17" t="s">
        <v>200</v>
      </c>
      <c r="B17" s="2">
        <v>0.21616513761467887</v>
      </c>
      <c r="C17" s="2">
        <v>0.13800000000000001</v>
      </c>
      <c r="D17" s="2">
        <v>5.2699999999999997E-2</v>
      </c>
      <c r="E17" s="2">
        <v>0.14699999999999999</v>
      </c>
      <c r="F17" s="2">
        <v>4.9500000000000002E-2</v>
      </c>
      <c r="G17" s="4">
        <v>0.20751923076923079</v>
      </c>
      <c r="H17" s="2">
        <v>-0.2548348623853211</v>
      </c>
      <c r="I17" s="2">
        <v>-0.24099999999999999</v>
      </c>
      <c r="J17" s="2">
        <v>-0.14930000000000002</v>
      </c>
      <c r="K17" s="2">
        <v>7.5814116216420493E-2</v>
      </c>
      <c r="L17" s="2">
        <v>3.4369351520426902E-2</v>
      </c>
      <c r="M17" s="4">
        <v>2.9519230769230798E-2</v>
      </c>
      <c r="N17" s="1">
        <v>-0.54105066323847373</v>
      </c>
      <c r="O17" s="1">
        <v>-0.63588390501319259</v>
      </c>
      <c r="P17" s="1">
        <v>-0.7391089108910891</v>
      </c>
      <c r="Q17" s="1">
        <v>1.0650161547043768</v>
      </c>
      <c r="R17" s="1">
        <v>2.2715055185391901</v>
      </c>
      <c r="S17" s="5">
        <v>0.1658383751080382</v>
      </c>
      <c r="T17" s="2">
        <v>0.80520024645717803</v>
      </c>
      <c r="U17" s="2">
        <v>0.79200000000000004</v>
      </c>
      <c r="V17" s="2">
        <v>0.56699999999999995</v>
      </c>
      <c r="W17" s="2">
        <v>0.76500000000000001</v>
      </c>
      <c r="X17" s="2">
        <v>0.504</v>
      </c>
      <c r="Y17" s="4">
        <v>0.78230234029095513</v>
      </c>
      <c r="Z17" s="2">
        <v>-3.179975354282194E-2</v>
      </c>
      <c r="AA17" s="2">
        <v>-3.1999999999999917E-2</v>
      </c>
      <c r="AB17" s="2">
        <v>-1.6000000000000014E-2</v>
      </c>
      <c r="AC17" s="2">
        <v>-2.3160471554781958E-2</v>
      </c>
      <c r="AD17" s="2">
        <v>6.8056995892479988E-2</v>
      </c>
      <c r="AE17" s="4">
        <v>-1.5697659709044909E-2</v>
      </c>
      <c r="AF17" s="1">
        <v>-3.7992537088198254E-2</v>
      </c>
      <c r="AG17" s="1">
        <v>-3.8834951456310579E-2</v>
      </c>
      <c r="AH17" s="1">
        <v>-2.7444253859348226E-2</v>
      </c>
      <c r="AI17" s="1">
        <v>-2.9385477184733649E-2</v>
      </c>
      <c r="AJ17" s="1">
        <v>0.15611443526157506</v>
      </c>
      <c r="AK17" s="5">
        <v>-1.9671252768226701E-2</v>
      </c>
      <c r="AL17" s="2">
        <v>0.96287701089776845</v>
      </c>
      <c r="AM17" s="2">
        <v>0.98499999999999999</v>
      </c>
      <c r="AN17" s="2">
        <v>0.68700000000000006</v>
      </c>
      <c r="AO17" s="2">
        <v>0.97499999999999998</v>
      </c>
      <c r="AP17" s="2">
        <v>0.51200000000000001</v>
      </c>
      <c r="AQ17" s="4">
        <v>0.95387113672079626</v>
      </c>
      <c r="AR17" s="2">
        <v>0.9028770108977684</v>
      </c>
      <c r="AS17" s="2">
        <v>0.94799999999999995</v>
      </c>
      <c r="AT17" s="2">
        <v>0.68300000000000005</v>
      </c>
      <c r="AU17" s="2">
        <v>0.97499999999999998</v>
      </c>
      <c r="AV17" s="2">
        <v>0.51200000000000001</v>
      </c>
      <c r="AW17" s="4">
        <v>0.95387113672079626</v>
      </c>
      <c r="AX17" s="1">
        <v>15.047950181629474</v>
      </c>
      <c r="AY17" s="1">
        <v>25.621621621621621</v>
      </c>
      <c r="AZ17" s="1">
        <v>170.75</v>
      </c>
      <c r="BA17" s="1" t="e">
        <v>#DIV/0!</v>
      </c>
      <c r="BB17" s="1" t="e">
        <v>#DIV/0!</v>
      </c>
      <c r="BC17" s="5" t="e">
        <v>#DIV/0!</v>
      </c>
      <c r="BD17" s="3">
        <f>$BH$1*F17+$BH$2*X17</f>
        <v>0.23130000000000001</v>
      </c>
      <c r="BE17" s="3">
        <f>$BH$1*M17+$BH$2*AE17</f>
        <v>1.1432474577920512E-2</v>
      </c>
    </row>
    <row r="18" spans="1:57">
      <c r="A18" t="s">
        <v>9</v>
      </c>
      <c r="B18" s="2">
        <v>0.249</v>
      </c>
      <c r="C18" s="2">
        <v>0.156</v>
      </c>
      <c r="D18" s="2">
        <v>6.2E-2</v>
      </c>
      <c r="E18" s="2">
        <v>0.14599999999999999</v>
      </c>
      <c r="F18" s="2">
        <v>5.1200000000000002E-2</v>
      </c>
      <c r="G18" s="4">
        <v>0.23</v>
      </c>
      <c r="H18" s="2">
        <v>-0.22199999999999998</v>
      </c>
      <c r="I18" s="2">
        <v>-0.223</v>
      </c>
      <c r="J18" s="2">
        <v>-0.14000000000000001</v>
      </c>
      <c r="K18" s="2">
        <v>7.4814116216420493E-2</v>
      </c>
      <c r="L18" s="2">
        <v>3.6069351520426902E-2</v>
      </c>
      <c r="M18" s="4">
        <v>5.2000000000000018E-2</v>
      </c>
      <c r="N18" s="1">
        <v>-0.47133757961783435</v>
      </c>
      <c r="O18" s="1">
        <v>-0.58839050131926118</v>
      </c>
      <c r="P18" s="1">
        <v>-0.69306930693069313</v>
      </c>
      <c r="Q18" s="1">
        <v>1.0509684257608096</v>
      </c>
      <c r="R18" s="1">
        <v>2.3838602535193241</v>
      </c>
      <c r="S18" s="5">
        <v>0.29213483146067426</v>
      </c>
      <c r="T18" s="2">
        <v>0.80900000000000005</v>
      </c>
      <c r="U18" s="2">
        <v>0.79500000000000004</v>
      </c>
      <c r="V18" s="2">
        <v>0.56799999999999995</v>
      </c>
      <c r="W18" s="2">
        <v>0.77</v>
      </c>
      <c r="X18" s="2">
        <v>0.501</v>
      </c>
      <c r="Y18" s="4">
        <v>0.79100000000000004</v>
      </c>
      <c r="Z18" s="2">
        <v>-2.7999999999999914E-2</v>
      </c>
      <c r="AA18" s="2">
        <v>-2.8999999999999915E-2</v>
      </c>
      <c r="AB18" s="2">
        <v>-1.5000000000000013E-2</v>
      </c>
      <c r="AC18" s="2">
        <v>-1.8160471554781954E-2</v>
      </c>
      <c r="AD18" s="2">
        <v>6.5056995892479985E-2</v>
      </c>
      <c r="AE18" s="4">
        <v>-7.0000000000000062E-3</v>
      </c>
      <c r="AF18" s="1">
        <v>-3.3452807646355935E-2</v>
      </c>
      <c r="AG18" s="1">
        <v>-3.5194174757281455E-2</v>
      </c>
      <c r="AH18" s="1">
        <v>-2.5728987993138962E-2</v>
      </c>
      <c r="AI18" s="1">
        <v>-2.304159141469922E-2</v>
      </c>
      <c r="AJ18" s="1">
        <v>0.1492328017183514</v>
      </c>
      <c r="AK18" s="5">
        <v>-8.7719298245614117E-3</v>
      </c>
      <c r="AL18" s="2">
        <v>0.95199999999999996</v>
      </c>
      <c r="AM18" s="2">
        <v>0.98199999999999998</v>
      </c>
      <c r="AN18" s="2">
        <v>0.65700000000000003</v>
      </c>
      <c r="AO18" s="2">
        <v>0.96199999999999997</v>
      </c>
      <c r="AP18" s="2">
        <v>0.49299999999999999</v>
      </c>
      <c r="AQ18" s="4">
        <v>0.94299999999999995</v>
      </c>
      <c r="AR18" s="2">
        <v>0.8919999999999999</v>
      </c>
      <c r="AS18" s="2">
        <v>0.94499999999999995</v>
      </c>
      <c r="AT18" s="2">
        <v>0.65300000000000002</v>
      </c>
      <c r="AU18" s="2">
        <v>0.96199999999999997</v>
      </c>
      <c r="AV18" s="2">
        <v>0.49299999999999999</v>
      </c>
      <c r="AW18" s="4">
        <v>0.94299999999999995</v>
      </c>
      <c r="AX18" s="1">
        <v>14.866666666666665</v>
      </c>
      <c r="AY18" s="1">
        <v>25.54054054054054</v>
      </c>
      <c r="AZ18" s="1">
        <v>163.25</v>
      </c>
      <c r="BA18" s="1" t="e">
        <v>#DIV/0!</v>
      </c>
      <c r="BB18" s="1" t="e">
        <v>#DIV/0!</v>
      </c>
      <c r="BC18" s="5" t="e">
        <v>#DIV/0!</v>
      </c>
      <c r="BD18" s="3">
        <f>$BH$1*F18+$BH$2*X18</f>
        <v>0.23112000000000002</v>
      </c>
      <c r="BE18" s="3">
        <f>$BH$1*M18+$BH$2*AE18</f>
        <v>2.8400000000000005E-2</v>
      </c>
    </row>
    <row r="19" spans="1:57">
      <c r="A19" t="s">
        <v>49</v>
      </c>
      <c r="B19" s="2">
        <v>0.25</v>
      </c>
      <c r="C19" s="2">
        <v>0.16</v>
      </c>
      <c r="D19" s="2">
        <v>6.4000000000000001E-2</v>
      </c>
      <c r="E19" s="2">
        <v>0.14499999999999999</v>
      </c>
      <c r="F19" s="2">
        <v>4.8500000000000001E-2</v>
      </c>
      <c r="G19" s="4">
        <v>0.22900000000000001</v>
      </c>
      <c r="H19" s="2">
        <v>-0.22099999999999997</v>
      </c>
      <c r="I19" s="2">
        <v>-0.219</v>
      </c>
      <c r="J19" s="2">
        <v>-0.13800000000000001</v>
      </c>
      <c r="K19" s="2">
        <v>7.3814116216420492E-2</v>
      </c>
      <c r="L19" s="2">
        <v>3.3369351520426901E-2</v>
      </c>
      <c r="M19" s="4">
        <v>5.1000000000000018E-2</v>
      </c>
      <c r="N19" s="1">
        <v>-0.46921443736730356</v>
      </c>
      <c r="O19" s="1">
        <v>-0.57783641160949872</v>
      </c>
      <c r="P19" s="1">
        <v>-0.68316831683168322</v>
      </c>
      <c r="Q19" s="1">
        <v>1.0369206968172424</v>
      </c>
      <c r="R19" s="1">
        <v>2.2054144979626407</v>
      </c>
      <c r="S19" s="5">
        <v>0.28651685393258436</v>
      </c>
      <c r="T19" s="2">
        <v>0.81</v>
      </c>
      <c r="U19" s="2">
        <v>0.79900000000000004</v>
      </c>
      <c r="V19" s="2">
        <v>0.57199999999999995</v>
      </c>
      <c r="W19" s="2">
        <v>0.77</v>
      </c>
      <c r="X19" s="2">
        <v>0.502</v>
      </c>
      <c r="Y19" s="4">
        <v>0.78900000000000003</v>
      </c>
      <c r="Z19" s="2">
        <v>-2.6999999999999913E-2</v>
      </c>
      <c r="AA19" s="2">
        <v>-2.4999999999999911E-2</v>
      </c>
      <c r="AB19" s="2">
        <v>-1.100000000000001E-2</v>
      </c>
      <c r="AC19" s="2">
        <v>-1.8160471554781954E-2</v>
      </c>
      <c r="AD19" s="2">
        <v>6.6056995892479986E-2</v>
      </c>
      <c r="AE19" s="4">
        <v>-9.000000000000008E-3</v>
      </c>
      <c r="AF19" s="1">
        <v>-3.2258064516128927E-2</v>
      </c>
      <c r="AG19" s="1">
        <v>-3.0339805825242611E-2</v>
      </c>
      <c r="AH19" s="1">
        <v>-1.8867924528301903E-2</v>
      </c>
      <c r="AI19" s="1">
        <v>-2.304159141469922E-2</v>
      </c>
      <c r="AJ19" s="1">
        <v>0.15152667956609261</v>
      </c>
      <c r="AK19" s="5">
        <v>-1.1278195488721814E-2</v>
      </c>
      <c r="AL19" s="2">
        <v>0.95399999999999996</v>
      </c>
      <c r="AM19" s="2">
        <v>0.97799999999999998</v>
      </c>
      <c r="AN19" s="2">
        <v>0.629</v>
      </c>
      <c r="AO19" s="2">
        <v>0.95699999999999996</v>
      </c>
      <c r="AP19" s="2">
        <v>0.46700000000000003</v>
      </c>
      <c r="AQ19" s="4">
        <v>0.93600000000000005</v>
      </c>
      <c r="AR19" s="2">
        <v>0.89399999999999991</v>
      </c>
      <c r="AS19" s="2">
        <v>0.94099999999999995</v>
      </c>
      <c r="AT19" s="2">
        <v>0.625</v>
      </c>
      <c r="AU19" s="2">
        <v>0.95699999999999996</v>
      </c>
      <c r="AV19" s="2">
        <v>0.46700000000000003</v>
      </c>
      <c r="AW19" s="4">
        <v>0.93600000000000005</v>
      </c>
      <c r="AX19" s="1">
        <v>14.899999999999999</v>
      </c>
      <c r="AY19" s="1">
        <v>25.432432432432432</v>
      </c>
      <c r="AZ19" s="1">
        <v>156.25</v>
      </c>
      <c r="BA19" s="1" t="e">
        <v>#DIV/0!</v>
      </c>
      <c r="BB19" s="1" t="e">
        <v>#DIV/0!</v>
      </c>
      <c r="BC19" s="5" t="e">
        <v>#DIV/0!</v>
      </c>
      <c r="BD19" s="3">
        <f>$BH$1*F19+$BH$2*X19</f>
        <v>0.22989999999999999</v>
      </c>
      <c r="BE19" s="3">
        <f>$BH$1*M19+$BH$2*AE19</f>
        <v>2.7000000000000007E-2</v>
      </c>
    </row>
    <row r="20" spans="1:57">
      <c r="A20" t="s">
        <v>141</v>
      </c>
      <c r="B20" s="2">
        <v>0.28699999999999998</v>
      </c>
      <c r="C20" s="2">
        <v>0.247</v>
      </c>
      <c r="D20" s="2">
        <v>0.1</v>
      </c>
      <c r="E20" s="2">
        <v>0.22800000000000001</v>
      </c>
      <c r="F20" s="9">
        <v>8.1500000000000003E-2</v>
      </c>
      <c r="G20" s="4">
        <v>0.28699999999999998</v>
      </c>
      <c r="H20" s="2">
        <v>-0.184</v>
      </c>
      <c r="I20" s="2">
        <v>-0.13200000000000001</v>
      </c>
      <c r="J20" s="2">
        <v>-0.10200000000000001</v>
      </c>
      <c r="K20" s="2">
        <v>0.1568141162164205</v>
      </c>
      <c r="L20" s="2">
        <v>6.6369351520426903E-2</v>
      </c>
      <c r="M20" s="4">
        <v>0.10899999999999999</v>
      </c>
      <c r="N20" s="1">
        <v>-0.39065817409766457</v>
      </c>
      <c r="O20" s="1">
        <v>-0.34828496042216361</v>
      </c>
      <c r="P20" s="1">
        <v>-0.50495049504950495</v>
      </c>
      <c r="Q20" s="1">
        <v>2.2028821991333194</v>
      </c>
      <c r="R20" s="1">
        <v>4.3864181769887676</v>
      </c>
      <c r="S20" s="5">
        <v>0.61235955056179769</v>
      </c>
      <c r="T20" s="2">
        <v>0.77100000000000002</v>
      </c>
      <c r="U20" s="2">
        <v>0.74299999999999999</v>
      </c>
      <c r="V20" s="2">
        <v>0.51100000000000001</v>
      </c>
      <c r="W20" s="2">
        <v>0.71</v>
      </c>
      <c r="X20" s="2">
        <v>0.45200000000000001</v>
      </c>
      <c r="Y20" s="4">
        <v>0.73899999999999999</v>
      </c>
      <c r="Z20" s="2">
        <v>-6.5999999999999948E-2</v>
      </c>
      <c r="AA20" s="2">
        <v>-8.0999999999999961E-2</v>
      </c>
      <c r="AB20" s="2">
        <v>-7.1999999999999953E-2</v>
      </c>
      <c r="AC20" s="2">
        <v>-7.8160471554782007E-2</v>
      </c>
      <c r="AD20" s="2">
        <v>1.6056995892479997E-2</v>
      </c>
      <c r="AE20" s="4">
        <v>-5.9000000000000052E-2</v>
      </c>
      <c r="AF20" s="1">
        <v>-7.8853046594982018E-2</v>
      </c>
      <c r="AG20" s="1">
        <v>-9.8300970873786364E-2</v>
      </c>
      <c r="AH20" s="1">
        <v>-0.12349914236706683</v>
      </c>
      <c r="AI20" s="1">
        <v>-9.9168220655112341E-2</v>
      </c>
      <c r="AJ20" s="1">
        <v>3.6832787179031629E-2</v>
      </c>
      <c r="AK20" s="5">
        <v>-7.3934837092731895E-2</v>
      </c>
      <c r="AL20" s="2">
        <v>0.99099999999999999</v>
      </c>
      <c r="AM20" s="2">
        <v>0.99399999999999999</v>
      </c>
      <c r="AN20" s="2">
        <v>0.66300000000000003</v>
      </c>
      <c r="AO20" s="2">
        <v>0.98499999999999999</v>
      </c>
      <c r="AP20" s="2">
        <v>0.57099999999999995</v>
      </c>
      <c r="AQ20" s="4">
        <v>0.98199999999999998</v>
      </c>
      <c r="AR20" s="2">
        <v>0.93100000000000005</v>
      </c>
      <c r="AS20" s="2">
        <v>0.95699999999999996</v>
      </c>
      <c r="AT20" s="2">
        <v>0.65900000000000003</v>
      </c>
      <c r="AU20" s="2">
        <v>0.98499999999999999</v>
      </c>
      <c r="AV20" s="2">
        <v>0.57099999999999995</v>
      </c>
      <c r="AW20" s="4">
        <v>0.98199999999999998</v>
      </c>
      <c r="AX20" s="1">
        <v>15.516666666666667</v>
      </c>
      <c r="AY20" s="1">
        <v>25.864864864864867</v>
      </c>
      <c r="AZ20" s="1">
        <v>164.75</v>
      </c>
      <c r="BA20" s="1" t="e">
        <v>#DIV/0!</v>
      </c>
      <c r="BB20" s="1" t="e">
        <v>#DIV/0!</v>
      </c>
      <c r="BC20" s="5" t="e">
        <v>#DIV/0!</v>
      </c>
      <c r="BD20" s="3">
        <f>$BH$1*F20+$BH$2*X20</f>
        <v>0.22970000000000002</v>
      </c>
      <c r="BE20" s="3">
        <f>$BH$1*M20+$BH$2*AE20</f>
        <v>4.1799999999999962E-2</v>
      </c>
    </row>
    <row r="21" spans="1:57">
      <c r="A21" t="s">
        <v>80</v>
      </c>
      <c r="B21" s="2">
        <v>0.23</v>
      </c>
      <c r="C21" s="2">
        <v>0.14299999999999999</v>
      </c>
      <c r="D21" s="2">
        <v>5.8000000000000003E-2</v>
      </c>
      <c r="E21" s="2">
        <v>0.158</v>
      </c>
      <c r="F21" s="2">
        <v>5.9700000000000003E-2</v>
      </c>
      <c r="G21" s="4">
        <v>0.22900000000000001</v>
      </c>
      <c r="H21" s="2">
        <v>-0.24099999999999996</v>
      </c>
      <c r="I21" s="2">
        <v>-0.23600000000000002</v>
      </c>
      <c r="J21" s="2">
        <v>-0.14400000000000002</v>
      </c>
      <c r="K21" s="2">
        <v>8.6814116216420503E-2</v>
      </c>
      <c r="L21" s="2">
        <v>4.4569351520426903E-2</v>
      </c>
      <c r="M21" s="4">
        <v>5.1000000000000018E-2</v>
      </c>
      <c r="N21" s="1">
        <v>-0.51167728237791932</v>
      </c>
      <c r="O21" s="1">
        <v>-0.62269129287598945</v>
      </c>
      <c r="P21" s="1">
        <v>-0.71287128712871295</v>
      </c>
      <c r="Q21" s="1">
        <v>1.2195411730836161</v>
      </c>
      <c r="R21" s="1">
        <v>2.9456339284199928</v>
      </c>
      <c r="S21" s="5">
        <v>0.28651685393258436</v>
      </c>
      <c r="T21" s="2">
        <v>0.78600000000000003</v>
      </c>
      <c r="U21" s="2">
        <v>0.77800000000000002</v>
      </c>
      <c r="V21" s="2">
        <v>0.55200000000000005</v>
      </c>
      <c r="W21" s="2">
        <v>0.746</v>
      </c>
      <c r="X21" s="2">
        <v>0.48299999999999998</v>
      </c>
      <c r="Y21" s="4">
        <v>0.75900000000000001</v>
      </c>
      <c r="Z21" s="2">
        <v>-5.0999999999999934E-2</v>
      </c>
      <c r="AA21" s="2">
        <v>-4.599999999999993E-2</v>
      </c>
      <c r="AB21" s="2">
        <v>-3.0999999999999917E-2</v>
      </c>
      <c r="AC21" s="2">
        <v>-4.2160471554781975E-2</v>
      </c>
      <c r="AD21" s="2">
        <v>4.7056995892479969E-2</v>
      </c>
      <c r="AE21" s="4">
        <v>-3.9000000000000035E-2</v>
      </c>
      <c r="AF21" s="1">
        <v>-6.0931899641576984E-2</v>
      </c>
      <c r="AG21" s="1">
        <v>-5.5825242718446522E-2</v>
      </c>
      <c r="AH21" s="1">
        <v>-5.3173241852486994E-2</v>
      </c>
      <c r="AI21" s="1">
        <v>-5.3492243110864465E-2</v>
      </c>
      <c r="AJ21" s="1">
        <v>0.1079430004590094</v>
      </c>
      <c r="AK21" s="5">
        <v>-4.8872180451127858E-2</v>
      </c>
      <c r="AL21" s="2">
        <v>0.97699999999999998</v>
      </c>
      <c r="AM21" s="2">
        <v>0.98599999999999999</v>
      </c>
      <c r="AN21" s="2">
        <v>0.71499999999999997</v>
      </c>
      <c r="AO21" s="2">
        <v>0.97699999999999998</v>
      </c>
      <c r="AP21" s="2">
        <v>0.58799999999999997</v>
      </c>
      <c r="AQ21" s="4">
        <v>0.96799999999999997</v>
      </c>
      <c r="AR21" s="2">
        <v>0.91700000000000004</v>
      </c>
      <c r="AS21" s="2">
        <v>0.94899999999999995</v>
      </c>
      <c r="AT21" s="2">
        <v>0.71099999999999997</v>
      </c>
      <c r="AU21" s="2">
        <v>0.97699999999999998</v>
      </c>
      <c r="AV21" s="2">
        <v>0.58799999999999997</v>
      </c>
      <c r="AW21" s="4">
        <v>0.96799999999999997</v>
      </c>
      <c r="AX21" s="1">
        <v>15.283333333333335</v>
      </c>
      <c r="AY21" s="1">
        <v>25.648648648648649</v>
      </c>
      <c r="AZ21" s="1">
        <v>177.75</v>
      </c>
      <c r="BA21" s="1" t="e">
        <v>#DIV/0!</v>
      </c>
      <c r="BB21" s="1" t="e">
        <v>#DIV/0!</v>
      </c>
      <c r="BC21" s="5" t="e">
        <v>#DIV/0!</v>
      </c>
      <c r="BD21" s="3">
        <f>$BH$1*F21+$BH$2*X21</f>
        <v>0.22902</v>
      </c>
      <c r="BE21" s="3">
        <f>$BH$1*M21+$BH$2*AE21</f>
        <v>1.4999999999999994E-2</v>
      </c>
    </row>
    <row r="22" spans="1:57">
      <c r="A22" t="s">
        <v>186</v>
      </c>
      <c r="B22" s="2">
        <v>0.24241649484536085</v>
      </c>
      <c r="C22" s="2">
        <v>0.16200000000000001</v>
      </c>
      <c r="D22" s="2">
        <v>6.1899999999999997E-2</v>
      </c>
      <c r="E22" s="2">
        <v>0.13400000000000001</v>
      </c>
      <c r="F22" s="2">
        <v>4.4999999999999998E-2</v>
      </c>
      <c r="G22" s="4">
        <v>0.23732210526315789</v>
      </c>
      <c r="H22" s="2">
        <v>-0.22858350515463913</v>
      </c>
      <c r="I22" s="2">
        <v>-0.217</v>
      </c>
      <c r="J22" s="2">
        <v>-0.1401</v>
      </c>
      <c r="K22" s="2">
        <v>6.281411621642051E-2</v>
      </c>
      <c r="L22" s="2">
        <v>2.9869351520426898E-2</v>
      </c>
      <c r="M22" s="4">
        <v>5.9322105263157898E-2</v>
      </c>
      <c r="N22" s="1">
        <v>-0.48531529756823599</v>
      </c>
      <c r="O22" s="1">
        <v>-0.57255936675461738</v>
      </c>
      <c r="P22" s="1">
        <v>-0.69356435643564351</v>
      </c>
      <c r="Q22" s="1">
        <v>0.88239567843800359</v>
      </c>
      <c r="R22" s="1">
        <v>1.9740959259447179</v>
      </c>
      <c r="S22" s="5">
        <v>0.33327025428740392</v>
      </c>
      <c r="T22" s="2">
        <v>0.80509999999999993</v>
      </c>
      <c r="U22" s="2">
        <v>0.79400000000000004</v>
      </c>
      <c r="V22" s="2">
        <v>0.56899999999999995</v>
      </c>
      <c r="W22" s="2">
        <v>0.77</v>
      </c>
      <c r="X22" s="2">
        <v>0.503</v>
      </c>
      <c r="Y22" s="4">
        <v>0.78446725440806042</v>
      </c>
      <c r="Z22" s="2">
        <v>-3.1900000000000039E-2</v>
      </c>
      <c r="AA22" s="2">
        <v>-2.9999999999999916E-2</v>
      </c>
      <c r="AB22" s="2">
        <v>-1.4000000000000012E-2</v>
      </c>
      <c r="AC22" s="2">
        <v>-1.8160471554781954E-2</v>
      </c>
      <c r="AD22" s="2">
        <v>6.7056995892479987E-2</v>
      </c>
      <c r="AE22" s="4">
        <v>-1.3532745591939621E-2</v>
      </c>
      <c r="AF22" s="1">
        <v>-3.8112305854241385E-2</v>
      </c>
      <c r="AG22" s="1">
        <v>-3.6407766990291163E-2</v>
      </c>
      <c r="AH22" s="1">
        <v>-2.4013722126929697E-2</v>
      </c>
      <c r="AI22" s="1">
        <v>-2.304159141469922E-2</v>
      </c>
      <c r="AJ22" s="1">
        <v>0.15382055741383385</v>
      </c>
      <c r="AK22" s="5">
        <v>-1.6958327809448146E-2</v>
      </c>
      <c r="AL22" s="2">
        <v>0.94889462592202323</v>
      </c>
      <c r="AM22" s="2">
        <v>0.98099999999999998</v>
      </c>
      <c r="AN22" s="2">
        <v>0.65800000000000003</v>
      </c>
      <c r="AO22" s="2">
        <v>0.96099999999999997</v>
      </c>
      <c r="AP22" s="2">
        <v>0.48099999999999998</v>
      </c>
      <c r="AQ22" s="4">
        <v>0.94048565356004243</v>
      </c>
      <c r="AR22" s="2">
        <v>0.88889462592202317</v>
      </c>
      <c r="AS22" s="2">
        <v>0.94399999999999995</v>
      </c>
      <c r="AT22" s="2">
        <v>0.65400000000000003</v>
      </c>
      <c r="AU22" s="2">
        <v>0.96099999999999997</v>
      </c>
      <c r="AV22" s="2">
        <v>0.48099999999999998</v>
      </c>
      <c r="AW22" s="4">
        <v>0.94048565356004243</v>
      </c>
      <c r="AX22" s="1">
        <v>14.81491043203372</v>
      </c>
      <c r="AY22" s="1">
        <v>25.513513513513512</v>
      </c>
      <c r="AZ22" s="1">
        <v>163.5</v>
      </c>
      <c r="BA22" s="1" t="e">
        <v>#DIV/0!</v>
      </c>
      <c r="BB22" s="1" t="e">
        <v>#DIV/0!</v>
      </c>
      <c r="BC22" s="5" t="e">
        <v>#DIV/0!</v>
      </c>
      <c r="BD22" s="3">
        <f>$BH$1*F22+$BH$2*X22</f>
        <v>0.22820000000000001</v>
      </c>
      <c r="BE22" s="3">
        <f>$BH$1*M22+$BH$2*AE22</f>
        <v>3.0180164921118892E-2</v>
      </c>
    </row>
    <row r="23" spans="1:57">
      <c r="A23" t="s">
        <v>65</v>
      </c>
      <c r="B23" s="2">
        <v>0.32100000000000001</v>
      </c>
      <c r="C23" s="2">
        <v>0.22</v>
      </c>
      <c r="D23" s="2">
        <v>8.8999999999999996E-2</v>
      </c>
      <c r="E23" s="2">
        <v>0.22668513710514701</v>
      </c>
      <c r="F23" s="2">
        <v>6.4751058628537E-2</v>
      </c>
      <c r="G23" s="4">
        <v>0.30599999999999999</v>
      </c>
      <c r="H23" s="9">
        <v>-0.14999999999999997</v>
      </c>
      <c r="I23" s="9">
        <v>-0.159</v>
      </c>
      <c r="J23" s="9">
        <v>-0.11300000000000002</v>
      </c>
      <c r="K23" s="9">
        <v>0.1554992533215675</v>
      </c>
      <c r="L23" s="9">
        <v>4.96204101489639E-2</v>
      </c>
      <c r="M23" s="4">
        <v>0.128</v>
      </c>
      <c r="N23" s="1">
        <v>-0.31847133757961776</v>
      </c>
      <c r="O23" s="1">
        <v>-0.41952506596306066</v>
      </c>
      <c r="P23" s="1">
        <v>-0.55940594059405946</v>
      </c>
      <c r="Q23" s="1">
        <v>2.1844113615884702</v>
      </c>
      <c r="R23" s="1">
        <v>3.2794635481719885</v>
      </c>
      <c r="S23" s="5">
        <v>0.71910112359550571</v>
      </c>
      <c r="T23" s="2">
        <v>0.80300000000000005</v>
      </c>
      <c r="U23" s="2">
        <v>0.79300000000000004</v>
      </c>
      <c r="V23" s="2">
        <v>0.55400000000000005</v>
      </c>
      <c r="W23" s="2">
        <v>0.76617075065795104</v>
      </c>
      <c r="X23" s="2">
        <v>0.473076501969657</v>
      </c>
      <c r="Y23" s="4">
        <v>0.78300000000000003</v>
      </c>
      <c r="Z23" s="2">
        <v>-3.3999999999999919E-2</v>
      </c>
      <c r="AA23" s="2">
        <v>-3.0999999999999917E-2</v>
      </c>
      <c r="AB23" s="2">
        <v>-2.8999999999999915E-2</v>
      </c>
      <c r="AC23" s="2">
        <v>-2.1989720896830933E-2</v>
      </c>
      <c r="AD23" s="2">
        <v>3.7133497862136988E-2</v>
      </c>
      <c r="AE23" s="4">
        <v>-1.5000000000000013E-2</v>
      </c>
      <c r="AF23" s="1">
        <v>-4.0621266427717947E-2</v>
      </c>
      <c r="AG23" s="1">
        <v>-3.7621359223300871E-2</v>
      </c>
      <c r="AH23" s="1">
        <v>-4.9742710120068465E-2</v>
      </c>
      <c r="AI23" s="1">
        <v>-2.7900055496886858E-2</v>
      </c>
      <c r="AJ23" s="1">
        <v>8.5179708155102007E-2</v>
      </c>
      <c r="AK23" s="5">
        <v>-1.8796992481203024E-2</v>
      </c>
      <c r="AL23" s="2">
        <v>0.81799999999999995</v>
      </c>
      <c r="AM23" s="2">
        <v>0.89100000000000001</v>
      </c>
      <c r="AN23" s="2">
        <v>0.48899999999999999</v>
      </c>
      <c r="AO23" s="2">
        <v>0.87724899101919596</v>
      </c>
      <c r="AP23" s="2">
        <v>0.29224335014938302</v>
      </c>
      <c r="AQ23" s="4">
        <v>0.80800000000000005</v>
      </c>
      <c r="AR23" s="2">
        <v>0.75800000000000001</v>
      </c>
      <c r="AS23" s="2">
        <v>0.85399999999999998</v>
      </c>
      <c r="AT23" s="2">
        <v>0.48499999999999999</v>
      </c>
      <c r="AU23" s="2">
        <v>0.87724899101919596</v>
      </c>
      <c r="AV23" s="2">
        <v>0.29224335014938302</v>
      </c>
      <c r="AW23" s="4">
        <v>0.80800000000000005</v>
      </c>
      <c r="AX23" s="1">
        <v>12.633333333333335</v>
      </c>
      <c r="AY23" s="1">
        <v>23.081081081081081</v>
      </c>
      <c r="AZ23" s="1">
        <v>121.25</v>
      </c>
      <c r="BA23" s="1" t="e">
        <v>#DIV/0!</v>
      </c>
      <c r="BB23" s="1" t="e">
        <v>#DIV/0!</v>
      </c>
      <c r="BC23" s="5" t="e">
        <v>#DIV/0!</v>
      </c>
      <c r="BD23" s="3">
        <f>$BH$1*F23+$BH$2*X23</f>
        <v>0.228081235964985</v>
      </c>
      <c r="BE23" s="3">
        <f>$BH$1*M23+$BH$2*AE23</f>
        <v>7.0799999999999988E-2</v>
      </c>
    </row>
    <row r="24" spans="1:57">
      <c r="A24" t="s">
        <v>61</v>
      </c>
      <c r="B24" s="2">
        <v>0.32400000000000001</v>
      </c>
      <c r="C24" s="2">
        <v>0.218</v>
      </c>
      <c r="D24" s="2">
        <v>8.7999999999999995E-2</v>
      </c>
      <c r="E24" s="2">
        <v>0.224021971644004</v>
      </c>
      <c r="F24" s="2">
        <v>6.4195345079886806E-2</v>
      </c>
      <c r="G24" s="4">
        <v>0.32</v>
      </c>
      <c r="H24" s="9">
        <v>-0.14699999999999996</v>
      </c>
      <c r="I24" s="9">
        <v>-0.161</v>
      </c>
      <c r="J24" s="9">
        <v>-0.11400000000000002</v>
      </c>
      <c r="K24" s="9">
        <v>0.15283608786042452</v>
      </c>
      <c r="L24" s="9">
        <v>4.9064696600313706E-2</v>
      </c>
      <c r="M24" s="4">
        <v>0.14200000000000002</v>
      </c>
      <c r="N24" s="1">
        <v>-0.31210191082802541</v>
      </c>
      <c r="O24" s="1">
        <v>-0.42480211081794195</v>
      </c>
      <c r="P24" s="1">
        <v>-0.56435643564356441</v>
      </c>
      <c r="Q24" s="1">
        <v>2.1469999350584636</v>
      </c>
      <c r="R24" s="1">
        <v>3.2427358725934812</v>
      </c>
      <c r="S24" s="5">
        <v>0.79775280898876422</v>
      </c>
      <c r="T24" s="2">
        <v>0.80400000000000005</v>
      </c>
      <c r="U24" s="2">
        <v>0.79100000000000004</v>
      </c>
      <c r="V24" s="2">
        <v>0.55200000000000005</v>
      </c>
      <c r="W24" s="2">
        <v>0.76514295356953399</v>
      </c>
      <c r="X24" s="2">
        <v>0.47042134936108199</v>
      </c>
      <c r="Y24" s="4">
        <v>0.78100000000000003</v>
      </c>
      <c r="Z24" s="2">
        <v>-3.2999999999999918E-2</v>
      </c>
      <c r="AA24" s="2">
        <v>-3.2999999999999918E-2</v>
      </c>
      <c r="AB24" s="2">
        <v>-3.0999999999999917E-2</v>
      </c>
      <c r="AC24" s="2">
        <v>-2.3017517985247982E-2</v>
      </c>
      <c r="AD24" s="2">
        <v>3.4478345253561971E-2</v>
      </c>
      <c r="AE24" s="4">
        <v>-1.7000000000000015E-2</v>
      </c>
      <c r="AF24" s="1">
        <v>-3.9426523297490947E-2</v>
      </c>
      <c r="AG24" s="1">
        <v>-4.0048543689320294E-2</v>
      </c>
      <c r="AH24" s="1">
        <v>-5.3173241852486994E-2</v>
      </c>
      <c r="AI24" s="1">
        <v>-2.9204100961625203E-2</v>
      </c>
      <c r="AJ24" s="1">
        <v>7.9089112403919457E-2</v>
      </c>
      <c r="AK24" s="5">
        <v>-2.1303258145363425E-2</v>
      </c>
      <c r="AL24" s="2">
        <v>0.81799999999999995</v>
      </c>
      <c r="AM24" s="2">
        <v>0.86499999999999999</v>
      </c>
      <c r="AN24" s="2">
        <v>0.47099999999999997</v>
      </c>
      <c r="AO24" s="2">
        <v>0.870704937874614</v>
      </c>
      <c r="AP24" s="2">
        <v>0.28718930276318899</v>
      </c>
      <c r="AQ24" s="4">
        <v>0.81100000000000005</v>
      </c>
      <c r="AR24" s="2">
        <v>0.75800000000000001</v>
      </c>
      <c r="AS24" s="2">
        <v>0.82799999999999996</v>
      </c>
      <c r="AT24" s="2">
        <v>0.46699999999999997</v>
      </c>
      <c r="AU24" s="2">
        <v>0.870704937874614</v>
      </c>
      <c r="AV24" s="2">
        <v>0.28718930276318899</v>
      </c>
      <c r="AW24" s="4">
        <v>0.81100000000000005</v>
      </c>
      <c r="AX24" s="1">
        <v>12.633333333333335</v>
      </c>
      <c r="AY24" s="1">
        <v>22.378378378378379</v>
      </c>
      <c r="AZ24" s="1">
        <v>116.74999999999999</v>
      </c>
      <c r="BA24" s="1" t="e">
        <v>#DIV/0!</v>
      </c>
      <c r="BB24" s="1" t="e">
        <v>#DIV/0!</v>
      </c>
      <c r="BC24" s="5" t="e">
        <v>#DIV/0!</v>
      </c>
      <c r="BD24" s="3">
        <f>$BH$1*F24+$BH$2*X24</f>
        <v>0.22668574679236489</v>
      </c>
      <c r="BE24" s="3">
        <f>$BH$1*M24+$BH$2*AE24</f>
        <v>7.8400000000000011E-2</v>
      </c>
    </row>
    <row r="25" spans="1:57">
      <c r="A25" t="s">
        <v>145</v>
      </c>
      <c r="B25" s="2">
        <v>0.26400000000000001</v>
      </c>
      <c r="C25" s="2">
        <v>0.16500000000000001</v>
      </c>
      <c r="D25" s="2">
        <v>6.4000000000000001E-2</v>
      </c>
      <c r="E25" s="2">
        <v>0.14599999999999999</v>
      </c>
      <c r="F25" s="2">
        <v>5.2699999999999997E-2</v>
      </c>
      <c r="G25" s="4">
        <v>0.245</v>
      </c>
      <c r="H25" s="2">
        <v>-0.20699999999999996</v>
      </c>
      <c r="I25" s="2">
        <v>-0.214</v>
      </c>
      <c r="J25" s="2">
        <v>-0.13800000000000001</v>
      </c>
      <c r="K25" s="2">
        <v>7.4814116216420493E-2</v>
      </c>
      <c r="L25" s="2">
        <v>3.7569351520426897E-2</v>
      </c>
      <c r="M25" s="4">
        <v>6.7000000000000004E-2</v>
      </c>
      <c r="N25" s="1">
        <v>-0.43949044585987257</v>
      </c>
      <c r="O25" s="1">
        <v>-0.56464379947229548</v>
      </c>
      <c r="P25" s="1">
        <v>-0.68316831683168322</v>
      </c>
      <c r="Q25" s="1">
        <v>1.0509684257608096</v>
      </c>
      <c r="R25" s="1">
        <v>2.4829967843841474</v>
      </c>
      <c r="S25" s="5">
        <v>0.3764044943820225</v>
      </c>
      <c r="T25" s="2">
        <v>0.80500000000000005</v>
      </c>
      <c r="U25" s="2">
        <v>0.79400000000000004</v>
      </c>
      <c r="V25" s="2">
        <v>0.55800000000000005</v>
      </c>
      <c r="W25" s="2">
        <v>0.76500000000000001</v>
      </c>
      <c r="X25" s="2">
        <v>0.48599999999999999</v>
      </c>
      <c r="Y25" s="4">
        <v>0.78300000000000003</v>
      </c>
      <c r="Z25" s="2">
        <v>-3.1999999999999917E-2</v>
      </c>
      <c r="AA25" s="2">
        <v>-2.9999999999999916E-2</v>
      </c>
      <c r="AB25" s="2">
        <v>-2.4999999999999911E-2</v>
      </c>
      <c r="AC25" s="2">
        <v>-2.3160471554781958E-2</v>
      </c>
      <c r="AD25" s="2">
        <v>5.0056995892479972E-2</v>
      </c>
      <c r="AE25" s="4">
        <v>-1.5000000000000013E-2</v>
      </c>
      <c r="AF25" s="1">
        <v>-3.8231780167263939E-2</v>
      </c>
      <c r="AG25" s="1">
        <v>-3.6407766990291163E-2</v>
      </c>
      <c r="AH25" s="1">
        <v>-4.2881646655231413E-2</v>
      </c>
      <c r="AI25" s="1">
        <v>-2.9385477184733649E-2</v>
      </c>
      <c r="AJ25" s="1">
        <v>0.11482463400223307</v>
      </c>
      <c r="AK25" s="5">
        <v>-1.8796992481203024E-2</v>
      </c>
      <c r="AL25" s="2">
        <v>0.95899999999999996</v>
      </c>
      <c r="AM25" s="2">
        <v>0.98099999999999998</v>
      </c>
      <c r="AN25" s="2">
        <v>0.63700000000000001</v>
      </c>
      <c r="AO25" s="2">
        <v>0.97199999999999998</v>
      </c>
      <c r="AP25" s="2">
        <v>0.46800000000000003</v>
      </c>
      <c r="AQ25" s="4">
        <v>0.95899999999999996</v>
      </c>
      <c r="AR25" s="2">
        <v>0.89900000000000002</v>
      </c>
      <c r="AS25" s="2">
        <v>0.94399999999999995</v>
      </c>
      <c r="AT25" s="2">
        <v>0.63300000000000001</v>
      </c>
      <c r="AU25" s="2">
        <v>0.97199999999999998</v>
      </c>
      <c r="AV25" s="2">
        <v>0.46800000000000003</v>
      </c>
      <c r="AW25" s="4">
        <v>0.95899999999999996</v>
      </c>
      <c r="AX25" s="1">
        <v>14.983333333333334</v>
      </c>
      <c r="AY25" s="1">
        <v>25.513513513513512</v>
      </c>
      <c r="AZ25" s="1">
        <v>158.25</v>
      </c>
      <c r="BA25" s="1" t="e">
        <v>#DIV/0!</v>
      </c>
      <c r="BB25" s="1" t="e">
        <v>#DIV/0!</v>
      </c>
      <c r="BC25" s="5" t="e">
        <v>#DIV/0!</v>
      </c>
      <c r="BD25" s="3">
        <f>$BH$1*F25+$BH$2*X25</f>
        <v>0.22602</v>
      </c>
      <c r="BE25" s="3">
        <f>$BH$1*M25+$BH$2*AE25</f>
        <v>3.4199999999999994E-2</v>
      </c>
    </row>
    <row r="26" spans="1:57">
      <c r="A26" t="s">
        <v>139</v>
      </c>
      <c r="B26" s="2">
        <v>0.25700000000000001</v>
      </c>
      <c r="C26" s="2">
        <v>0.16200000000000001</v>
      </c>
      <c r="D26" s="2">
        <v>6.0999999999999999E-2</v>
      </c>
      <c r="E26" s="2">
        <v>0.14399999999999999</v>
      </c>
      <c r="F26" s="2">
        <v>5.1999999999999998E-2</v>
      </c>
      <c r="G26" s="4">
        <v>0.24399999999999999</v>
      </c>
      <c r="H26" s="2">
        <v>-0.21399999999999997</v>
      </c>
      <c r="I26" s="2">
        <v>-0.217</v>
      </c>
      <c r="J26" s="2">
        <v>-0.14100000000000001</v>
      </c>
      <c r="K26" s="2">
        <v>7.2814116216420491E-2</v>
      </c>
      <c r="L26" s="2">
        <v>3.6869351520426898E-2</v>
      </c>
      <c r="M26" s="4">
        <v>6.6000000000000003E-2</v>
      </c>
      <c r="N26" s="1">
        <v>-0.45435244161358807</v>
      </c>
      <c r="O26" s="1">
        <v>-0.57255936675461738</v>
      </c>
      <c r="P26" s="1">
        <v>-0.69801980198019808</v>
      </c>
      <c r="Q26" s="1">
        <v>1.0228729678736752</v>
      </c>
      <c r="R26" s="1">
        <v>2.4367330699805629</v>
      </c>
      <c r="S26" s="5">
        <v>0.3707865168539326</v>
      </c>
      <c r="T26" s="2">
        <v>0.80400000000000005</v>
      </c>
      <c r="U26" s="2">
        <v>0.79400000000000004</v>
      </c>
      <c r="V26" s="2">
        <v>0.55800000000000005</v>
      </c>
      <c r="W26" s="2">
        <v>0.76500000000000001</v>
      </c>
      <c r="X26" s="2">
        <v>0.48699999999999999</v>
      </c>
      <c r="Y26" s="4">
        <v>0.78400000000000003</v>
      </c>
      <c r="Z26" s="2">
        <v>-3.2999999999999918E-2</v>
      </c>
      <c r="AA26" s="2">
        <v>-2.9999999999999916E-2</v>
      </c>
      <c r="AB26" s="2">
        <v>-2.4999999999999911E-2</v>
      </c>
      <c r="AC26" s="2">
        <v>-2.3160471554781958E-2</v>
      </c>
      <c r="AD26" s="2">
        <v>5.1056995892479973E-2</v>
      </c>
      <c r="AE26" s="4">
        <v>-1.4000000000000012E-2</v>
      </c>
      <c r="AF26" s="1">
        <v>-3.9426523297490947E-2</v>
      </c>
      <c r="AG26" s="1">
        <v>-3.6407766990291163E-2</v>
      </c>
      <c r="AH26" s="1">
        <v>-4.2881646655231413E-2</v>
      </c>
      <c r="AI26" s="1">
        <v>-2.9385477184733649E-2</v>
      </c>
      <c r="AJ26" s="1">
        <v>0.11711851184997429</v>
      </c>
      <c r="AK26" s="5">
        <v>-1.7543859649122823E-2</v>
      </c>
      <c r="AL26" s="2">
        <v>0.95699999999999996</v>
      </c>
      <c r="AM26" s="2">
        <v>0.98099999999999998</v>
      </c>
      <c r="AN26" s="2">
        <v>0.628</v>
      </c>
      <c r="AO26" s="2">
        <v>0.97199999999999998</v>
      </c>
      <c r="AP26" s="2">
        <v>0.46800000000000003</v>
      </c>
      <c r="AQ26" s="4">
        <v>0.95699999999999996</v>
      </c>
      <c r="AR26" s="2">
        <v>0.89700000000000002</v>
      </c>
      <c r="AS26" s="2">
        <v>0.94399999999999995</v>
      </c>
      <c r="AT26" s="2">
        <v>0.624</v>
      </c>
      <c r="AU26" s="2">
        <v>0.97199999999999998</v>
      </c>
      <c r="AV26" s="2">
        <v>0.46800000000000003</v>
      </c>
      <c r="AW26" s="4">
        <v>0.95699999999999996</v>
      </c>
      <c r="AX26" s="1">
        <v>14.950000000000001</v>
      </c>
      <c r="AY26" s="1">
        <v>25.513513513513512</v>
      </c>
      <c r="AZ26" s="1">
        <v>156</v>
      </c>
      <c r="BA26" s="1" t="e">
        <v>#DIV/0!</v>
      </c>
      <c r="BB26" s="1" t="e">
        <v>#DIV/0!</v>
      </c>
      <c r="BC26" s="5" t="e">
        <v>#DIV/0!</v>
      </c>
      <c r="BD26" s="3">
        <f>$BH$1*F26+$BH$2*X26</f>
        <v>0.22600000000000001</v>
      </c>
      <c r="BE26" s="3">
        <f>$BH$1*M26+$BH$2*AE26</f>
        <v>3.3999999999999996E-2</v>
      </c>
    </row>
    <row r="27" spans="1:57">
      <c r="A27" t="s">
        <v>172</v>
      </c>
      <c r="B27" s="2">
        <v>0.2571279069767442</v>
      </c>
      <c r="C27" s="2">
        <v>0.16200000000000001</v>
      </c>
      <c r="D27" s="2">
        <v>6.1100000000000002E-2</v>
      </c>
      <c r="E27" s="2">
        <v>0.14399999999999999</v>
      </c>
      <c r="F27" s="2">
        <v>5.1999999999999998E-2</v>
      </c>
      <c r="G27" s="4">
        <v>0.24408163265306126</v>
      </c>
      <c r="H27" s="2">
        <v>-0.21387209302325577</v>
      </c>
      <c r="I27" s="2">
        <v>-0.217</v>
      </c>
      <c r="J27" s="2">
        <v>-0.14090000000000003</v>
      </c>
      <c r="K27" s="2">
        <v>7.2814116216420491E-2</v>
      </c>
      <c r="L27" s="2">
        <v>3.6869351520426898E-2</v>
      </c>
      <c r="M27" s="4">
        <v>6.6081632653061273E-2</v>
      </c>
      <c r="N27" s="1">
        <v>-0.45408087690712479</v>
      </c>
      <c r="O27" s="1">
        <v>-0.57255936675461738</v>
      </c>
      <c r="P27" s="1">
        <v>-0.69752475247524759</v>
      </c>
      <c r="Q27" s="1">
        <v>1.0228729678736752</v>
      </c>
      <c r="R27" s="1">
        <v>2.4367330699805629</v>
      </c>
      <c r="S27" s="5">
        <v>0.37124512726438919</v>
      </c>
      <c r="T27" s="2">
        <v>0.80425618811881194</v>
      </c>
      <c r="U27" s="2">
        <v>0.79400000000000004</v>
      </c>
      <c r="V27" s="2">
        <v>0.55800000000000005</v>
      </c>
      <c r="W27" s="2">
        <v>0.76500000000000001</v>
      </c>
      <c r="X27" s="2">
        <v>0.48699999999999999</v>
      </c>
      <c r="Y27" s="4">
        <v>0.78367339218158893</v>
      </c>
      <c r="Z27" s="2">
        <v>-3.2743811881188023E-2</v>
      </c>
      <c r="AA27" s="2">
        <v>-2.9999999999999916E-2</v>
      </c>
      <c r="AB27" s="2">
        <v>-2.4999999999999911E-2</v>
      </c>
      <c r="AC27" s="2">
        <v>-2.3160471554781958E-2</v>
      </c>
      <c r="AD27" s="2">
        <v>5.1056995892479973E-2</v>
      </c>
      <c r="AE27" s="4">
        <v>-1.4326607818411108E-2</v>
      </c>
      <c r="AF27" s="1">
        <v>-3.9120444302494652E-2</v>
      </c>
      <c r="AG27" s="1">
        <v>-3.6407766990291163E-2</v>
      </c>
      <c r="AH27" s="1">
        <v>-4.2881646655231413E-2</v>
      </c>
      <c r="AI27" s="1">
        <v>-2.9385477184733649E-2</v>
      </c>
      <c r="AJ27" s="1">
        <v>0.11711851184997429</v>
      </c>
      <c r="AK27" s="5">
        <v>-1.7953142629587852E-2</v>
      </c>
      <c r="AL27" s="2">
        <v>0.95762317327766178</v>
      </c>
      <c r="AM27" s="2">
        <v>0.98099999999999998</v>
      </c>
      <c r="AN27" s="2">
        <v>0.628</v>
      </c>
      <c r="AO27" s="2">
        <v>0.97199999999999998</v>
      </c>
      <c r="AP27" s="2">
        <v>0.46800000000000003</v>
      </c>
      <c r="AQ27" s="4">
        <v>0.95762317327766178</v>
      </c>
      <c r="AR27" s="2">
        <v>0.89762317327766183</v>
      </c>
      <c r="AS27" s="2">
        <v>0.94399999999999995</v>
      </c>
      <c r="AT27" s="2">
        <v>0.624</v>
      </c>
      <c r="AU27" s="2">
        <v>0.97199999999999998</v>
      </c>
      <c r="AV27" s="2">
        <v>0.46800000000000003</v>
      </c>
      <c r="AW27" s="4">
        <v>0.95762317327766178</v>
      </c>
      <c r="AX27" s="1">
        <v>14.960386221294364</v>
      </c>
      <c r="AY27" s="1">
        <v>25.513513513513512</v>
      </c>
      <c r="AZ27" s="1">
        <v>156</v>
      </c>
      <c r="BA27" s="1" t="e">
        <v>#DIV/0!</v>
      </c>
      <c r="BB27" s="1" t="e">
        <v>#DIV/0!</v>
      </c>
      <c r="BC27" s="5" t="e">
        <v>#DIV/0!</v>
      </c>
      <c r="BD27" s="3">
        <f>$BH$1*F27+$BH$2*X27</f>
        <v>0.22600000000000001</v>
      </c>
      <c r="BE27" s="3">
        <f>$BH$1*M27+$BH$2*AE27</f>
        <v>3.3918336464472315E-2</v>
      </c>
    </row>
    <row r="28" spans="1:57">
      <c r="A28" t="s">
        <v>88</v>
      </c>
      <c r="B28" s="2">
        <v>0.255</v>
      </c>
      <c r="C28" s="2">
        <v>0.13900000000000001</v>
      </c>
      <c r="D28" s="2">
        <v>6.2E-2</v>
      </c>
      <c r="E28" s="2">
        <v>0.16900000000000001</v>
      </c>
      <c r="F28" s="2">
        <v>6.08E-2</v>
      </c>
      <c r="G28" s="4">
        <v>0.28199999999999997</v>
      </c>
      <c r="H28" s="2">
        <v>-0.21599999999999997</v>
      </c>
      <c r="I28" s="2">
        <v>-0.24</v>
      </c>
      <c r="J28" s="2">
        <v>-0.14000000000000001</v>
      </c>
      <c r="K28" s="2">
        <v>9.7814116216420513E-2</v>
      </c>
      <c r="L28" s="2">
        <v>4.56693515204269E-2</v>
      </c>
      <c r="M28" s="4">
        <v>0.10399999999999998</v>
      </c>
      <c r="N28" s="1">
        <v>-0.45859872611464964</v>
      </c>
      <c r="O28" s="1">
        <v>-0.63324538258575191</v>
      </c>
      <c r="P28" s="1">
        <v>-0.69306930693069313</v>
      </c>
      <c r="Q28" s="1">
        <v>1.3740661914628554</v>
      </c>
      <c r="R28" s="1">
        <v>3.0183340510541967</v>
      </c>
      <c r="S28" s="5">
        <v>0.58426966292134819</v>
      </c>
      <c r="T28" s="2">
        <v>0.78100000000000003</v>
      </c>
      <c r="U28" s="2">
        <v>0.76200000000000001</v>
      </c>
      <c r="V28" s="2">
        <v>0.53900000000000003</v>
      </c>
      <c r="W28" s="2">
        <v>0.73899999999999999</v>
      </c>
      <c r="X28" s="2">
        <v>0.47199999999999998</v>
      </c>
      <c r="Y28" s="4">
        <v>0.76</v>
      </c>
      <c r="Z28" s="2">
        <v>-5.5999999999999939E-2</v>
      </c>
      <c r="AA28" s="2">
        <v>-6.1999999999999944E-2</v>
      </c>
      <c r="AB28" s="2">
        <v>-4.3999999999999928E-2</v>
      </c>
      <c r="AC28" s="2">
        <v>-4.9160471554781981E-2</v>
      </c>
      <c r="AD28" s="2">
        <v>3.6056995892479959E-2</v>
      </c>
      <c r="AE28" s="4">
        <v>-3.8000000000000034E-2</v>
      </c>
      <c r="AF28" s="1">
        <v>-6.6905615292711995E-2</v>
      </c>
      <c r="AG28" s="1">
        <v>-7.5242718446601881E-2</v>
      </c>
      <c r="AH28" s="1">
        <v>-7.5471698113207433E-2</v>
      </c>
      <c r="AI28" s="1">
        <v>-6.2373683188912663E-2</v>
      </c>
      <c r="AJ28" s="1">
        <v>8.2710344133855945E-2</v>
      </c>
      <c r="AK28" s="5">
        <v>-4.7619047619047658E-2</v>
      </c>
      <c r="AL28" s="2">
        <v>0.99099999999999999</v>
      </c>
      <c r="AM28" s="2">
        <v>0.995</v>
      </c>
      <c r="AN28" s="2">
        <v>0.68899999999999995</v>
      </c>
      <c r="AO28" s="2">
        <v>0.995</v>
      </c>
      <c r="AP28" s="2">
        <v>0.54300000000000004</v>
      </c>
      <c r="AQ28" s="4">
        <v>0.99099999999999999</v>
      </c>
      <c r="AR28" s="2">
        <v>0.93100000000000005</v>
      </c>
      <c r="AS28" s="2">
        <v>0.95799999999999996</v>
      </c>
      <c r="AT28" s="2">
        <v>0.68499999999999994</v>
      </c>
      <c r="AU28" s="2">
        <v>0.995</v>
      </c>
      <c r="AV28" s="2">
        <v>0.54300000000000004</v>
      </c>
      <c r="AW28" s="4">
        <v>0.99099999999999999</v>
      </c>
      <c r="AX28" s="1">
        <v>15.516666666666667</v>
      </c>
      <c r="AY28" s="1">
        <v>25.891891891891891</v>
      </c>
      <c r="AZ28" s="1">
        <v>171.24999999999997</v>
      </c>
      <c r="BA28" s="1" t="e">
        <v>#DIV/0!</v>
      </c>
      <c r="BB28" s="1" t="e">
        <v>#DIV/0!</v>
      </c>
      <c r="BC28" s="5" t="e">
        <v>#DIV/0!</v>
      </c>
      <c r="BD28" s="3">
        <f>$BH$1*F28+$BH$2*X28</f>
        <v>0.22527999999999998</v>
      </c>
      <c r="BE28" s="3">
        <f>$BH$1*M28+$BH$2*AE28</f>
        <v>4.7199999999999971E-2</v>
      </c>
    </row>
    <row r="29" spans="1:57">
      <c r="A29" t="s">
        <v>73</v>
      </c>
      <c r="B29" s="2">
        <v>0.34799999999999998</v>
      </c>
      <c r="C29" s="2">
        <v>0.25</v>
      </c>
      <c r="D29" s="2">
        <v>0.108</v>
      </c>
      <c r="E29" s="2">
        <v>0.20422825443791301</v>
      </c>
      <c r="F29" s="2">
        <v>5.3148698413901102E-2</v>
      </c>
      <c r="G29" s="4">
        <v>0.30099999999999999</v>
      </c>
      <c r="H29" s="9">
        <v>-0.123</v>
      </c>
      <c r="I29" s="9">
        <v>-0.129</v>
      </c>
      <c r="J29" s="9">
        <v>-9.4000000000000014E-2</v>
      </c>
      <c r="K29" s="9">
        <v>0.1330423706543335</v>
      </c>
      <c r="L29" s="9">
        <v>3.8018049934328002E-2</v>
      </c>
      <c r="M29" s="4">
        <v>0.123</v>
      </c>
      <c r="N29" s="1">
        <v>-0.26114649681528662</v>
      </c>
      <c r="O29" s="1">
        <v>-0.34036939313984171</v>
      </c>
      <c r="P29" s="1">
        <v>-0.46534653465346537</v>
      </c>
      <c r="Q29" s="1">
        <v>1.8689431609616749</v>
      </c>
      <c r="R29" s="1">
        <v>2.5126517204899503</v>
      </c>
      <c r="S29" s="5">
        <v>0.6910112359550562</v>
      </c>
      <c r="T29" s="2">
        <v>0.81200000000000006</v>
      </c>
      <c r="U29" s="2">
        <v>0.79700000000000004</v>
      </c>
      <c r="V29" s="2">
        <v>0.56200000000000006</v>
      </c>
      <c r="W29" s="2">
        <v>0.76941738078039101</v>
      </c>
      <c r="X29" s="2">
        <v>0.48286467843200498</v>
      </c>
      <c r="Y29" s="4">
        <v>0.79</v>
      </c>
      <c r="Z29" s="2">
        <v>-2.4999999999999911E-2</v>
      </c>
      <c r="AA29" s="2">
        <v>-2.6999999999999913E-2</v>
      </c>
      <c r="AB29" s="2">
        <v>-2.0999999999999908E-2</v>
      </c>
      <c r="AC29" s="2">
        <v>-1.8743090774390958E-2</v>
      </c>
      <c r="AD29" s="2">
        <v>4.6921674324484963E-2</v>
      </c>
      <c r="AE29" s="4">
        <v>-8.0000000000000071E-3</v>
      </c>
      <c r="AF29" s="1">
        <v>-2.9868578255674925E-2</v>
      </c>
      <c r="AG29" s="1">
        <v>-3.2766990291262031E-2</v>
      </c>
      <c r="AH29" s="1">
        <v>-3.6020583190394355E-2</v>
      </c>
      <c r="AI29" s="1">
        <v>-2.3780805370024444E-2</v>
      </c>
      <c r="AJ29" s="1">
        <v>0.10763258931186405</v>
      </c>
      <c r="AK29" s="5">
        <v>-1.0025062656641612E-2</v>
      </c>
      <c r="AL29" s="2">
        <v>0.81299999999999994</v>
      </c>
      <c r="AM29" s="2">
        <v>0.86199999999999999</v>
      </c>
      <c r="AN29" s="2">
        <v>0.48099999999999998</v>
      </c>
      <c r="AO29" s="2">
        <v>0.85318564923461104</v>
      </c>
      <c r="AP29" s="2">
        <v>0.30232402246684198</v>
      </c>
      <c r="AQ29" s="4">
        <v>0.81100000000000005</v>
      </c>
      <c r="AR29" s="2">
        <v>0.75299999999999989</v>
      </c>
      <c r="AS29" s="2">
        <v>0.82499999999999996</v>
      </c>
      <c r="AT29" s="2">
        <v>0.47699999999999998</v>
      </c>
      <c r="AU29" s="2">
        <v>0.85318564923461104</v>
      </c>
      <c r="AV29" s="2">
        <v>0.30232402246684198</v>
      </c>
      <c r="AW29" s="4">
        <v>0.81100000000000005</v>
      </c>
      <c r="AX29" s="1">
        <v>12.549999999999999</v>
      </c>
      <c r="AY29" s="1">
        <v>22.297297297297298</v>
      </c>
      <c r="AZ29" s="1">
        <v>119.24999999999999</v>
      </c>
      <c r="BA29" s="1" t="e">
        <v>#DIV/0!</v>
      </c>
      <c r="BB29" s="1" t="e">
        <v>#DIV/0!</v>
      </c>
      <c r="BC29" s="5" t="e">
        <v>#DIV/0!</v>
      </c>
      <c r="BD29" s="3">
        <f>$BH$1*F29+$BH$2*X29</f>
        <v>0.22503509042114267</v>
      </c>
      <c r="BE29" s="3">
        <f>$BH$1*M29+$BH$2*AE29</f>
        <v>7.0599999999999982E-2</v>
      </c>
    </row>
    <row r="30" spans="1:57">
      <c r="A30" t="s">
        <v>135</v>
      </c>
      <c r="B30" s="2">
        <v>0.28299999999999997</v>
      </c>
      <c r="C30" s="2">
        <v>0.214</v>
      </c>
      <c r="D30" s="2">
        <v>8.8999999999999996E-2</v>
      </c>
      <c r="E30" s="2">
        <v>0.21</v>
      </c>
      <c r="F30" s="2">
        <v>7.22E-2</v>
      </c>
      <c r="G30" s="4">
        <v>0.28799999999999998</v>
      </c>
      <c r="H30" s="2">
        <v>-0.188</v>
      </c>
      <c r="I30" s="2">
        <v>-0.16500000000000001</v>
      </c>
      <c r="J30" s="2">
        <v>-0.11300000000000002</v>
      </c>
      <c r="K30" s="2">
        <v>0.13881411621642048</v>
      </c>
      <c r="L30" s="2">
        <v>5.70693515204269E-2</v>
      </c>
      <c r="M30" s="4">
        <v>0.10999999999999999</v>
      </c>
      <c r="N30" s="1">
        <v>-0.39915074309978771</v>
      </c>
      <c r="O30" s="1">
        <v>-0.43535620052770452</v>
      </c>
      <c r="P30" s="1">
        <v>-0.55940594059405946</v>
      </c>
      <c r="Q30" s="1">
        <v>1.9500230781491097</v>
      </c>
      <c r="R30" s="1">
        <v>3.771771685626859</v>
      </c>
      <c r="S30" s="5">
        <v>0.6179775280898876</v>
      </c>
      <c r="T30" s="2">
        <v>0.76300000000000001</v>
      </c>
      <c r="U30" s="2">
        <v>0.74399999999999999</v>
      </c>
      <c r="V30" s="2">
        <v>0.51200000000000001</v>
      </c>
      <c r="W30" s="2">
        <v>0.71399999999999997</v>
      </c>
      <c r="X30" s="2">
        <v>0.45400000000000001</v>
      </c>
      <c r="Y30" s="4">
        <v>0.73699999999999999</v>
      </c>
      <c r="Z30" s="2">
        <v>-7.3999999999999955E-2</v>
      </c>
      <c r="AA30" s="2">
        <v>-7.999999999999996E-2</v>
      </c>
      <c r="AB30" s="2">
        <v>-7.0999999999999952E-2</v>
      </c>
      <c r="AC30" s="2">
        <v>-7.4160471554782004E-2</v>
      </c>
      <c r="AD30" s="2">
        <v>1.8056995892479999E-2</v>
      </c>
      <c r="AE30" s="4">
        <v>-6.1000000000000054E-2</v>
      </c>
      <c r="AF30" s="1">
        <v>-8.8410991636798039E-2</v>
      </c>
      <c r="AG30" s="1">
        <v>-9.7087378640776656E-2</v>
      </c>
      <c r="AH30" s="1">
        <v>-0.12178387650085756</v>
      </c>
      <c r="AI30" s="1">
        <v>-9.4093112039084797E-2</v>
      </c>
      <c r="AJ30" s="1">
        <v>4.1420542874514077E-2</v>
      </c>
      <c r="AK30" s="5">
        <v>-7.6441102756892296E-2</v>
      </c>
      <c r="AL30" s="2">
        <v>0.99099999999999999</v>
      </c>
      <c r="AM30" s="2">
        <v>0.995</v>
      </c>
      <c r="AN30" s="2">
        <v>0.66400000000000003</v>
      </c>
      <c r="AO30" s="2">
        <v>0.98299999999999998</v>
      </c>
      <c r="AP30" s="2">
        <v>0.57199999999999995</v>
      </c>
      <c r="AQ30" s="4">
        <v>0.98199999999999998</v>
      </c>
      <c r="AR30" s="2">
        <v>0.93100000000000005</v>
      </c>
      <c r="AS30" s="2">
        <v>0.95799999999999996</v>
      </c>
      <c r="AT30" s="2">
        <v>0.66</v>
      </c>
      <c r="AU30" s="2">
        <v>0.98299999999999998</v>
      </c>
      <c r="AV30" s="2">
        <v>0.57199999999999995</v>
      </c>
      <c r="AW30" s="4">
        <v>0.98199999999999998</v>
      </c>
      <c r="AX30" s="1">
        <v>15.516666666666667</v>
      </c>
      <c r="AY30" s="1">
        <v>25.891891891891891</v>
      </c>
      <c r="AZ30" s="1">
        <v>165</v>
      </c>
      <c r="BA30" s="1" t="e">
        <v>#DIV/0!</v>
      </c>
      <c r="BB30" s="1" t="e">
        <v>#DIV/0!</v>
      </c>
      <c r="BC30" s="5" t="e">
        <v>#DIV/0!</v>
      </c>
      <c r="BD30" s="3">
        <f>$BH$1*F30+$BH$2*X30</f>
        <v>0.22492000000000001</v>
      </c>
      <c r="BE30" s="3">
        <f>$BH$1*M30+$BH$2*AE30</f>
        <v>4.159999999999997E-2</v>
      </c>
    </row>
    <row r="31" spans="1:57">
      <c r="A31" t="s">
        <v>133</v>
      </c>
      <c r="B31" s="2">
        <v>0.23499999999999999</v>
      </c>
      <c r="C31" s="2">
        <v>0.14000000000000001</v>
      </c>
      <c r="D31" s="2">
        <v>5.7000000000000002E-2</v>
      </c>
      <c r="E31" s="2">
        <v>0.115</v>
      </c>
      <c r="F31" s="2">
        <v>4.24E-2</v>
      </c>
      <c r="G31" s="4">
        <v>0.21299999999999999</v>
      </c>
      <c r="H31" s="2">
        <v>-0.23599999999999999</v>
      </c>
      <c r="I31" s="2">
        <v>-0.23899999999999999</v>
      </c>
      <c r="J31" s="2">
        <v>-0.14500000000000002</v>
      </c>
      <c r="K31" s="2">
        <v>4.3814116216420507E-2</v>
      </c>
      <c r="L31" s="2">
        <v>2.72693515204269E-2</v>
      </c>
      <c r="M31" s="4">
        <v>3.5000000000000003E-2</v>
      </c>
      <c r="N31" s="1">
        <v>-0.50106157112526539</v>
      </c>
      <c r="O31" s="1">
        <v>-0.63060686015831136</v>
      </c>
      <c r="P31" s="1">
        <v>-0.7178217821782179</v>
      </c>
      <c r="Q31" s="1">
        <v>0.6154888285102269</v>
      </c>
      <c r="R31" s="1">
        <v>1.8022592724456901</v>
      </c>
      <c r="S31" s="5">
        <v>0.1966292134831461</v>
      </c>
      <c r="T31" s="2">
        <v>0.80800000000000005</v>
      </c>
      <c r="U31" s="2">
        <v>0.79300000000000004</v>
      </c>
      <c r="V31" s="2">
        <v>0.56499999999999995</v>
      </c>
      <c r="W31" s="2">
        <v>0.76700000000000002</v>
      </c>
      <c r="X31" s="2">
        <v>0.498</v>
      </c>
      <c r="Y31" s="4">
        <v>0.78600000000000003</v>
      </c>
      <c r="Z31" s="2">
        <v>-2.8999999999999915E-2</v>
      </c>
      <c r="AA31" s="2">
        <v>-3.0999999999999917E-2</v>
      </c>
      <c r="AB31" s="2">
        <v>-1.8000000000000016E-2</v>
      </c>
      <c r="AC31" s="2">
        <v>-2.1160471554781957E-2</v>
      </c>
      <c r="AD31" s="2">
        <v>6.2056995892479982E-2</v>
      </c>
      <c r="AE31" s="4">
        <v>-1.2000000000000011E-2</v>
      </c>
      <c r="AF31" s="1">
        <v>-3.4647550776582936E-2</v>
      </c>
      <c r="AG31" s="1">
        <v>-3.7621359223300871E-2</v>
      </c>
      <c r="AH31" s="1">
        <v>-3.0874785591766752E-2</v>
      </c>
      <c r="AI31" s="1">
        <v>-2.6847922876719877E-2</v>
      </c>
      <c r="AJ31" s="1">
        <v>0.14235116817512775</v>
      </c>
      <c r="AK31" s="5">
        <v>-1.5037593984962419E-2</v>
      </c>
      <c r="AL31" s="2">
        <v>0.96899999999999997</v>
      </c>
      <c r="AM31" s="2">
        <v>0.98799999999999999</v>
      </c>
      <c r="AN31" s="2">
        <v>0.67200000000000004</v>
      </c>
      <c r="AO31" s="2">
        <v>0.98799999999999999</v>
      </c>
      <c r="AP31" s="2">
        <v>0.505</v>
      </c>
      <c r="AQ31" s="4">
        <v>0.96899999999999997</v>
      </c>
      <c r="AR31" s="2">
        <v>0.90900000000000003</v>
      </c>
      <c r="AS31" s="2">
        <v>0.95099999999999996</v>
      </c>
      <c r="AT31" s="2">
        <v>0.66800000000000004</v>
      </c>
      <c r="AU31" s="2">
        <v>0.98799999999999999</v>
      </c>
      <c r="AV31" s="2">
        <v>0.505</v>
      </c>
      <c r="AW31" s="4">
        <v>0.96899999999999997</v>
      </c>
      <c r="AX31" s="1">
        <v>15.15</v>
      </c>
      <c r="AY31" s="1">
        <v>25.702702702702702</v>
      </c>
      <c r="AZ31" s="1">
        <v>167</v>
      </c>
      <c r="BA31" s="1" t="e">
        <v>#DIV/0!</v>
      </c>
      <c r="BB31" s="1" t="e">
        <v>#DIV/0!</v>
      </c>
      <c r="BC31" s="5" t="e">
        <v>#DIV/0!</v>
      </c>
      <c r="BD31" s="3">
        <f>$BH$1*F31+$BH$2*X31</f>
        <v>0.22464000000000001</v>
      </c>
      <c r="BE31" s="3">
        <f>$BH$1*M31+$BH$2*AE31</f>
        <v>1.6199999999999996E-2</v>
      </c>
    </row>
    <row r="32" spans="1:57">
      <c r="A32" t="s">
        <v>168</v>
      </c>
      <c r="B32" s="2">
        <v>0.27559177215189873</v>
      </c>
      <c r="C32" s="2">
        <v>0.20499999999999999</v>
      </c>
      <c r="D32" s="2">
        <v>8.3900000000000002E-2</v>
      </c>
      <c r="E32" s="2">
        <v>0.19900000000000001</v>
      </c>
      <c r="F32" s="2">
        <v>7.3099999999999998E-2</v>
      </c>
      <c r="G32" s="4">
        <v>0.27822015503875974</v>
      </c>
      <c r="H32" s="2">
        <v>-0.19540822784810125</v>
      </c>
      <c r="I32" s="2">
        <v>-0.17400000000000002</v>
      </c>
      <c r="J32" s="2">
        <v>-0.11810000000000001</v>
      </c>
      <c r="K32" s="2">
        <v>0.12781411621642053</v>
      </c>
      <c r="L32" s="2">
        <v>5.7969351520426898E-2</v>
      </c>
      <c r="M32" s="4">
        <v>0.10022015503875975</v>
      </c>
      <c r="N32" s="1">
        <v>-0.41487946464565023</v>
      </c>
      <c r="O32" s="1">
        <v>-0.45910290237467022</v>
      </c>
      <c r="P32" s="1">
        <v>-0.58465346534653462</v>
      </c>
      <c r="Q32" s="1">
        <v>1.7954980597698711</v>
      </c>
      <c r="R32" s="1">
        <v>3.8312536041457532</v>
      </c>
      <c r="S32" s="5">
        <v>0.56303457886943686</v>
      </c>
      <c r="T32" s="2">
        <v>0.77158536585365856</v>
      </c>
      <c r="U32" s="2">
        <v>0.75</v>
      </c>
      <c r="V32" s="2">
        <v>0.51200000000000001</v>
      </c>
      <c r="W32" s="2">
        <v>0.71699999999999997</v>
      </c>
      <c r="X32" s="2">
        <v>0.45</v>
      </c>
      <c r="Y32" s="4">
        <v>0.73871466666666674</v>
      </c>
      <c r="Z32" s="2">
        <v>-6.541463414634141E-2</v>
      </c>
      <c r="AA32" s="2">
        <v>-7.3999999999999955E-2</v>
      </c>
      <c r="AB32" s="2">
        <v>-7.0999999999999952E-2</v>
      </c>
      <c r="AC32" s="2">
        <v>-7.1160471554782001E-2</v>
      </c>
      <c r="AD32" s="2">
        <v>1.4056995892479995E-2</v>
      </c>
      <c r="AE32" s="4">
        <v>-5.9285333333333301E-2</v>
      </c>
      <c r="AF32" s="1">
        <v>-7.8153684762654024E-2</v>
      </c>
      <c r="AG32" s="1">
        <v>-8.9805825242718393E-2</v>
      </c>
      <c r="AH32" s="1">
        <v>-0.12178387650085756</v>
      </c>
      <c r="AI32" s="1">
        <v>-9.0286780577064144E-2</v>
      </c>
      <c r="AJ32" s="1">
        <v>3.2245031483549187E-2</v>
      </c>
      <c r="AK32" s="5">
        <v>-7.4292397660818674E-2</v>
      </c>
      <c r="AL32" s="2">
        <v>0.98899595551061692</v>
      </c>
      <c r="AM32" s="2">
        <v>0.995</v>
      </c>
      <c r="AN32" s="2">
        <v>0.69199999999999995</v>
      </c>
      <c r="AO32" s="2">
        <v>0.995</v>
      </c>
      <c r="AP32" s="2">
        <v>0.58899999999999997</v>
      </c>
      <c r="AQ32" s="4">
        <v>0.98899595551061692</v>
      </c>
      <c r="AR32" s="2">
        <v>0.92899595551061687</v>
      </c>
      <c r="AS32" s="2">
        <v>0.95799999999999996</v>
      </c>
      <c r="AT32" s="2">
        <v>0.68799999999999994</v>
      </c>
      <c r="AU32" s="2">
        <v>0.995</v>
      </c>
      <c r="AV32" s="2">
        <v>0.58899999999999997</v>
      </c>
      <c r="AW32" s="4">
        <v>0.98899595551061692</v>
      </c>
      <c r="AX32" s="1">
        <v>15.483265925176948</v>
      </c>
      <c r="AY32" s="1">
        <v>25.891891891891891</v>
      </c>
      <c r="AZ32" s="1">
        <v>171.99999999999997</v>
      </c>
      <c r="BA32" s="1" t="e">
        <v>#DIV/0!</v>
      </c>
      <c r="BB32" s="1" t="e">
        <v>#DIV/0!</v>
      </c>
      <c r="BC32" s="5" t="e">
        <v>#DIV/0!</v>
      </c>
      <c r="BD32" s="3">
        <f>$BH$1*F32+$BH$2*X32</f>
        <v>0.22386</v>
      </c>
      <c r="BE32" s="3">
        <f>$BH$1*M32+$BH$2*AE32</f>
        <v>3.6417959689922522E-2</v>
      </c>
    </row>
    <row r="33" spans="1:57">
      <c r="A33" s="10" t="s">
        <v>69</v>
      </c>
      <c r="B33" s="2">
        <v>0.32100000000000001</v>
      </c>
      <c r="C33" s="2">
        <v>0.21199999999999999</v>
      </c>
      <c r="D33" s="2">
        <v>8.3000000000000004E-2</v>
      </c>
      <c r="E33" s="2">
        <v>0.215453952692816</v>
      </c>
      <c r="F33" s="2">
        <v>6.51422408572888E-2</v>
      </c>
      <c r="G33" s="4">
        <v>0.33300000000000002</v>
      </c>
      <c r="H33" s="9">
        <v>-0.14999999999999997</v>
      </c>
      <c r="I33" s="9">
        <v>-0.16700000000000001</v>
      </c>
      <c r="J33" s="9">
        <v>-0.11900000000000001</v>
      </c>
      <c r="K33" s="9">
        <v>0.14426806890923649</v>
      </c>
      <c r="L33" s="9">
        <v>5.00115923777157E-2</v>
      </c>
      <c r="M33" s="4">
        <v>0.15500000000000003</v>
      </c>
      <c r="N33" s="1">
        <v>-0.31847133757961776</v>
      </c>
      <c r="O33" s="1">
        <v>-0.44063324538258575</v>
      </c>
      <c r="P33" s="1">
        <v>-0.58910891089108908</v>
      </c>
      <c r="Q33" s="1">
        <v>2.0266387272488275</v>
      </c>
      <c r="R33" s="1">
        <v>3.305317180901604</v>
      </c>
      <c r="S33" s="5">
        <v>0.87078651685393282</v>
      </c>
      <c r="T33" s="2">
        <v>0.79800000000000004</v>
      </c>
      <c r="U33" s="2">
        <v>0.78600000000000003</v>
      </c>
      <c r="V33" s="2">
        <v>0.54300000000000004</v>
      </c>
      <c r="W33" s="2">
        <v>0.75655107354623197</v>
      </c>
      <c r="X33" s="2">
        <v>0.46184439276394901</v>
      </c>
      <c r="Y33" s="4">
        <v>0.77500000000000002</v>
      </c>
      <c r="Z33" s="2">
        <v>-3.8999999999999924E-2</v>
      </c>
      <c r="AA33" s="2">
        <v>-3.7999999999999923E-2</v>
      </c>
      <c r="AB33" s="2">
        <v>-3.9999999999999925E-2</v>
      </c>
      <c r="AC33" s="2">
        <v>-3.1609398008550005E-2</v>
      </c>
      <c r="AD33" s="2">
        <v>2.5901388656428992E-2</v>
      </c>
      <c r="AE33" s="4">
        <v>-2.300000000000002E-2</v>
      </c>
      <c r="AF33" s="1">
        <v>-4.6594982078852959E-2</v>
      </c>
      <c r="AG33" s="1">
        <v>-4.6116504854368842E-2</v>
      </c>
      <c r="AH33" s="1">
        <v>-6.8610634648370375E-2</v>
      </c>
      <c r="AI33" s="1">
        <v>-4.0105282045158945E-2</v>
      </c>
      <c r="AJ33" s="1">
        <v>5.9414621664718198E-2</v>
      </c>
      <c r="AK33" s="5">
        <v>-2.8822055137844634E-2</v>
      </c>
      <c r="AL33" s="2">
        <v>0.83899999999999997</v>
      </c>
      <c r="AM33" s="2">
        <v>0.89600000000000002</v>
      </c>
      <c r="AN33" s="2">
        <v>0.501</v>
      </c>
      <c r="AO33" s="2">
        <v>0.82822125695632698</v>
      </c>
      <c r="AP33" s="2">
        <v>0.30578885924767601</v>
      </c>
      <c r="AQ33" s="4">
        <v>0.80500000000000005</v>
      </c>
      <c r="AR33" s="2">
        <v>0.77899999999999991</v>
      </c>
      <c r="AS33" s="2">
        <v>0.85899999999999999</v>
      </c>
      <c r="AT33" s="2">
        <v>0.497</v>
      </c>
      <c r="AU33" s="2">
        <v>0.82822125695632698</v>
      </c>
      <c r="AV33" s="2">
        <v>0.30578885924767601</v>
      </c>
      <c r="AW33" s="4">
        <v>0.80500000000000005</v>
      </c>
      <c r="AX33" s="1">
        <v>12.983333333333333</v>
      </c>
      <c r="AY33" s="1">
        <v>23.216216216216218</v>
      </c>
      <c r="AZ33" s="1">
        <v>124.25</v>
      </c>
      <c r="BA33" s="1" t="e">
        <v>#DIV/0!</v>
      </c>
      <c r="BB33" s="1" t="e">
        <v>#DIV/0!</v>
      </c>
      <c r="BC33" s="5" t="e">
        <v>#DIV/0!</v>
      </c>
      <c r="BD33" s="3">
        <f>$BH$1*F33+$BH$2*X33</f>
        <v>0.22382310161995289</v>
      </c>
      <c r="BE33" s="3">
        <f>$BH$1*M33+$BH$2*AE33</f>
        <v>8.3799999999999999E-2</v>
      </c>
    </row>
    <row r="34" spans="1:57">
      <c r="A34" t="s">
        <v>193</v>
      </c>
      <c r="B34" s="2">
        <v>0.34276988636363631</v>
      </c>
      <c r="C34" s="2">
        <v>0.25800000000000001</v>
      </c>
      <c r="D34" s="2">
        <v>0.109</v>
      </c>
      <c r="E34" s="2">
        <v>0.18</v>
      </c>
      <c r="F34" s="2">
        <v>5.1700000000000003E-2</v>
      </c>
      <c r="G34" s="4">
        <v>0.28216319444444443</v>
      </c>
      <c r="H34" s="2">
        <v>-0.12823011363636366</v>
      </c>
      <c r="I34" s="2">
        <v>-0.121</v>
      </c>
      <c r="J34" s="2">
        <v>-9.3000000000000013E-2</v>
      </c>
      <c r="K34" s="2">
        <v>0.1088141162164205</v>
      </c>
      <c r="L34" s="2">
        <v>3.6569351520426903E-2</v>
      </c>
      <c r="M34" s="4">
        <v>0.10416319444444444</v>
      </c>
      <c r="N34" s="1">
        <v>-0.27225077205172754</v>
      </c>
      <c r="O34" s="1">
        <v>-0.31926121372031663</v>
      </c>
      <c r="P34" s="1">
        <v>-0.46039603960396042</v>
      </c>
      <c r="Q34" s="1">
        <v>1.5285912098420942</v>
      </c>
      <c r="R34" s="1">
        <v>2.4169057638075984</v>
      </c>
      <c r="S34" s="5">
        <v>0.58518648564294629</v>
      </c>
      <c r="T34" s="2">
        <v>0.80768569674647028</v>
      </c>
      <c r="U34" s="2">
        <v>0.79500000000000004</v>
      </c>
      <c r="V34" s="2">
        <v>0.56000000000000005</v>
      </c>
      <c r="W34" s="2">
        <v>0.77100000000000002</v>
      </c>
      <c r="X34" s="2">
        <v>0.48</v>
      </c>
      <c r="Y34" s="4">
        <v>0.78957901311680201</v>
      </c>
      <c r="Z34" s="2">
        <v>-2.9314303253529683E-2</v>
      </c>
      <c r="AA34" s="2">
        <v>-2.8999999999999915E-2</v>
      </c>
      <c r="AB34" s="2">
        <v>-2.2999999999999909E-2</v>
      </c>
      <c r="AC34" s="2">
        <v>-1.7160471554781953E-2</v>
      </c>
      <c r="AD34" s="2">
        <v>4.4056995892479967E-2</v>
      </c>
      <c r="AE34" s="4">
        <v>-8.4209868831980339E-3</v>
      </c>
      <c r="AF34" s="1">
        <v>-3.5023062429545622E-2</v>
      </c>
      <c r="AG34" s="1">
        <v>-3.5194174757281455E-2</v>
      </c>
      <c r="AH34" s="1">
        <v>-3.9451114922812884E-2</v>
      </c>
      <c r="AI34" s="1">
        <v>-2.1772814260692337E-2</v>
      </c>
      <c r="AJ34" s="1">
        <v>0.10106136691578572</v>
      </c>
      <c r="AK34" s="5">
        <v>-1.0552615141852172E-2</v>
      </c>
      <c r="AL34" s="2">
        <v>0.81895604395604393</v>
      </c>
      <c r="AM34" s="2">
        <v>0.86399999999999999</v>
      </c>
      <c r="AN34" s="2">
        <v>0.47699999999999998</v>
      </c>
      <c r="AO34" s="2">
        <v>0.84399999999999997</v>
      </c>
      <c r="AP34" s="2">
        <v>0.30299999999999999</v>
      </c>
      <c r="AQ34" s="4">
        <v>0.79999874999999998</v>
      </c>
      <c r="AR34" s="2">
        <v>0.75895604395604388</v>
      </c>
      <c r="AS34" s="2">
        <v>0.82699999999999996</v>
      </c>
      <c r="AT34" s="2">
        <v>0.47299999999999998</v>
      </c>
      <c r="AU34" s="2">
        <v>0.84399999999999997</v>
      </c>
      <c r="AV34" s="2">
        <v>0.30299999999999999</v>
      </c>
      <c r="AW34" s="4">
        <v>0.79999874999999998</v>
      </c>
      <c r="AX34" s="1">
        <v>12.649267399267398</v>
      </c>
      <c r="AY34" s="1">
        <v>22.351351351351351</v>
      </c>
      <c r="AZ34" s="1">
        <v>118.24999999999999</v>
      </c>
      <c r="BA34" s="1" t="e">
        <v>#DIV/0!</v>
      </c>
      <c r="BB34" s="1" t="e">
        <v>#DIV/0!</v>
      </c>
      <c r="BC34" s="5" t="e">
        <v>#DIV/0!</v>
      </c>
      <c r="BD34" s="3">
        <f>$BH$1*F34+$BH$2*X34</f>
        <v>0.22302</v>
      </c>
      <c r="BE34" s="3">
        <f>$BH$1*M34+$BH$2*AE34</f>
        <v>5.9129521913387446E-2</v>
      </c>
    </row>
    <row r="35" spans="1:57">
      <c r="A35" t="s">
        <v>127</v>
      </c>
      <c r="B35" s="2">
        <v>0.224</v>
      </c>
      <c r="C35" s="2">
        <v>0.13500000000000001</v>
      </c>
      <c r="D35" s="2">
        <v>5.3999999999999999E-2</v>
      </c>
      <c r="E35" s="2">
        <v>0.115</v>
      </c>
      <c r="F35" s="2">
        <v>4.1700000000000001E-2</v>
      </c>
      <c r="G35" s="4">
        <v>0.20799999999999999</v>
      </c>
      <c r="H35" s="2">
        <v>-0.24699999999999997</v>
      </c>
      <c r="I35" s="2">
        <v>-0.24399999999999999</v>
      </c>
      <c r="J35" s="2">
        <v>-0.14800000000000002</v>
      </c>
      <c r="K35" s="2">
        <v>4.3814116216420507E-2</v>
      </c>
      <c r="L35" s="2">
        <v>2.6569351520426901E-2</v>
      </c>
      <c r="M35" s="4">
        <v>0.03</v>
      </c>
      <c r="N35" s="1">
        <v>-0.52441613588110403</v>
      </c>
      <c r="O35" s="1">
        <v>-0.64379947229551449</v>
      </c>
      <c r="P35" s="1">
        <v>-0.73267326732673277</v>
      </c>
      <c r="Q35" s="1">
        <v>0.6154888285102269</v>
      </c>
      <c r="R35" s="1">
        <v>1.7559955580421056</v>
      </c>
      <c r="S35" s="5">
        <v>0.16853932584269662</v>
      </c>
      <c r="T35" s="2">
        <v>0.80300000000000005</v>
      </c>
      <c r="U35" s="2">
        <v>0.79300000000000004</v>
      </c>
      <c r="V35" s="2">
        <v>0.56499999999999995</v>
      </c>
      <c r="W35" s="2">
        <v>0.76700000000000002</v>
      </c>
      <c r="X35" s="2">
        <v>0.495</v>
      </c>
      <c r="Y35" s="4">
        <v>0.78700000000000003</v>
      </c>
      <c r="Z35" s="2">
        <v>-3.3999999999999919E-2</v>
      </c>
      <c r="AA35" s="2">
        <v>-3.0999999999999917E-2</v>
      </c>
      <c r="AB35" s="2">
        <v>-1.8000000000000016E-2</v>
      </c>
      <c r="AC35" s="2">
        <v>-2.1160471554781957E-2</v>
      </c>
      <c r="AD35" s="2">
        <v>5.905699589247998E-2</v>
      </c>
      <c r="AE35" s="4">
        <v>-1.100000000000001E-2</v>
      </c>
      <c r="AF35" s="1">
        <v>-4.0621266427717947E-2</v>
      </c>
      <c r="AG35" s="1">
        <v>-3.7621359223300871E-2</v>
      </c>
      <c r="AH35" s="1">
        <v>-3.0874785591766752E-2</v>
      </c>
      <c r="AI35" s="1">
        <v>-2.6847922876719877E-2</v>
      </c>
      <c r="AJ35" s="1">
        <v>0.13546953463190406</v>
      </c>
      <c r="AK35" s="5">
        <v>-1.3784461152882217E-2</v>
      </c>
      <c r="AL35" s="2">
        <v>0.97199999999999998</v>
      </c>
      <c r="AM35" s="2">
        <v>0.99</v>
      </c>
      <c r="AN35" s="2">
        <v>0.66900000000000004</v>
      </c>
      <c r="AO35" s="2">
        <v>0.97399999999999998</v>
      </c>
      <c r="AP35" s="2">
        <v>0.502</v>
      </c>
      <c r="AQ35" s="4">
        <v>0.97199999999999998</v>
      </c>
      <c r="AR35" s="2">
        <v>0.91199999999999992</v>
      </c>
      <c r="AS35" s="2">
        <v>0.95299999999999996</v>
      </c>
      <c r="AT35" s="2">
        <v>0.66500000000000004</v>
      </c>
      <c r="AU35" s="2">
        <v>0.97399999999999998</v>
      </c>
      <c r="AV35" s="2">
        <v>0.502</v>
      </c>
      <c r="AW35" s="4">
        <v>0.97199999999999998</v>
      </c>
      <c r="AX35" s="1">
        <v>15.2</v>
      </c>
      <c r="AY35" s="1">
        <v>25.756756756756758</v>
      </c>
      <c r="AZ35" s="1">
        <v>166.25</v>
      </c>
      <c r="BA35" s="1" t="e">
        <v>#DIV/0!</v>
      </c>
      <c r="BB35" s="1" t="e">
        <v>#DIV/0!</v>
      </c>
      <c r="BC35" s="5" t="e">
        <v>#DIV/0!</v>
      </c>
      <c r="BD35" s="3">
        <f>$BH$1*F35+$BH$2*X35</f>
        <v>0.22302</v>
      </c>
      <c r="BE35" s="3">
        <f>$BH$1*M35+$BH$2*AE35</f>
        <v>1.3599999999999994E-2</v>
      </c>
    </row>
    <row r="36" spans="1:57">
      <c r="A36" t="s">
        <v>47</v>
      </c>
      <c r="B36" s="2">
        <v>0.246</v>
      </c>
      <c r="C36" s="2">
        <v>0.152</v>
      </c>
      <c r="D36" s="2">
        <v>6.0999999999999999E-2</v>
      </c>
      <c r="E36" s="2">
        <v>0.16200000000000001</v>
      </c>
      <c r="F36" s="2">
        <v>6.0600000000000001E-2</v>
      </c>
      <c r="G36" s="4">
        <v>0.25800000000000001</v>
      </c>
      <c r="H36" s="2">
        <v>-0.22499999999999998</v>
      </c>
      <c r="I36" s="2">
        <v>-0.22700000000000001</v>
      </c>
      <c r="J36" s="2">
        <v>-0.14100000000000001</v>
      </c>
      <c r="K36" s="2">
        <v>9.0814116216420507E-2</v>
      </c>
      <c r="L36" s="2">
        <v>4.5469351520426901E-2</v>
      </c>
      <c r="M36" s="4">
        <v>8.0000000000000016E-2</v>
      </c>
      <c r="N36" s="1">
        <v>-0.47770700636942676</v>
      </c>
      <c r="O36" s="1">
        <v>-0.59894459102902375</v>
      </c>
      <c r="P36" s="1">
        <v>-0.69801980198019808</v>
      </c>
      <c r="Q36" s="1">
        <v>1.2757320888578849</v>
      </c>
      <c r="R36" s="1">
        <v>3.005115846938887</v>
      </c>
      <c r="S36" s="5">
        <v>0.44943820224719111</v>
      </c>
      <c r="T36" s="2">
        <v>0.76900000000000002</v>
      </c>
      <c r="U36" s="2">
        <v>0.752</v>
      </c>
      <c r="V36" s="2">
        <v>0.52800000000000002</v>
      </c>
      <c r="W36" s="2">
        <v>0.72599999999999998</v>
      </c>
      <c r="X36" s="2">
        <v>0.46500000000000002</v>
      </c>
      <c r="Y36" s="4">
        <v>0.74199999999999999</v>
      </c>
      <c r="Z36" s="2">
        <v>-6.7999999999999949E-2</v>
      </c>
      <c r="AA36" s="2">
        <v>-7.1999999999999953E-2</v>
      </c>
      <c r="AB36" s="2">
        <v>-5.4999999999999938E-2</v>
      </c>
      <c r="AC36" s="2">
        <v>-6.2160471554781993E-2</v>
      </c>
      <c r="AD36" s="2">
        <v>2.9056995892480009E-2</v>
      </c>
      <c r="AE36" s="4">
        <v>-5.600000000000005E-2</v>
      </c>
      <c r="AF36" s="1">
        <v>-8.124253285543602E-2</v>
      </c>
      <c r="AG36" s="1">
        <v>-8.7378640776698976E-2</v>
      </c>
      <c r="AH36" s="1">
        <v>-9.433962264150933E-2</v>
      </c>
      <c r="AI36" s="1">
        <v>-7.8867786191002168E-2</v>
      </c>
      <c r="AJ36" s="1">
        <v>6.6653199199667529E-2</v>
      </c>
      <c r="AK36" s="5">
        <v>-7.0175438596491294E-2</v>
      </c>
      <c r="AL36" s="2">
        <v>0.98599999999999999</v>
      </c>
      <c r="AM36" s="2">
        <v>0.99299999999999999</v>
      </c>
      <c r="AN36" s="2">
        <v>0.64400000000000002</v>
      </c>
      <c r="AO36" s="2">
        <v>0.99299999999999999</v>
      </c>
      <c r="AP36" s="2">
        <v>0.54900000000000004</v>
      </c>
      <c r="AQ36" s="4">
        <v>0.98599999999999999</v>
      </c>
      <c r="AR36" s="2">
        <v>0.92599999999999993</v>
      </c>
      <c r="AS36" s="2">
        <v>0.95599999999999996</v>
      </c>
      <c r="AT36" s="2">
        <v>0.64</v>
      </c>
      <c r="AU36" s="2">
        <v>0.99299999999999999</v>
      </c>
      <c r="AV36" s="2">
        <v>0.54900000000000004</v>
      </c>
      <c r="AW36" s="4">
        <v>0.98599999999999999</v>
      </c>
      <c r="AX36" s="1">
        <v>15.433333333333334</v>
      </c>
      <c r="AY36" s="1">
        <v>25.837837837837839</v>
      </c>
      <c r="AZ36" s="1">
        <v>160</v>
      </c>
      <c r="BA36" s="1" t="e">
        <v>#DIV/0!</v>
      </c>
      <c r="BB36" s="1" t="e">
        <v>#DIV/0!</v>
      </c>
      <c r="BC36" s="5" t="e">
        <v>#DIV/0!</v>
      </c>
      <c r="BD36" s="3">
        <f>$BH$1*F36+$BH$2*X36</f>
        <v>0.22236000000000003</v>
      </c>
      <c r="BE36" s="3">
        <f>$BH$1*M36+$BH$2*AE36</f>
        <v>2.5599999999999987E-2</v>
      </c>
    </row>
    <row r="37" spans="1:57">
      <c r="A37" t="s">
        <v>142</v>
      </c>
      <c r="B37" s="2">
        <v>0.248</v>
      </c>
      <c r="C37" s="2">
        <v>0.17699999999999999</v>
      </c>
      <c r="D37" s="2">
        <v>7.4999999999999997E-2</v>
      </c>
      <c r="E37" s="2">
        <v>0.19400000000000001</v>
      </c>
      <c r="F37" s="2">
        <v>6.93E-2</v>
      </c>
      <c r="G37" s="4">
        <v>0.254</v>
      </c>
      <c r="H37" s="2">
        <v>-0.22299999999999998</v>
      </c>
      <c r="I37" s="2">
        <v>-0.20200000000000001</v>
      </c>
      <c r="J37" s="2">
        <v>-0.127</v>
      </c>
      <c r="K37" s="2">
        <v>0.12281411621642051</v>
      </c>
      <c r="L37" s="2">
        <v>5.41693515204269E-2</v>
      </c>
      <c r="M37" s="4">
        <v>7.6000000000000012E-2</v>
      </c>
      <c r="N37" s="1">
        <v>-0.47346072186836513</v>
      </c>
      <c r="O37" s="1">
        <v>-0.53298153034300799</v>
      </c>
      <c r="P37" s="1">
        <v>-0.62871287128712872</v>
      </c>
      <c r="Q37" s="1">
        <v>1.7252594150520351</v>
      </c>
      <c r="R37" s="1">
        <v>3.5801077259548659</v>
      </c>
      <c r="S37" s="5">
        <v>0.42696629213483156</v>
      </c>
      <c r="T37" s="2">
        <v>0.76400000000000001</v>
      </c>
      <c r="U37" s="2">
        <v>0.74199999999999999</v>
      </c>
      <c r="V37" s="2">
        <v>0.50700000000000001</v>
      </c>
      <c r="W37" s="2">
        <v>0.71099999999999997</v>
      </c>
      <c r="X37" s="2">
        <v>0.45100000000000001</v>
      </c>
      <c r="Y37" s="4">
        <v>0.73</v>
      </c>
      <c r="Z37" s="2">
        <v>-7.2999999999999954E-2</v>
      </c>
      <c r="AA37" s="2">
        <v>-8.1999999999999962E-2</v>
      </c>
      <c r="AB37" s="2">
        <v>-7.5999999999999956E-2</v>
      </c>
      <c r="AC37" s="2">
        <v>-7.7160471554782006E-2</v>
      </c>
      <c r="AD37" s="2">
        <v>1.5056995892479996E-2</v>
      </c>
      <c r="AE37" s="4">
        <v>-6.800000000000006E-2</v>
      </c>
      <c r="AF37" s="1">
        <v>-8.7216248506571031E-2</v>
      </c>
      <c r="AG37" s="1">
        <v>-9.9514563106796072E-2</v>
      </c>
      <c r="AH37" s="1">
        <v>-0.13036020583190389</v>
      </c>
      <c r="AI37" s="1">
        <v>-9.7899443501105451E-2</v>
      </c>
      <c r="AJ37" s="1">
        <v>3.4538909331290411E-2</v>
      </c>
      <c r="AK37" s="5">
        <v>-8.5213032581453699E-2</v>
      </c>
      <c r="AL37" s="2">
        <v>0.98599999999999999</v>
      </c>
      <c r="AM37" s="2">
        <v>0.99399999999999999</v>
      </c>
      <c r="AN37" s="2">
        <v>0.68100000000000005</v>
      </c>
      <c r="AO37" s="2">
        <v>0.98099999999999998</v>
      </c>
      <c r="AP37" s="2">
        <v>0.57599999999999996</v>
      </c>
      <c r="AQ37" s="4">
        <v>0.97699999999999998</v>
      </c>
      <c r="AR37" s="2">
        <v>0.92599999999999993</v>
      </c>
      <c r="AS37" s="2">
        <v>0.95699999999999996</v>
      </c>
      <c r="AT37" s="2">
        <v>0.67700000000000005</v>
      </c>
      <c r="AU37" s="2">
        <v>0.98099999999999998</v>
      </c>
      <c r="AV37" s="2">
        <v>0.57599999999999996</v>
      </c>
      <c r="AW37" s="4">
        <v>0.97699999999999998</v>
      </c>
      <c r="AX37" s="1">
        <v>15.433333333333334</v>
      </c>
      <c r="AY37" s="1">
        <v>25.864864864864867</v>
      </c>
      <c r="AZ37" s="1">
        <v>169.25</v>
      </c>
      <c r="BA37" s="1" t="e">
        <v>#DIV/0!</v>
      </c>
      <c r="BB37" s="1" t="e">
        <v>#DIV/0!</v>
      </c>
      <c r="BC37" s="5" t="e">
        <v>#DIV/0!</v>
      </c>
      <c r="BD37" s="3">
        <f>$BH$1*F37+$BH$2*X37</f>
        <v>0.22198000000000001</v>
      </c>
      <c r="BE37" s="3">
        <f>$BH$1*M37+$BH$2*AE37</f>
        <v>1.8399999999999982E-2</v>
      </c>
    </row>
    <row r="38" spans="1:57">
      <c r="A38" t="s">
        <v>92</v>
      </c>
      <c r="B38" s="2">
        <v>0.27</v>
      </c>
      <c r="C38" s="2">
        <v>0.182</v>
      </c>
      <c r="D38" s="2">
        <v>7.5999999999999998E-2</v>
      </c>
      <c r="E38" s="2">
        <v>0.18</v>
      </c>
      <c r="F38" s="2">
        <v>6.1899999999999997E-2</v>
      </c>
      <c r="G38" s="4">
        <v>0.28100000000000003</v>
      </c>
      <c r="H38" s="2">
        <v>-0.20099999999999996</v>
      </c>
      <c r="I38" s="2">
        <v>-0.19700000000000001</v>
      </c>
      <c r="J38" s="2">
        <v>-0.126</v>
      </c>
      <c r="K38" s="2">
        <v>0.1088141162164205</v>
      </c>
      <c r="L38" s="2">
        <v>4.6769351520426897E-2</v>
      </c>
      <c r="M38" s="4">
        <v>0.10300000000000004</v>
      </c>
      <c r="N38" s="1">
        <v>-0.4267515923566878</v>
      </c>
      <c r="O38" s="1">
        <v>-0.51978891820580475</v>
      </c>
      <c r="P38" s="1">
        <v>-0.62376237623762376</v>
      </c>
      <c r="Q38" s="1">
        <v>1.5285912098420942</v>
      </c>
      <c r="R38" s="1">
        <v>3.0910341736884011</v>
      </c>
      <c r="S38" s="5">
        <v>0.57865168539325862</v>
      </c>
      <c r="T38" s="2">
        <v>0.77200000000000002</v>
      </c>
      <c r="U38" s="2">
        <v>0.75600000000000001</v>
      </c>
      <c r="V38" s="2">
        <v>0.52600000000000002</v>
      </c>
      <c r="W38" s="2">
        <v>0.72099999999999997</v>
      </c>
      <c r="X38" s="2">
        <v>0.46</v>
      </c>
      <c r="Y38" s="4">
        <v>0.749</v>
      </c>
      <c r="Z38" s="2">
        <v>-6.4999999999999947E-2</v>
      </c>
      <c r="AA38" s="2">
        <v>-6.7999999999999949E-2</v>
      </c>
      <c r="AB38" s="2">
        <v>-5.699999999999994E-2</v>
      </c>
      <c r="AC38" s="2">
        <v>-6.7160471554781997E-2</v>
      </c>
      <c r="AD38" s="2">
        <v>2.4056995892480004E-2</v>
      </c>
      <c r="AE38" s="4">
        <v>-4.9000000000000044E-2</v>
      </c>
      <c r="AF38" s="1">
        <v>-7.765830346475501E-2</v>
      </c>
      <c r="AG38" s="1">
        <v>-8.2524271844660144E-2</v>
      </c>
      <c r="AH38" s="1">
        <v>-9.7770154373927859E-2</v>
      </c>
      <c r="AI38" s="1">
        <v>-8.52116719610366E-2</v>
      </c>
      <c r="AJ38" s="1">
        <v>5.5183809960961408E-2</v>
      </c>
      <c r="AK38" s="5">
        <v>-6.1403508771929877E-2</v>
      </c>
      <c r="AL38" s="2">
        <v>0.98199999999999998</v>
      </c>
      <c r="AM38" s="2">
        <v>0.99399999999999999</v>
      </c>
      <c r="AN38" s="2">
        <v>0.71</v>
      </c>
      <c r="AO38" s="2">
        <v>0.99399999999999999</v>
      </c>
      <c r="AP38" s="2">
        <v>0.55600000000000005</v>
      </c>
      <c r="AQ38" s="4">
        <v>0.98199999999999998</v>
      </c>
      <c r="AR38" s="2">
        <v>0.92199999999999993</v>
      </c>
      <c r="AS38" s="2">
        <v>0.95699999999999996</v>
      </c>
      <c r="AT38" s="2">
        <v>0.70599999999999996</v>
      </c>
      <c r="AU38" s="2">
        <v>0.99399999999999999</v>
      </c>
      <c r="AV38" s="2">
        <v>0.55600000000000005</v>
      </c>
      <c r="AW38" s="4">
        <v>0.98199999999999998</v>
      </c>
      <c r="AX38" s="1">
        <v>15.366666666666665</v>
      </c>
      <c r="AY38" s="1">
        <v>25.864864864864867</v>
      </c>
      <c r="AZ38" s="1">
        <v>176.5</v>
      </c>
      <c r="BA38" s="1" t="e">
        <v>#DIV/0!</v>
      </c>
      <c r="BB38" s="1" t="e">
        <v>#DIV/0!</v>
      </c>
      <c r="BC38" s="5" t="e">
        <v>#DIV/0!</v>
      </c>
      <c r="BD38" s="3">
        <f>$BH$1*F38+$BH$2*X38</f>
        <v>0.22114000000000003</v>
      </c>
      <c r="BE38" s="3">
        <f>$BH$1*M38+$BH$2*AE38</f>
        <v>4.2200000000000001E-2</v>
      </c>
    </row>
    <row r="39" spans="1:57">
      <c r="A39" t="s">
        <v>108</v>
      </c>
      <c r="B39" s="2">
        <v>0.22</v>
      </c>
      <c r="C39" s="2">
        <v>0.129</v>
      </c>
      <c r="D39" s="2">
        <v>5.5E-2</v>
      </c>
      <c r="E39" s="2">
        <v>0.15</v>
      </c>
      <c r="F39" s="2">
        <v>4.7E-2</v>
      </c>
      <c r="G39" s="4">
        <v>0.23100000000000001</v>
      </c>
      <c r="H39" s="2">
        <v>-0.251</v>
      </c>
      <c r="I39" s="2">
        <v>-0.25</v>
      </c>
      <c r="J39" s="2">
        <v>-0.14700000000000002</v>
      </c>
      <c r="K39" s="2">
        <v>7.8814116216420496E-2</v>
      </c>
      <c r="L39" s="2">
        <v>3.18693515204269E-2</v>
      </c>
      <c r="M39" s="4">
        <v>5.3000000000000019E-2</v>
      </c>
      <c r="N39" s="1">
        <v>-0.53290870488322717</v>
      </c>
      <c r="O39" s="1">
        <v>-0.65963060686015829</v>
      </c>
      <c r="P39" s="1">
        <v>-0.72772277227722781</v>
      </c>
      <c r="Q39" s="1">
        <v>1.1071593415350784</v>
      </c>
      <c r="R39" s="1">
        <v>2.1062779670978169</v>
      </c>
      <c r="S39" s="5">
        <v>0.29775280898876416</v>
      </c>
      <c r="T39" s="2">
        <v>0.78200000000000003</v>
      </c>
      <c r="U39" s="2">
        <v>0.77800000000000002</v>
      </c>
      <c r="V39" s="2">
        <v>0.55200000000000005</v>
      </c>
      <c r="W39" s="2">
        <v>0.74099999999999999</v>
      </c>
      <c r="X39" s="2">
        <v>0.48199999999999998</v>
      </c>
      <c r="Y39" s="4">
        <v>0.749</v>
      </c>
      <c r="Z39" s="2">
        <v>-5.4999999999999938E-2</v>
      </c>
      <c r="AA39" s="2">
        <v>-4.599999999999993E-2</v>
      </c>
      <c r="AB39" s="2">
        <v>-3.0999999999999917E-2</v>
      </c>
      <c r="AC39" s="2">
        <v>-4.716047155478198E-2</v>
      </c>
      <c r="AD39" s="2">
        <v>4.6056995892479968E-2</v>
      </c>
      <c r="AE39" s="4">
        <v>-4.9000000000000044E-2</v>
      </c>
      <c r="AF39" s="1">
        <v>-6.5710872162484987E-2</v>
      </c>
      <c r="AG39" s="1">
        <v>-5.5825242718446522E-2</v>
      </c>
      <c r="AH39" s="1">
        <v>-5.3173241852486994E-2</v>
      </c>
      <c r="AI39" s="1">
        <v>-5.9836128880898891E-2</v>
      </c>
      <c r="AJ39" s="1">
        <v>0.10564912261126817</v>
      </c>
      <c r="AK39" s="5">
        <v>-6.1403508771929877E-2</v>
      </c>
      <c r="AL39" s="2">
        <v>0.95799999999999996</v>
      </c>
      <c r="AM39" s="2">
        <v>0.98299999999999998</v>
      </c>
      <c r="AN39" s="2">
        <v>0.70199999999999996</v>
      </c>
      <c r="AO39" s="2">
        <v>0.96499999999999997</v>
      </c>
      <c r="AP39" s="2">
        <v>0.57999999999999996</v>
      </c>
      <c r="AQ39" s="4">
        <v>0.94</v>
      </c>
      <c r="AR39" s="2">
        <v>0.89799999999999991</v>
      </c>
      <c r="AS39" s="2">
        <v>0.94599999999999995</v>
      </c>
      <c r="AT39" s="2">
        <v>0.69799999999999995</v>
      </c>
      <c r="AU39" s="2">
        <v>0.96499999999999997</v>
      </c>
      <c r="AV39" s="2">
        <v>0.57999999999999996</v>
      </c>
      <c r="AW39" s="4">
        <v>0.94</v>
      </c>
      <c r="AX39" s="1">
        <v>14.966666666666665</v>
      </c>
      <c r="AY39" s="1">
        <v>25.567567567567568</v>
      </c>
      <c r="AZ39" s="1">
        <v>174.49999999999997</v>
      </c>
      <c r="BA39" s="1" t="e">
        <v>#DIV/0!</v>
      </c>
      <c r="BB39" s="1" t="e">
        <v>#DIV/0!</v>
      </c>
      <c r="BC39" s="5" t="e">
        <v>#DIV/0!</v>
      </c>
      <c r="BD39" s="3">
        <f>$BH$1*F39+$BH$2*X39</f>
        <v>0.221</v>
      </c>
      <c r="BE39" s="3">
        <f>$BH$1*M39+$BH$2*AE39</f>
        <v>1.2199999999999989E-2</v>
      </c>
    </row>
    <row r="40" spans="1:57">
      <c r="A40" t="s">
        <v>136</v>
      </c>
      <c r="B40" s="2">
        <v>0.26800000000000002</v>
      </c>
      <c r="C40" s="2">
        <v>0.191</v>
      </c>
      <c r="D40" s="2">
        <v>8.3000000000000004E-2</v>
      </c>
      <c r="E40" s="2">
        <v>0.20300000000000001</v>
      </c>
      <c r="F40" s="2">
        <v>6.8400000000000002E-2</v>
      </c>
      <c r="G40" s="4">
        <v>0.27400000000000002</v>
      </c>
      <c r="H40" s="2">
        <v>-0.20299999999999996</v>
      </c>
      <c r="I40" s="2">
        <v>-0.188</v>
      </c>
      <c r="J40" s="2">
        <v>-0.11900000000000001</v>
      </c>
      <c r="K40" s="2">
        <v>0.13181411621642053</v>
      </c>
      <c r="L40" s="2">
        <v>5.3269351520426902E-2</v>
      </c>
      <c r="M40" s="4">
        <v>9.600000000000003E-2</v>
      </c>
      <c r="N40" s="1">
        <v>-0.43099787685774943</v>
      </c>
      <c r="O40" s="1">
        <v>-0.49604221635883905</v>
      </c>
      <c r="P40" s="1">
        <v>-0.58910891089108908</v>
      </c>
      <c r="Q40" s="1">
        <v>1.8516889755441399</v>
      </c>
      <c r="R40" s="1">
        <v>3.5206258074359718</v>
      </c>
      <c r="S40" s="5">
        <v>0.53932584269662942</v>
      </c>
      <c r="T40" s="2">
        <v>0.76700000000000002</v>
      </c>
      <c r="U40" s="2">
        <v>0.74299999999999999</v>
      </c>
      <c r="V40" s="2">
        <v>0.50900000000000001</v>
      </c>
      <c r="W40" s="2">
        <v>0.71</v>
      </c>
      <c r="X40" s="2">
        <v>0.44900000000000001</v>
      </c>
      <c r="Y40" s="4">
        <v>0.73499999999999999</v>
      </c>
      <c r="Z40" s="2">
        <v>-6.9999999999999951E-2</v>
      </c>
      <c r="AA40" s="2">
        <v>-8.0999999999999961E-2</v>
      </c>
      <c r="AB40" s="2">
        <v>-7.3999999999999955E-2</v>
      </c>
      <c r="AC40" s="2">
        <v>-7.8160471554782007E-2</v>
      </c>
      <c r="AD40" s="2">
        <v>1.3056995892479994E-2</v>
      </c>
      <c r="AE40" s="4">
        <v>-6.3000000000000056E-2</v>
      </c>
      <c r="AF40" s="1">
        <v>-8.3632019115890036E-2</v>
      </c>
      <c r="AG40" s="1">
        <v>-9.8300970873786364E-2</v>
      </c>
      <c r="AH40" s="1">
        <v>-0.12692967409948536</v>
      </c>
      <c r="AI40" s="1">
        <v>-9.9168220655112341E-2</v>
      </c>
      <c r="AJ40" s="1">
        <v>2.9951153635807963E-2</v>
      </c>
      <c r="AK40" s="5">
        <v>-7.8947368421052697E-2</v>
      </c>
      <c r="AL40" s="2">
        <v>0.99099999999999999</v>
      </c>
      <c r="AM40" s="2">
        <v>0.99399999999999999</v>
      </c>
      <c r="AN40" s="2">
        <v>0.66700000000000004</v>
      </c>
      <c r="AO40" s="2">
        <v>0.99399999999999999</v>
      </c>
      <c r="AP40" s="2">
        <v>0.57999999999999996</v>
      </c>
      <c r="AQ40" s="4">
        <v>0.99099999999999999</v>
      </c>
      <c r="AR40" s="2">
        <v>0.93100000000000005</v>
      </c>
      <c r="AS40" s="2">
        <v>0.95699999999999996</v>
      </c>
      <c r="AT40" s="2">
        <v>0.66300000000000003</v>
      </c>
      <c r="AU40" s="2">
        <v>0.99399999999999999</v>
      </c>
      <c r="AV40" s="2">
        <v>0.57999999999999996</v>
      </c>
      <c r="AW40" s="4">
        <v>0.99099999999999999</v>
      </c>
      <c r="AX40" s="1">
        <v>15.516666666666667</v>
      </c>
      <c r="AY40" s="1">
        <v>25.864864864864867</v>
      </c>
      <c r="AZ40" s="1">
        <v>165.75</v>
      </c>
      <c r="BA40" s="1" t="e">
        <v>#DIV/0!</v>
      </c>
      <c r="BB40" s="1" t="e">
        <v>#DIV/0!</v>
      </c>
      <c r="BC40" s="5" t="e">
        <v>#DIV/0!</v>
      </c>
      <c r="BD40" s="3">
        <f>$BH$1*F40+$BH$2*X40</f>
        <v>0.22064</v>
      </c>
      <c r="BE40" s="3">
        <f>$BH$1*M40+$BH$2*AE40</f>
        <v>3.2399999999999984E-2</v>
      </c>
    </row>
    <row r="41" spans="1:57">
      <c r="A41" t="s">
        <v>111</v>
      </c>
      <c r="B41" s="2">
        <v>0.31900000000000001</v>
      </c>
      <c r="C41" s="2">
        <v>0.21299999999999999</v>
      </c>
      <c r="D41" s="2">
        <v>7.8E-2</v>
      </c>
      <c r="E41" s="2">
        <v>0.23771521885128499</v>
      </c>
      <c r="F41" s="2">
        <v>7.7215939560785193E-2</v>
      </c>
      <c r="G41" s="4">
        <v>0.318</v>
      </c>
      <c r="H41" s="2">
        <v>-0.15199999999999997</v>
      </c>
      <c r="I41" s="2">
        <v>-0.16600000000000001</v>
      </c>
      <c r="J41" s="2">
        <v>-0.12400000000000001</v>
      </c>
      <c r="K41" s="2">
        <v>0.16652933506770551</v>
      </c>
      <c r="L41" s="2">
        <v>6.2085291081212093E-2</v>
      </c>
      <c r="M41" s="4">
        <v>0.14000000000000001</v>
      </c>
      <c r="N41" s="1">
        <v>-0.32271762208067933</v>
      </c>
      <c r="O41" s="1">
        <v>-0.43799472295514513</v>
      </c>
      <c r="P41" s="1">
        <v>-0.61386138613861385</v>
      </c>
      <c r="Q41" s="1">
        <v>2.3393589601836053</v>
      </c>
      <c r="R41" s="1">
        <v>4.1032802503494405</v>
      </c>
      <c r="S41" s="5">
        <v>0.78651685393258441</v>
      </c>
      <c r="T41" s="2">
        <v>0.76500000000000001</v>
      </c>
      <c r="U41" s="2">
        <v>0.753</v>
      </c>
      <c r="V41" s="2">
        <v>0.50600000000000001</v>
      </c>
      <c r="W41" s="2">
        <v>0.71319937063133698</v>
      </c>
      <c r="X41" s="2">
        <v>0.43557975010713201</v>
      </c>
      <c r="Y41" s="4">
        <v>0.72299999999999998</v>
      </c>
      <c r="Z41" s="2">
        <v>-7.1999999999999953E-2</v>
      </c>
      <c r="AA41" s="2">
        <v>-7.0999999999999952E-2</v>
      </c>
      <c r="AB41" s="2">
        <v>-7.6999999999999957E-2</v>
      </c>
      <c r="AC41" s="2">
        <v>-7.496110092344499E-2</v>
      </c>
      <c r="AD41" s="2">
        <v>-3.6325400038800248E-4</v>
      </c>
      <c r="AE41" s="4">
        <v>-7.5000000000000067E-2</v>
      </c>
      <c r="AF41" s="1">
        <v>-8.6021505376344037E-2</v>
      </c>
      <c r="AG41" s="1">
        <v>-8.6165048543689268E-2</v>
      </c>
      <c r="AH41" s="1">
        <v>-0.13207547169811315</v>
      </c>
      <c r="AI41" s="1">
        <v>-9.5108932290871348E-2</v>
      </c>
      <c r="AJ41" s="1">
        <v>-8.3326030459341955E-4</v>
      </c>
      <c r="AK41" s="5">
        <v>-9.3984962406015116E-2</v>
      </c>
      <c r="AL41" s="2">
        <v>0.92500000000000004</v>
      </c>
      <c r="AM41" s="2">
        <v>0.96199999999999997</v>
      </c>
      <c r="AN41" s="2">
        <v>0.48699999999999999</v>
      </c>
      <c r="AO41" s="2">
        <v>0.96765987623378502</v>
      </c>
      <c r="AP41" s="2">
        <v>0.44312595187707599</v>
      </c>
      <c r="AQ41" s="4">
        <v>0.92500000000000004</v>
      </c>
      <c r="AR41" s="2">
        <v>0.86499999999999999</v>
      </c>
      <c r="AS41" s="2">
        <v>0.92499999999999993</v>
      </c>
      <c r="AT41" s="2">
        <v>0.48299999999999998</v>
      </c>
      <c r="AU41" s="2">
        <v>0.96765987623378502</v>
      </c>
      <c r="AV41" s="2">
        <v>0.44312595187707599</v>
      </c>
      <c r="AW41" s="4">
        <v>0.92500000000000004</v>
      </c>
      <c r="AX41" s="1">
        <v>14.416666666666668</v>
      </c>
      <c r="AY41" s="1">
        <v>25</v>
      </c>
      <c r="AZ41" s="1">
        <v>120.75</v>
      </c>
      <c r="BA41" s="1" t="e">
        <v>#DIV/0!</v>
      </c>
      <c r="BB41" s="1" t="e">
        <v>#DIV/0!</v>
      </c>
      <c r="BC41" s="5" t="e">
        <v>#DIV/0!</v>
      </c>
      <c r="BD41" s="3">
        <f>$BH$1*F41+$BH$2*X41</f>
        <v>0.22056146377932395</v>
      </c>
      <c r="BE41" s="3">
        <f>$BH$1*M41+$BH$2*AE41</f>
        <v>5.3999999999999979E-2</v>
      </c>
    </row>
    <row r="42" spans="1:57">
      <c r="A42" t="s">
        <v>104</v>
      </c>
      <c r="B42" s="2">
        <v>0.22900000000000001</v>
      </c>
      <c r="C42" s="2">
        <v>0.123</v>
      </c>
      <c r="D42" s="2">
        <v>5.0999999999999997E-2</v>
      </c>
      <c r="E42" s="2">
        <v>0.13200000000000001</v>
      </c>
      <c r="F42" s="2">
        <v>4.41E-2</v>
      </c>
      <c r="G42" s="4">
        <v>0.23</v>
      </c>
      <c r="H42" s="2">
        <v>-0.24199999999999997</v>
      </c>
      <c r="I42" s="2">
        <v>-0.25600000000000001</v>
      </c>
      <c r="J42" s="2">
        <v>-0.15100000000000002</v>
      </c>
      <c r="K42" s="2">
        <v>6.0814116216420508E-2</v>
      </c>
      <c r="L42" s="2">
        <v>2.89693515204269E-2</v>
      </c>
      <c r="M42" s="4">
        <v>5.2000000000000018E-2</v>
      </c>
      <c r="N42" s="1">
        <v>-0.5138004246284501</v>
      </c>
      <c r="O42" s="1">
        <v>-0.67546174142480209</v>
      </c>
      <c r="P42" s="1">
        <v>-0.74752475247524763</v>
      </c>
      <c r="Q42" s="1">
        <v>0.85430022055086918</v>
      </c>
      <c r="R42" s="1">
        <v>1.9146140074258238</v>
      </c>
      <c r="S42" s="5">
        <v>0.29213483146067426</v>
      </c>
      <c r="T42" s="2">
        <v>0.78700000000000003</v>
      </c>
      <c r="U42" s="2">
        <v>0.77700000000000002</v>
      </c>
      <c r="V42" s="2">
        <v>0.55200000000000005</v>
      </c>
      <c r="W42" s="2">
        <v>0.746</v>
      </c>
      <c r="X42" s="2">
        <v>0.48399999999999999</v>
      </c>
      <c r="Y42" s="4">
        <v>0.75600000000000001</v>
      </c>
      <c r="Z42" s="2">
        <v>-4.9999999999999933E-2</v>
      </c>
      <c r="AA42" s="2">
        <v>-4.6999999999999931E-2</v>
      </c>
      <c r="AB42" s="2">
        <v>-3.0999999999999917E-2</v>
      </c>
      <c r="AC42" s="2">
        <v>-4.2160471554781975E-2</v>
      </c>
      <c r="AD42" s="2">
        <v>4.805699589247997E-2</v>
      </c>
      <c r="AE42" s="4">
        <v>-4.2000000000000037E-2</v>
      </c>
      <c r="AF42" s="1">
        <v>-5.9737156511349983E-2</v>
      </c>
      <c r="AG42" s="1">
        <v>-5.703883495145623E-2</v>
      </c>
      <c r="AH42" s="1">
        <v>-5.3173241852486994E-2</v>
      </c>
      <c r="AI42" s="1">
        <v>-5.3492243110864465E-2</v>
      </c>
      <c r="AJ42" s="1">
        <v>0.11023687830675062</v>
      </c>
      <c r="AK42" s="5">
        <v>-5.2631578947368467E-2</v>
      </c>
      <c r="AL42" s="2">
        <v>0.95799999999999996</v>
      </c>
      <c r="AM42" s="2">
        <v>0.98199999999999998</v>
      </c>
      <c r="AN42" s="2">
        <v>0.68700000000000006</v>
      </c>
      <c r="AO42" s="2">
        <v>0.95799999999999996</v>
      </c>
      <c r="AP42" s="2">
        <v>0.55400000000000005</v>
      </c>
      <c r="AQ42" s="4">
        <v>0.94</v>
      </c>
      <c r="AR42" s="2">
        <v>0.89799999999999991</v>
      </c>
      <c r="AS42" s="2">
        <v>0.94499999999999995</v>
      </c>
      <c r="AT42" s="2">
        <v>0.68300000000000005</v>
      </c>
      <c r="AU42" s="2">
        <v>0.95799999999999996</v>
      </c>
      <c r="AV42" s="2">
        <v>0.55400000000000005</v>
      </c>
      <c r="AW42" s="4">
        <v>0.94</v>
      </c>
      <c r="AX42" s="1">
        <v>14.966666666666665</v>
      </c>
      <c r="AY42" s="1">
        <v>25.54054054054054</v>
      </c>
      <c r="AZ42" s="1">
        <v>170.75</v>
      </c>
      <c r="BA42" s="1" t="e">
        <v>#DIV/0!</v>
      </c>
      <c r="BB42" s="1" t="e">
        <v>#DIV/0!</v>
      </c>
      <c r="BC42" s="5" t="e">
        <v>#DIV/0!</v>
      </c>
      <c r="BD42" s="3">
        <f>$BH$1*F42+$BH$2*X42</f>
        <v>0.22006000000000001</v>
      </c>
      <c r="BE42" s="3">
        <f>$BH$1*M42+$BH$2*AE42</f>
        <v>1.4399999999999993E-2</v>
      </c>
    </row>
    <row r="43" spans="1:57">
      <c r="A43" t="s">
        <v>207</v>
      </c>
      <c r="B43" s="2">
        <v>0.22599557522123898</v>
      </c>
      <c r="C43" s="2">
        <v>0.15</v>
      </c>
      <c r="D43" s="2">
        <v>6.2600000000000003E-2</v>
      </c>
      <c r="E43" s="2">
        <v>0.122</v>
      </c>
      <c r="F43" s="2">
        <v>3.7199999999999997E-2</v>
      </c>
      <c r="G43" s="4">
        <v>0.20476097560975609</v>
      </c>
      <c r="H43" s="2">
        <v>-0.245004424778761</v>
      </c>
      <c r="I43" s="2">
        <v>-0.22900000000000001</v>
      </c>
      <c r="J43" s="2">
        <v>-0.13940000000000002</v>
      </c>
      <c r="K43" s="2">
        <v>5.0814116216420499E-2</v>
      </c>
      <c r="L43" s="2">
        <v>2.2069351520426897E-2</v>
      </c>
      <c r="M43" s="4">
        <v>2.6760975609756099E-2</v>
      </c>
      <c r="N43" s="1">
        <v>-0.52017924581477926</v>
      </c>
      <c r="O43" s="1">
        <v>-0.60422163588390498</v>
      </c>
      <c r="P43" s="1">
        <v>-0.69009900990099016</v>
      </c>
      <c r="Q43" s="1">
        <v>0.71382293111519712</v>
      </c>
      <c r="R43" s="1">
        <v>1.4585859654476334</v>
      </c>
      <c r="S43" s="5">
        <v>0.15034255960537135</v>
      </c>
      <c r="T43" s="2">
        <v>0.80140470297029709</v>
      </c>
      <c r="U43" s="2">
        <v>0.79100000000000004</v>
      </c>
      <c r="V43" s="2">
        <v>0.56399999999999995</v>
      </c>
      <c r="W43" s="2">
        <v>0.76700000000000002</v>
      </c>
      <c r="X43" s="2">
        <v>0.49399999999999999</v>
      </c>
      <c r="Y43" s="4">
        <v>0.78148542458808612</v>
      </c>
      <c r="Z43" s="2">
        <v>-3.5595297029702877E-2</v>
      </c>
      <c r="AA43" s="2">
        <v>-3.2999999999999918E-2</v>
      </c>
      <c r="AB43" s="2">
        <v>-1.9000000000000017E-2</v>
      </c>
      <c r="AC43" s="2">
        <v>-2.1160471554781957E-2</v>
      </c>
      <c r="AD43" s="2">
        <v>5.8056995892479979E-2</v>
      </c>
      <c r="AE43" s="4">
        <v>-1.6514575411913923E-2</v>
      </c>
      <c r="AF43" s="1">
        <v>-4.2527236594627094E-2</v>
      </c>
      <c r="AG43" s="1">
        <v>-4.0048543689320294E-2</v>
      </c>
      <c r="AH43" s="1">
        <v>-3.259005145797602E-2</v>
      </c>
      <c r="AI43" s="1">
        <v>-2.6847922876719877E-2</v>
      </c>
      <c r="AJ43" s="1">
        <v>0.13317565678416285</v>
      </c>
      <c r="AK43" s="5">
        <v>-2.0694956656533738E-2</v>
      </c>
      <c r="AL43" s="2">
        <v>0.95591527196652715</v>
      </c>
      <c r="AM43" s="2">
        <v>0.98599999999999999</v>
      </c>
      <c r="AN43" s="2">
        <v>0.67700000000000005</v>
      </c>
      <c r="AO43" s="2">
        <v>0.96699999999999997</v>
      </c>
      <c r="AP43" s="2">
        <v>0.47799999999999998</v>
      </c>
      <c r="AQ43" s="4">
        <v>0.94742374670184704</v>
      </c>
      <c r="AR43" s="2">
        <v>0.89591527196652709</v>
      </c>
      <c r="AS43" s="2">
        <v>0.94899999999999995</v>
      </c>
      <c r="AT43" s="2">
        <v>0.67300000000000004</v>
      </c>
      <c r="AU43" s="2">
        <v>0.96699999999999997</v>
      </c>
      <c r="AV43" s="2">
        <v>0.47799999999999998</v>
      </c>
      <c r="AW43" s="4">
        <v>0.94742374670184704</v>
      </c>
      <c r="AX43" s="1">
        <v>14.931921199442119</v>
      </c>
      <c r="AY43" s="1">
        <v>25.648648648648649</v>
      </c>
      <c r="AZ43" s="1">
        <v>168.25</v>
      </c>
      <c r="BA43" s="1" t="e">
        <v>#DIV/0!</v>
      </c>
      <c r="BB43" s="1" t="e">
        <v>#DIV/0!</v>
      </c>
      <c r="BC43" s="5" t="e">
        <v>#DIV/0!</v>
      </c>
      <c r="BD43" s="3">
        <f>$BH$1*F43+$BH$2*X43</f>
        <v>0.21992</v>
      </c>
      <c r="BE43" s="3">
        <f>$BH$1*M43+$BH$2*AE43</f>
        <v>9.4507552010880888E-3</v>
      </c>
    </row>
    <row r="44" spans="1:57">
      <c r="A44" t="s">
        <v>59</v>
      </c>
      <c r="B44" s="2">
        <v>0.32</v>
      </c>
      <c r="C44" s="2">
        <v>0.23699999999999999</v>
      </c>
      <c r="D44" s="2">
        <v>8.5000000000000006E-2</v>
      </c>
      <c r="E44" s="2">
        <v>0.215195159127017</v>
      </c>
      <c r="F44" s="2">
        <v>6.2700047172770806E-2</v>
      </c>
      <c r="G44" s="4">
        <v>0.30399999999999999</v>
      </c>
      <c r="H44" s="2">
        <v>-0.15099999999999997</v>
      </c>
      <c r="I44" s="2">
        <v>-0.14200000000000002</v>
      </c>
      <c r="J44" s="2">
        <v>-0.11700000000000001</v>
      </c>
      <c r="K44" s="2">
        <v>0.14400927534343749</v>
      </c>
      <c r="L44" s="2">
        <v>4.7569398693197706E-2</v>
      </c>
      <c r="M44" s="4">
        <v>0.126</v>
      </c>
      <c r="N44" s="1">
        <v>-0.32059447983014855</v>
      </c>
      <c r="O44" s="1">
        <v>-0.37467018469656993</v>
      </c>
      <c r="P44" s="1">
        <v>-0.57920792079207917</v>
      </c>
      <c r="Q44" s="1">
        <v>2.0230032653841437</v>
      </c>
      <c r="R44" s="1">
        <v>3.1439101078462066</v>
      </c>
      <c r="S44" s="5">
        <v>0.70786516853932591</v>
      </c>
      <c r="T44" s="2">
        <v>0.77</v>
      </c>
      <c r="U44" s="2">
        <v>0.75900000000000001</v>
      </c>
      <c r="V44" s="2">
        <v>0.52100000000000002</v>
      </c>
      <c r="W44" s="2">
        <v>0.72687609854120006</v>
      </c>
      <c r="X44" s="2">
        <v>0.45424820107410202</v>
      </c>
      <c r="Y44" s="4">
        <v>0.751</v>
      </c>
      <c r="Z44" s="2">
        <v>-6.6999999999999948E-2</v>
      </c>
      <c r="AA44" s="2">
        <v>-6.4999999999999947E-2</v>
      </c>
      <c r="AB44" s="2">
        <v>-6.1999999999999944E-2</v>
      </c>
      <c r="AC44" s="2">
        <v>-6.1284373013581916E-2</v>
      </c>
      <c r="AD44" s="2">
        <v>1.8305196966582005E-2</v>
      </c>
      <c r="AE44" s="4">
        <v>-4.7000000000000042E-2</v>
      </c>
      <c r="AF44" s="1">
        <v>-8.0047789725209026E-2</v>
      </c>
      <c r="AG44" s="1">
        <v>-7.8883495145631005E-2</v>
      </c>
      <c r="AH44" s="1">
        <v>-0.10634648370497418</v>
      </c>
      <c r="AI44" s="1">
        <v>-7.7756212377268749E-2</v>
      </c>
      <c r="AJ44" s="1">
        <v>4.1989885820182246E-2</v>
      </c>
      <c r="AK44" s="5">
        <v>-5.8897243107769476E-2</v>
      </c>
      <c r="AL44" s="2">
        <v>0.96299999999999997</v>
      </c>
      <c r="AM44" s="2">
        <v>0.98399999999999999</v>
      </c>
      <c r="AN44" s="2">
        <v>0.55200000000000005</v>
      </c>
      <c r="AO44" s="2">
        <v>0.98705627261270501</v>
      </c>
      <c r="AP44" s="2">
        <v>0.46081182321094299</v>
      </c>
      <c r="AQ44" s="4">
        <v>0.96299999999999997</v>
      </c>
      <c r="AR44" s="2">
        <v>0.90300000000000002</v>
      </c>
      <c r="AS44" s="2">
        <v>0.94699999999999995</v>
      </c>
      <c r="AT44" s="2">
        <v>0.54800000000000004</v>
      </c>
      <c r="AU44" s="2">
        <v>0.98705627261270501</v>
      </c>
      <c r="AV44" s="2">
        <v>0.46081182321094299</v>
      </c>
      <c r="AW44" s="4">
        <v>0.96299999999999997</v>
      </c>
      <c r="AX44" s="1">
        <v>15.05</v>
      </c>
      <c r="AY44" s="1">
        <v>25.594594594594593</v>
      </c>
      <c r="AZ44" s="1">
        <v>137</v>
      </c>
      <c r="BA44" s="1" t="e">
        <v>#DIV/0!</v>
      </c>
      <c r="BB44" s="1" t="e">
        <v>#DIV/0!</v>
      </c>
      <c r="BC44" s="5" t="e">
        <v>#DIV/0!</v>
      </c>
      <c r="BD44" s="3">
        <f>$BH$1*F44+$BH$2*X44</f>
        <v>0.2193193087333033</v>
      </c>
      <c r="BE44" s="3">
        <f>$BH$1*M44+$BH$2*AE44</f>
        <v>5.6799999999999982E-2</v>
      </c>
    </row>
    <row r="45" spans="1:57">
      <c r="A45" t="s">
        <v>63</v>
      </c>
      <c r="B45" s="2">
        <v>0.29799999999999999</v>
      </c>
      <c r="C45" s="2">
        <v>0.22700000000000001</v>
      </c>
      <c r="D45" s="2">
        <v>8.2000000000000003E-2</v>
      </c>
      <c r="E45" s="2">
        <v>0.212088786842798</v>
      </c>
      <c r="F45" s="2">
        <v>6.3773009130840205E-2</v>
      </c>
      <c r="G45" s="4">
        <v>0.29099999999999998</v>
      </c>
      <c r="H45" s="2">
        <v>-0.17299999999999999</v>
      </c>
      <c r="I45" s="2">
        <v>-0.152</v>
      </c>
      <c r="J45" s="2">
        <v>-0.12000000000000001</v>
      </c>
      <c r="K45" s="2">
        <v>0.14090290305921849</v>
      </c>
      <c r="L45" s="2">
        <v>4.8642360651267105E-2</v>
      </c>
      <c r="M45" s="4">
        <v>0.11299999999999999</v>
      </c>
      <c r="N45" s="1">
        <v>-0.36730360934182588</v>
      </c>
      <c r="O45" s="1">
        <v>-0.40105540897097625</v>
      </c>
      <c r="P45" s="1">
        <v>-0.59405940594059403</v>
      </c>
      <c r="Q45" s="1">
        <v>1.9793657895376255</v>
      </c>
      <c r="R45" s="1">
        <v>3.214823258694826</v>
      </c>
      <c r="S45" s="5">
        <v>0.6348314606741573</v>
      </c>
      <c r="T45" s="2">
        <v>0.77200000000000002</v>
      </c>
      <c r="U45" s="2">
        <v>0.75600000000000001</v>
      </c>
      <c r="V45" s="2">
        <v>0.51900000000000002</v>
      </c>
      <c r="W45" s="2">
        <v>0.72260078869267197</v>
      </c>
      <c r="X45" s="2">
        <v>0.45185771094861898</v>
      </c>
      <c r="Y45" s="4">
        <v>0.751</v>
      </c>
      <c r="Z45" s="2">
        <v>-6.4999999999999947E-2</v>
      </c>
      <c r="AA45" s="2">
        <v>-6.7999999999999949E-2</v>
      </c>
      <c r="AB45" s="2">
        <v>-6.3999999999999946E-2</v>
      </c>
      <c r="AC45" s="2">
        <v>-6.5559682862110003E-2</v>
      </c>
      <c r="AD45" s="2">
        <v>1.5914706841098969E-2</v>
      </c>
      <c r="AE45" s="4">
        <v>-4.7000000000000042E-2</v>
      </c>
      <c r="AF45" s="1">
        <v>-7.765830346475501E-2</v>
      </c>
      <c r="AG45" s="1">
        <v>-8.2524271844660144E-2</v>
      </c>
      <c r="AH45" s="1">
        <v>-0.10977701543739271</v>
      </c>
      <c r="AI45" s="1">
        <v>-8.3180627839381821E-2</v>
      </c>
      <c r="AJ45" s="1">
        <v>3.650639347609258E-2</v>
      </c>
      <c r="AK45" s="5">
        <v>-5.8897243107769476E-2</v>
      </c>
      <c r="AL45" s="2">
        <v>0.96899999999999997</v>
      </c>
      <c r="AM45" s="2">
        <v>0.99099999999999999</v>
      </c>
      <c r="AN45" s="2">
        <v>0.52600000000000002</v>
      </c>
      <c r="AO45" s="2">
        <v>0.990441062334939</v>
      </c>
      <c r="AP45" s="2">
        <v>0.45494333783123703</v>
      </c>
      <c r="AQ45" s="4">
        <v>0.96899999999999997</v>
      </c>
      <c r="AR45" s="2">
        <v>0.90900000000000003</v>
      </c>
      <c r="AS45" s="2">
        <v>0.95399999999999996</v>
      </c>
      <c r="AT45" s="2">
        <v>0.52200000000000002</v>
      </c>
      <c r="AU45" s="2">
        <v>0.990441062334939</v>
      </c>
      <c r="AV45" s="2">
        <v>0.45494333783123703</v>
      </c>
      <c r="AW45" s="4">
        <v>0.96899999999999997</v>
      </c>
      <c r="AX45" s="1">
        <v>15.15</v>
      </c>
      <c r="AY45" s="1">
        <v>25.783783783783782</v>
      </c>
      <c r="AZ45" s="1">
        <v>130.5</v>
      </c>
      <c r="BA45" s="1" t="e">
        <v>#DIV/0!</v>
      </c>
      <c r="BB45" s="1" t="e">
        <v>#DIV/0!</v>
      </c>
      <c r="BC45" s="5" t="e">
        <v>#DIV/0!</v>
      </c>
      <c r="BD45" s="3">
        <f>$BH$1*F45+$BH$2*X45</f>
        <v>0.21900688985795175</v>
      </c>
      <c r="BE45" s="3">
        <f>$BH$1*M45+$BH$2*AE45</f>
        <v>4.8999999999999967E-2</v>
      </c>
    </row>
    <row r="46" spans="1:57">
      <c r="A46" t="s">
        <v>214</v>
      </c>
      <c r="B46" s="2">
        <v>0.24184049079754602</v>
      </c>
      <c r="C46" s="2">
        <v>0.14899999999999999</v>
      </c>
      <c r="D46" s="2">
        <v>5.7500000000000002E-2</v>
      </c>
      <c r="E46" s="2">
        <v>0.11899999999999999</v>
      </c>
      <c r="F46" s="2">
        <v>3.61E-2</v>
      </c>
      <c r="G46" s="4">
        <v>0.21231308411214955</v>
      </c>
      <c r="H46" s="2">
        <v>-0.22915950920245395</v>
      </c>
      <c r="I46" s="2">
        <v>-0.23</v>
      </c>
      <c r="J46" s="2">
        <v>-0.14450000000000002</v>
      </c>
      <c r="K46" s="2">
        <v>4.7814116216420496E-2</v>
      </c>
      <c r="L46" s="2">
        <v>2.09693515204269E-2</v>
      </c>
      <c r="M46" s="4">
        <v>3.4313084112149561E-2</v>
      </c>
      <c r="N46" s="1">
        <v>-0.4865382360986284</v>
      </c>
      <c r="O46" s="1">
        <v>-0.60686015831134565</v>
      </c>
      <c r="P46" s="1">
        <v>-0.71534653465346543</v>
      </c>
      <c r="Q46" s="1">
        <v>0.67167974428449551</v>
      </c>
      <c r="R46" s="1">
        <v>1.3858858428134295</v>
      </c>
      <c r="S46" s="5">
        <v>0.19277013546151439</v>
      </c>
      <c r="T46" s="2">
        <v>0.80017380509000624</v>
      </c>
      <c r="U46" s="2">
        <v>0.78900000000000003</v>
      </c>
      <c r="V46" s="2">
        <v>0.56000000000000005</v>
      </c>
      <c r="W46" s="2">
        <v>0.76300000000000001</v>
      </c>
      <c r="X46" s="2">
        <v>0.49099999999999999</v>
      </c>
      <c r="Y46" s="4">
        <v>0.77925761421319795</v>
      </c>
      <c r="Z46" s="2">
        <v>-3.6826194909993726E-2</v>
      </c>
      <c r="AA46" s="2">
        <v>-3.499999999999992E-2</v>
      </c>
      <c r="AB46" s="2">
        <v>-2.2999999999999909E-2</v>
      </c>
      <c r="AC46" s="2">
        <v>-2.516047155478196E-2</v>
      </c>
      <c r="AD46" s="2">
        <v>5.5056995892479976E-2</v>
      </c>
      <c r="AE46" s="4">
        <v>-1.8742385786802096E-2</v>
      </c>
      <c r="AF46" s="1">
        <v>-4.3997843381115564E-2</v>
      </c>
      <c r="AG46" s="1">
        <v>-4.2475728155339711E-2</v>
      </c>
      <c r="AH46" s="1">
        <v>-3.9451114922812884E-2</v>
      </c>
      <c r="AI46" s="1">
        <v>-3.1923031492747417E-2</v>
      </c>
      <c r="AJ46" s="1">
        <v>0.12629402324093919</v>
      </c>
      <c r="AK46" s="5">
        <v>-2.3486698980955005E-2</v>
      </c>
      <c r="AL46" s="2">
        <v>0.95884984358706982</v>
      </c>
      <c r="AM46" s="2">
        <v>0.98099999999999998</v>
      </c>
      <c r="AN46" s="2">
        <v>0.69199999999999995</v>
      </c>
      <c r="AO46" s="2">
        <v>0.96199999999999997</v>
      </c>
      <c r="AP46" s="2">
        <v>0.49199999999999999</v>
      </c>
      <c r="AQ46" s="4">
        <v>0.94739240506329114</v>
      </c>
      <c r="AR46" s="2">
        <v>0.89884984358706976</v>
      </c>
      <c r="AS46" s="2">
        <v>0.94399999999999995</v>
      </c>
      <c r="AT46" s="2">
        <v>0.68799999999999994</v>
      </c>
      <c r="AU46" s="2">
        <v>0.96199999999999997</v>
      </c>
      <c r="AV46" s="2">
        <v>0.49199999999999999</v>
      </c>
      <c r="AW46" s="4">
        <v>0.94739240506329114</v>
      </c>
      <c r="AX46" s="1">
        <v>14.980830726451163</v>
      </c>
      <c r="AY46" s="1">
        <v>25.513513513513512</v>
      </c>
      <c r="AZ46" s="1">
        <v>171.99999999999997</v>
      </c>
      <c r="BA46" s="1" t="e">
        <v>#DIV/0!</v>
      </c>
      <c r="BB46" s="1" t="e">
        <v>#DIV/0!</v>
      </c>
      <c r="BC46" s="5" t="e">
        <v>#DIV/0!</v>
      </c>
      <c r="BD46" s="3">
        <f>$BH$1*F46+$BH$2*X46</f>
        <v>0.21806000000000003</v>
      </c>
      <c r="BE46" s="3">
        <f>$BH$1*M46+$BH$2*AE46</f>
        <v>1.3090896152568896E-2</v>
      </c>
    </row>
    <row r="47" spans="1:57">
      <c r="A47" t="s">
        <v>112</v>
      </c>
      <c r="B47" s="2">
        <v>0.29699999999999999</v>
      </c>
      <c r="C47" s="2">
        <v>0.222</v>
      </c>
      <c r="D47" s="2">
        <v>7.5999999999999998E-2</v>
      </c>
      <c r="E47" s="2">
        <v>0.215</v>
      </c>
      <c r="F47" s="2">
        <v>0.08</v>
      </c>
      <c r="G47" s="4">
        <v>0.27100000000000002</v>
      </c>
      <c r="H47" s="2">
        <v>-0.17399999999999999</v>
      </c>
      <c r="I47" s="2">
        <v>-0.157</v>
      </c>
      <c r="J47" s="2">
        <v>-0.126</v>
      </c>
      <c r="K47" s="2">
        <v>0.14381411621642048</v>
      </c>
      <c r="L47" s="2">
        <v>6.4869351520426902E-2</v>
      </c>
      <c r="M47" s="4">
        <v>9.3000000000000027E-2</v>
      </c>
      <c r="N47" s="1">
        <v>-0.36942675159235666</v>
      </c>
      <c r="O47" s="1">
        <v>-0.41424802110817943</v>
      </c>
      <c r="P47" s="1">
        <v>-0.62376237623762376</v>
      </c>
      <c r="Q47" s="1">
        <v>2.0202617228669455</v>
      </c>
      <c r="R47" s="1">
        <v>4.2872816461239438</v>
      </c>
      <c r="S47" s="5">
        <v>0.52247191011235972</v>
      </c>
      <c r="T47" s="2">
        <v>0.76</v>
      </c>
      <c r="U47" s="2">
        <v>0.74099999999999999</v>
      </c>
      <c r="V47" s="2">
        <v>0.497</v>
      </c>
      <c r="W47" s="2">
        <v>0.70199999999999996</v>
      </c>
      <c r="X47" s="2">
        <v>0.42499999999999999</v>
      </c>
      <c r="Y47" s="4">
        <v>0.72399999999999998</v>
      </c>
      <c r="Z47" s="2">
        <v>-7.6999999999999957E-2</v>
      </c>
      <c r="AA47" s="2">
        <v>-8.2999999999999963E-2</v>
      </c>
      <c r="AB47" s="2">
        <v>-8.5999999999999965E-2</v>
      </c>
      <c r="AC47" s="2">
        <v>-8.6160471554782014E-2</v>
      </c>
      <c r="AD47" s="2">
        <v>-1.0943004107520027E-2</v>
      </c>
      <c r="AE47" s="4">
        <v>-7.4000000000000066E-2</v>
      </c>
      <c r="AF47" s="1">
        <v>-9.1995221027479049E-2</v>
      </c>
      <c r="AG47" s="1">
        <v>-0.10072815533980578</v>
      </c>
      <c r="AH47" s="1">
        <v>-0.14751286449399653</v>
      </c>
      <c r="AI47" s="1">
        <v>-0.10931843788716741</v>
      </c>
      <c r="AJ47" s="1">
        <v>-2.5101914709981372E-2</v>
      </c>
      <c r="AK47" s="5">
        <v>-9.2731829573934915E-2</v>
      </c>
      <c r="AL47" s="2">
        <v>0.95099999999999996</v>
      </c>
      <c r="AM47" s="2">
        <v>0.97599999999999998</v>
      </c>
      <c r="AN47" s="2">
        <v>0.48199999999999998</v>
      </c>
      <c r="AO47" s="2">
        <v>0.96699999999999997</v>
      </c>
      <c r="AP47" s="2">
        <v>0.41499999999999998</v>
      </c>
      <c r="AQ47" s="4">
        <v>0.94199999999999995</v>
      </c>
      <c r="AR47" s="2">
        <v>0.89100000000000001</v>
      </c>
      <c r="AS47" s="2">
        <v>0.93899999999999995</v>
      </c>
      <c r="AT47" s="2">
        <v>0.47799999999999998</v>
      </c>
      <c r="AU47" s="2">
        <v>0.96699999999999997</v>
      </c>
      <c r="AV47" s="2">
        <v>0.41499999999999998</v>
      </c>
      <c r="AW47" s="4">
        <v>0.94199999999999995</v>
      </c>
      <c r="AX47" s="1">
        <v>14.850000000000001</v>
      </c>
      <c r="AY47" s="1">
        <v>25.378378378378379</v>
      </c>
      <c r="AZ47" s="1">
        <v>119.49999999999999</v>
      </c>
      <c r="BA47" s="1" t="e">
        <v>#DIV/0!</v>
      </c>
      <c r="BB47" s="1" t="e">
        <v>#DIV/0!</v>
      </c>
      <c r="BC47" s="5" t="e">
        <v>#DIV/0!</v>
      </c>
      <c r="BD47" s="3">
        <f>$BH$1*F47+$BH$2*X47</f>
        <v>0.21800000000000003</v>
      </c>
      <c r="BE47" s="3">
        <f>$BH$1*M47+$BH$2*AE47</f>
        <v>2.6199999999999987E-2</v>
      </c>
    </row>
    <row r="48" spans="1:57">
      <c r="A48" t="s">
        <v>67</v>
      </c>
      <c r="B48" s="2">
        <v>0.34</v>
      </c>
      <c r="C48" s="2">
        <v>0.248</v>
      </c>
      <c r="D48" s="2">
        <v>8.5999999999999993E-2</v>
      </c>
      <c r="E48" s="2">
        <v>0.22427479636404499</v>
      </c>
      <c r="F48" s="2">
        <v>7.7179988246611694E-2</v>
      </c>
      <c r="G48" s="4">
        <v>0.30299999999999999</v>
      </c>
      <c r="H48" s="2">
        <v>-0.13099999999999995</v>
      </c>
      <c r="I48" s="2">
        <v>-0.13100000000000001</v>
      </c>
      <c r="J48" s="2">
        <v>-0.11600000000000002</v>
      </c>
      <c r="K48" s="2">
        <v>0.15308891258046547</v>
      </c>
      <c r="L48" s="2">
        <v>6.2049339767038594E-2</v>
      </c>
      <c r="M48" s="4">
        <v>0.125</v>
      </c>
      <c r="N48" s="1">
        <v>-0.27813163481953279</v>
      </c>
      <c r="O48" s="1">
        <v>-0.34564643799472294</v>
      </c>
      <c r="P48" s="1">
        <v>-0.57425742574257432</v>
      </c>
      <c r="Q48" s="1">
        <v>2.1505515481958324</v>
      </c>
      <c r="R48" s="1">
        <v>4.1009041913046458</v>
      </c>
      <c r="S48" s="5">
        <v>0.702247191011236</v>
      </c>
      <c r="T48" s="2">
        <v>0.747</v>
      </c>
      <c r="U48" s="2">
        <v>0.73</v>
      </c>
      <c r="V48" s="2">
        <v>0.49299999999999999</v>
      </c>
      <c r="W48" s="2">
        <v>0.69429713111790203</v>
      </c>
      <c r="X48" s="2">
        <v>0.42910807706301501</v>
      </c>
      <c r="Y48" s="4">
        <v>0.72699999999999998</v>
      </c>
      <c r="Z48" s="2">
        <v>-8.9999999999999969E-2</v>
      </c>
      <c r="AA48" s="2">
        <v>-9.3999999999999972E-2</v>
      </c>
      <c r="AB48" s="2">
        <v>-8.9999999999999969E-2</v>
      </c>
      <c r="AC48" s="2">
        <v>-9.3863340436879938E-2</v>
      </c>
      <c r="AD48" s="2">
        <v>-6.8349270445050014E-3</v>
      </c>
      <c r="AE48" s="4">
        <v>-7.1000000000000063E-2</v>
      </c>
      <c r="AF48" s="1">
        <v>-0.10752688172043008</v>
      </c>
      <c r="AG48" s="1">
        <v>-0.1140776699029126</v>
      </c>
      <c r="AH48" s="1">
        <v>-0.15437392795883356</v>
      </c>
      <c r="AI48" s="1">
        <v>-0.1190916619450838</v>
      </c>
      <c r="AJ48" s="1">
        <v>-1.5678487738317391E-2</v>
      </c>
      <c r="AK48" s="5">
        <v>-8.8972431077694314E-2</v>
      </c>
      <c r="AL48" s="2">
        <v>0.96099999999999997</v>
      </c>
      <c r="AM48" s="2">
        <v>0.97799999999999998</v>
      </c>
      <c r="AN48" s="2">
        <v>0.56100000000000005</v>
      </c>
      <c r="AO48" s="2">
        <v>0.97837861883434096</v>
      </c>
      <c r="AP48" s="2">
        <v>0.42475989355015298</v>
      </c>
      <c r="AQ48" s="4">
        <v>0.96099999999999997</v>
      </c>
      <c r="AR48" s="2">
        <v>0.90100000000000002</v>
      </c>
      <c r="AS48" s="2">
        <v>0.94099999999999995</v>
      </c>
      <c r="AT48" s="2">
        <v>0.55700000000000005</v>
      </c>
      <c r="AU48" s="2">
        <v>0.97837861883434096</v>
      </c>
      <c r="AV48" s="2">
        <v>0.42475989355015298</v>
      </c>
      <c r="AW48" s="4">
        <v>0.96099999999999997</v>
      </c>
      <c r="AX48" s="1">
        <v>15.016666666666667</v>
      </c>
      <c r="AY48" s="1">
        <v>25.432432432432432</v>
      </c>
      <c r="AZ48" s="1">
        <v>139.25</v>
      </c>
      <c r="BA48" s="1" t="e">
        <v>#DIV/0!</v>
      </c>
      <c r="BB48" s="1" t="e">
        <v>#DIV/0!</v>
      </c>
      <c r="BC48" s="5" t="e">
        <v>#DIV/0!</v>
      </c>
      <c r="BD48" s="3">
        <f>$BH$1*F48+$BH$2*X48</f>
        <v>0.21795122377317305</v>
      </c>
      <c r="BE48" s="3">
        <f>$BH$1*M48+$BH$2*AE48</f>
        <v>4.6599999999999975E-2</v>
      </c>
    </row>
    <row r="49" spans="1:57">
      <c r="A49" t="s">
        <v>117</v>
      </c>
      <c r="B49" s="2">
        <v>0.308</v>
      </c>
      <c r="C49" s="2">
        <v>0.22</v>
      </c>
      <c r="D49" s="2">
        <v>7.4999999999999997E-2</v>
      </c>
      <c r="E49" s="2">
        <v>0.218</v>
      </c>
      <c r="F49" s="2">
        <v>6.9800000000000001E-2</v>
      </c>
      <c r="G49" s="4">
        <v>0.28499999999999998</v>
      </c>
      <c r="H49" s="2">
        <v>-0.16299999999999998</v>
      </c>
      <c r="I49" s="2">
        <v>-0.159</v>
      </c>
      <c r="J49" s="2">
        <v>-0.127</v>
      </c>
      <c r="K49" s="2">
        <v>0.14681411621642049</v>
      </c>
      <c r="L49" s="2">
        <v>5.4669351520426901E-2</v>
      </c>
      <c r="M49" s="4">
        <v>0.10699999999999998</v>
      </c>
      <c r="N49" s="1">
        <v>-0.34607218683651803</v>
      </c>
      <c r="O49" s="1">
        <v>-0.41952506596306066</v>
      </c>
      <c r="P49" s="1">
        <v>-0.62871287128712872</v>
      </c>
      <c r="Q49" s="1">
        <v>2.0624049096976473</v>
      </c>
      <c r="R49" s="1">
        <v>3.6131532362431407</v>
      </c>
      <c r="S49" s="5">
        <v>0.60112359550561789</v>
      </c>
      <c r="T49" s="2">
        <v>0.75800000000000001</v>
      </c>
      <c r="U49" s="2">
        <v>0.74299999999999999</v>
      </c>
      <c r="V49" s="2">
        <v>0.502</v>
      </c>
      <c r="W49" s="2">
        <v>0.71099999999999997</v>
      </c>
      <c r="X49" s="2">
        <v>0.437</v>
      </c>
      <c r="Y49" s="4">
        <v>0.72499999999999998</v>
      </c>
      <c r="Z49" s="2">
        <v>-7.8999999999999959E-2</v>
      </c>
      <c r="AA49" s="2">
        <v>-8.0999999999999961E-2</v>
      </c>
      <c r="AB49" s="2">
        <v>-8.0999999999999961E-2</v>
      </c>
      <c r="AC49" s="2">
        <v>-7.7160471554782006E-2</v>
      </c>
      <c r="AD49" s="2">
        <v>1.0569958924799838E-3</v>
      </c>
      <c r="AE49" s="4">
        <v>-7.3000000000000065E-2</v>
      </c>
      <c r="AF49" s="1">
        <v>-9.4384707287933051E-2</v>
      </c>
      <c r="AG49" s="1">
        <v>-9.8300970873786364E-2</v>
      </c>
      <c r="AH49" s="1">
        <v>-0.13893653516295021</v>
      </c>
      <c r="AI49" s="1">
        <v>-9.7899443501105451E-2</v>
      </c>
      <c r="AJ49" s="1">
        <v>2.4246194629132956E-3</v>
      </c>
      <c r="AK49" s="5">
        <v>-9.1478696741854715E-2</v>
      </c>
      <c r="AL49" s="2">
        <v>0.92400000000000004</v>
      </c>
      <c r="AM49" s="2">
        <v>0.96299999999999997</v>
      </c>
      <c r="AN49" s="2">
        <v>0.48599999999999999</v>
      </c>
      <c r="AO49" s="2">
        <v>0.95699999999999996</v>
      </c>
      <c r="AP49" s="2">
        <v>0.42799999999999999</v>
      </c>
      <c r="AQ49" s="4">
        <v>0.92400000000000004</v>
      </c>
      <c r="AR49" s="2">
        <v>0.8640000000000001</v>
      </c>
      <c r="AS49" s="2">
        <v>0.92599999999999993</v>
      </c>
      <c r="AT49" s="2">
        <v>0.48199999999999998</v>
      </c>
      <c r="AU49" s="2">
        <v>0.95699999999999996</v>
      </c>
      <c r="AV49" s="2">
        <v>0.42799999999999999</v>
      </c>
      <c r="AW49" s="4">
        <v>0.92400000000000004</v>
      </c>
      <c r="AX49" s="1">
        <v>14.400000000000002</v>
      </c>
      <c r="AY49" s="1">
        <v>25.027027027027028</v>
      </c>
      <c r="AZ49" s="1">
        <v>120.5</v>
      </c>
      <c r="BA49" s="1" t="e">
        <v>#DIV/0!</v>
      </c>
      <c r="BB49" s="1" t="e">
        <v>#DIV/0!</v>
      </c>
      <c r="BC49" s="5" t="e">
        <v>#DIV/0!</v>
      </c>
      <c r="BD49" s="3">
        <f>$BH$1*F49+$BH$2*X49</f>
        <v>0.21668000000000001</v>
      </c>
      <c r="BE49" s="3">
        <f>$BH$1*M49+$BH$2*AE49</f>
        <v>3.4999999999999962E-2</v>
      </c>
    </row>
    <row r="50" spans="1:57">
      <c r="A50" t="s">
        <v>118</v>
      </c>
      <c r="B50" s="2">
        <v>0.28100000000000003</v>
      </c>
      <c r="C50" s="2">
        <v>0.21099999999999999</v>
      </c>
      <c r="D50" s="2">
        <v>7.4999999999999997E-2</v>
      </c>
      <c r="E50" s="2">
        <v>0.20100000000000001</v>
      </c>
      <c r="F50" s="2">
        <v>6.9800000000000001E-2</v>
      </c>
      <c r="G50" s="4">
        <v>0.27700000000000002</v>
      </c>
      <c r="H50" s="2">
        <v>-0.18999999999999995</v>
      </c>
      <c r="I50" s="2">
        <v>-0.16800000000000001</v>
      </c>
      <c r="J50" s="2">
        <v>-0.127</v>
      </c>
      <c r="K50" s="2">
        <v>0.12981411621642053</v>
      </c>
      <c r="L50" s="2">
        <v>5.4669351520426901E-2</v>
      </c>
      <c r="M50" s="4">
        <v>9.9000000000000032E-2</v>
      </c>
      <c r="N50" s="1">
        <v>-0.40339702760084917</v>
      </c>
      <c r="O50" s="1">
        <v>-0.44327176781002642</v>
      </c>
      <c r="P50" s="1">
        <v>-0.62871287128712872</v>
      </c>
      <c r="Q50" s="1">
        <v>1.8235935176570055</v>
      </c>
      <c r="R50" s="1">
        <v>3.6131532362431407</v>
      </c>
      <c r="S50" s="5">
        <v>0.55617977528089912</v>
      </c>
      <c r="T50" s="2">
        <v>0.75600000000000001</v>
      </c>
      <c r="U50" s="2">
        <v>0.746</v>
      </c>
      <c r="V50" s="2">
        <v>0.504</v>
      </c>
      <c r="W50" s="2">
        <v>0.71299999999999997</v>
      </c>
      <c r="X50" s="2">
        <v>0.436</v>
      </c>
      <c r="Y50" s="4">
        <v>0.73199999999999998</v>
      </c>
      <c r="Z50" s="2">
        <v>-8.0999999999999961E-2</v>
      </c>
      <c r="AA50" s="2">
        <v>-7.7999999999999958E-2</v>
      </c>
      <c r="AB50" s="2">
        <v>-7.8999999999999959E-2</v>
      </c>
      <c r="AC50" s="2">
        <v>-7.5160471554782005E-2</v>
      </c>
      <c r="AD50" s="2">
        <v>5.6995892479982935E-5</v>
      </c>
      <c r="AE50" s="4">
        <v>-6.6000000000000059E-2</v>
      </c>
      <c r="AF50" s="1">
        <v>-9.6774193548387052E-2</v>
      </c>
      <c r="AG50" s="1">
        <v>-9.466019417475724E-2</v>
      </c>
      <c r="AH50" s="1">
        <v>-0.13550600343053168</v>
      </c>
      <c r="AI50" s="1">
        <v>-9.5361889193091673E-2</v>
      </c>
      <c r="AJ50" s="1">
        <v>1.3074161517207325E-4</v>
      </c>
      <c r="AK50" s="5">
        <v>-8.2706766917293298E-2</v>
      </c>
      <c r="AL50" s="2">
        <v>0.88700000000000001</v>
      </c>
      <c r="AM50" s="2">
        <v>0.95799999999999996</v>
      </c>
      <c r="AN50" s="2">
        <v>0.45700000000000002</v>
      </c>
      <c r="AO50" s="2">
        <v>0.96</v>
      </c>
      <c r="AP50" s="2">
        <v>0.42099999999999999</v>
      </c>
      <c r="AQ50" s="4">
        <v>0.89600000000000002</v>
      </c>
      <c r="AR50" s="2">
        <v>0.82699999999999996</v>
      </c>
      <c r="AS50" s="2">
        <v>0.92099999999999993</v>
      </c>
      <c r="AT50" s="2">
        <v>0.45300000000000001</v>
      </c>
      <c r="AU50" s="2">
        <v>0.96</v>
      </c>
      <c r="AV50" s="2">
        <v>0.42099999999999999</v>
      </c>
      <c r="AW50" s="4">
        <v>0.89600000000000002</v>
      </c>
      <c r="AX50" s="1">
        <v>13.783333333333333</v>
      </c>
      <c r="AY50" s="1">
        <v>24.891891891891891</v>
      </c>
      <c r="AZ50" s="1">
        <v>113.25</v>
      </c>
      <c r="BA50" s="1" t="e">
        <v>#DIV/0!</v>
      </c>
      <c r="BB50" s="1" t="e">
        <v>#DIV/0!</v>
      </c>
      <c r="BC50" s="5" t="e">
        <v>#DIV/0!</v>
      </c>
      <c r="BD50" s="3">
        <f>$BH$1*F50+$BH$2*X50</f>
        <v>0.21628</v>
      </c>
      <c r="BE50" s="3">
        <f>$BH$1*M50+$BH$2*AE50</f>
        <v>3.2999999999999988E-2</v>
      </c>
    </row>
    <row r="51" spans="1:57">
      <c r="A51" t="s">
        <v>187</v>
      </c>
      <c r="B51" s="2">
        <v>0.27201848998459172</v>
      </c>
      <c r="C51" s="2">
        <v>0.17899999999999999</v>
      </c>
      <c r="D51" s="2">
        <v>6.6299999999999998E-2</v>
      </c>
      <c r="E51" s="2">
        <v>0.161</v>
      </c>
      <c r="F51" s="2">
        <v>5.2499999999999998E-2</v>
      </c>
      <c r="G51" s="4">
        <v>0.26074074074074072</v>
      </c>
      <c r="H51" s="2">
        <v>-0.19898151001540826</v>
      </c>
      <c r="I51" s="2">
        <v>-0.2</v>
      </c>
      <c r="J51" s="2">
        <v>-0.13570000000000002</v>
      </c>
      <c r="K51" s="2">
        <v>8.9814116216420506E-2</v>
      </c>
      <c r="L51" s="2">
        <v>3.7369351520426898E-2</v>
      </c>
      <c r="M51" s="4">
        <v>8.2740740740740726E-2</v>
      </c>
      <c r="N51" s="1">
        <v>-0.42246605098812795</v>
      </c>
      <c r="O51" s="1">
        <v>-0.52770448548812665</v>
      </c>
      <c r="P51" s="1">
        <v>-0.67178217821782182</v>
      </c>
      <c r="Q51" s="1">
        <v>1.2616843599143177</v>
      </c>
      <c r="R51" s="1">
        <v>2.4697785802688377</v>
      </c>
      <c r="S51" s="5">
        <v>0.46483562213899288</v>
      </c>
      <c r="T51" s="2">
        <v>0.77955994897959191</v>
      </c>
      <c r="U51" s="2">
        <v>0.75800000000000001</v>
      </c>
      <c r="V51" s="2">
        <v>0.53</v>
      </c>
      <c r="W51" s="2">
        <v>0.71799999999999997</v>
      </c>
      <c r="X51" s="2">
        <v>0.45800000000000002</v>
      </c>
      <c r="Y51" s="4">
        <v>0.74738911022576349</v>
      </c>
      <c r="Z51" s="2">
        <v>-5.7440051020408056E-2</v>
      </c>
      <c r="AA51" s="2">
        <v>-6.5999999999999948E-2</v>
      </c>
      <c r="AB51" s="2">
        <v>-5.2999999999999936E-2</v>
      </c>
      <c r="AC51" s="2">
        <v>-7.0160471554782E-2</v>
      </c>
      <c r="AD51" s="2">
        <v>2.2056995892480002E-2</v>
      </c>
      <c r="AE51" s="4">
        <v>-5.0610889774236556E-2</v>
      </c>
      <c r="AF51" s="1">
        <v>-6.8626106356520972E-2</v>
      </c>
      <c r="AG51" s="1">
        <v>-8.0097087378640713E-2</v>
      </c>
      <c r="AH51" s="1">
        <v>-9.0909090909090801E-2</v>
      </c>
      <c r="AI51" s="1">
        <v>-8.9018003423057254E-2</v>
      </c>
      <c r="AJ51" s="1">
        <v>5.0596054265478967E-2</v>
      </c>
      <c r="AK51" s="5">
        <v>-6.3422167636887905E-2</v>
      </c>
      <c r="AL51" s="2">
        <v>0.96085015608740909</v>
      </c>
      <c r="AM51" s="2">
        <v>0.98199999999999998</v>
      </c>
      <c r="AN51" s="2">
        <v>0.622</v>
      </c>
      <c r="AO51" s="2">
        <v>0.98099999999999998</v>
      </c>
      <c r="AP51" s="2">
        <v>0.45700000000000002</v>
      </c>
      <c r="AQ51" s="4">
        <v>0.96085015608740909</v>
      </c>
      <c r="AR51" s="2">
        <v>0.90085015608740915</v>
      </c>
      <c r="AS51" s="2">
        <v>0.94499999999999995</v>
      </c>
      <c r="AT51" s="2">
        <v>0.61799999999999999</v>
      </c>
      <c r="AU51" s="2">
        <v>0.98099999999999998</v>
      </c>
      <c r="AV51" s="2">
        <v>0.45700000000000002</v>
      </c>
      <c r="AW51" s="4">
        <v>0.96085015608740909</v>
      </c>
      <c r="AX51" s="1">
        <v>15.014169268123487</v>
      </c>
      <c r="AY51" s="1">
        <v>25.54054054054054</v>
      </c>
      <c r="AZ51" s="1">
        <v>154.5</v>
      </c>
      <c r="BA51" s="1" t="e">
        <v>#DIV/0!</v>
      </c>
      <c r="BB51" s="1" t="e">
        <v>#DIV/0!</v>
      </c>
      <c r="BC51" s="5" t="e">
        <v>#DIV/0!</v>
      </c>
      <c r="BD51" s="3">
        <f>$BH$1*F51+$BH$2*X51</f>
        <v>0.21470000000000003</v>
      </c>
      <c r="BE51" s="3">
        <f>$BH$1*M51+$BH$2*AE51</f>
        <v>2.9400088534749812E-2</v>
      </c>
    </row>
    <row r="52" spans="1:57">
      <c r="A52" t="s">
        <v>115</v>
      </c>
      <c r="B52" s="2">
        <v>0.32400000000000001</v>
      </c>
      <c r="C52" s="2">
        <v>0.23200000000000001</v>
      </c>
      <c r="D52" s="2">
        <v>9.0999999999999998E-2</v>
      </c>
      <c r="E52" s="2">
        <v>0.19600000000000001</v>
      </c>
      <c r="F52" s="2">
        <v>5.74E-2</v>
      </c>
      <c r="G52" s="4">
        <v>0.312</v>
      </c>
      <c r="H52" s="9">
        <v>-0.14699999999999996</v>
      </c>
      <c r="I52" s="9">
        <v>-0.14699999999999999</v>
      </c>
      <c r="J52" s="9">
        <v>-0.11100000000000002</v>
      </c>
      <c r="K52" s="9">
        <v>0.12481411621642051</v>
      </c>
      <c r="L52" s="9">
        <v>4.22693515204269E-2</v>
      </c>
      <c r="M52" s="4">
        <v>0.13400000000000001</v>
      </c>
      <c r="N52" s="1">
        <v>-0.31210191082802541</v>
      </c>
      <c r="O52" s="1">
        <v>-0.38786279683377306</v>
      </c>
      <c r="P52" s="1">
        <v>-0.54950495049504955</v>
      </c>
      <c r="Q52" s="1">
        <v>1.7533548729391695</v>
      </c>
      <c r="R52" s="1">
        <v>2.7936245810939293</v>
      </c>
      <c r="S52" s="5">
        <v>0.75280898876404501</v>
      </c>
      <c r="T52" s="2">
        <v>0.80400000000000005</v>
      </c>
      <c r="U52" s="2">
        <v>0.78800000000000003</v>
      </c>
      <c r="V52" s="2">
        <v>0.54300000000000004</v>
      </c>
      <c r="W52" s="2">
        <v>0.75800000000000001</v>
      </c>
      <c r="X52" s="2">
        <v>0.45</v>
      </c>
      <c r="Y52" s="4">
        <v>0.78</v>
      </c>
      <c r="Z52" s="2">
        <v>-3.2999999999999918E-2</v>
      </c>
      <c r="AA52" s="2">
        <v>-3.5999999999999921E-2</v>
      </c>
      <c r="AB52" s="2">
        <v>-3.9999999999999925E-2</v>
      </c>
      <c r="AC52" s="2">
        <v>-3.0160471554781965E-2</v>
      </c>
      <c r="AD52" s="2">
        <v>1.4056995892479995E-2</v>
      </c>
      <c r="AE52" s="4">
        <v>-1.8000000000000016E-2</v>
      </c>
      <c r="AF52" s="1">
        <v>-3.9426523297490947E-2</v>
      </c>
      <c r="AG52" s="1">
        <v>-4.3689320388349419E-2</v>
      </c>
      <c r="AH52" s="1">
        <v>-6.8610634648370375E-2</v>
      </c>
      <c r="AI52" s="1">
        <v>-3.8266917262781842E-2</v>
      </c>
      <c r="AJ52" s="1">
        <v>3.2245031483549187E-2</v>
      </c>
      <c r="AK52" s="5">
        <v>-2.2556390977443629E-2</v>
      </c>
      <c r="AL52" s="2">
        <v>0.752</v>
      </c>
      <c r="AM52" s="2">
        <v>0.81200000000000006</v>
      </c>
      <c r="AN52" s="2">
        <v>0.435</v>
      </c>
      <c r="AO52" s="2">
        <v>0.82</v>
      </c>
      <c r="AP52" s="2">
        <v>0.26700000000000002</v>
      </c>
      <c r="AQ52" s="4">
        <v>0.77</v>
      </c>
      <c r="AR52" s="2">
        <v>0.69199999999999995</v>
      </c>
      <c r="AS52" s="2">
        <v>0.77500000000000002</v>
      </c>
      <c r="AT52" s="2">
        <v>0.43099999999999999</v>
      </c>
      <c r="AU52" s="2">
        <v>0.82</v>
      </c>
      <c r="AV52" s="2">
        <v>0.26700000000000002</v>
      </c>
      <c r="AW52" s="4">
        <v>0.77</v>
      </c>
      <c r="AX52" s="1">
        <v>11.533333333333333</v>
      </c>
      <c r="AY52" s="1">
        <v>20.945945945945947</v>
      </c>
      <c r="AZ52" s="1">
        <v>107.75</v>
      </c>
      <c r="BA52" s="1" t="e">
        <v>#DIV/0!</v>
      </c>
      <c r="BB52" s="1" t="e">
        <v>#DIV/0!</v>
      </c>
      <c r="BC52" s="5" t="e">
        <v>#DIV/0!</v>
      </c>
      <c r="BD52" s="3">
        <f>$BH$1*F52+$BH$2*X52</f>
        <v>0.21444000000000002</v>
      </c>
      <c r="BE52" s="3">
        <f>$BH$1*M52+$BH$2*AE52</f>
        <v>7.3199999999999987E-2</v>
      </c>
    </row>
    <row r="53" spans="1:57">
      <c r="A53" t="s">
        <v>189</v>
      </c>
      <c r="B53" s="2">
        <v>0.27454316546762592</v>
      </c>
      <c r="C53" s="2">
        <v>0.16300000000000001</v>
      </c>
      <c r="D53" s="2">
        <v>6.5799999999999997E-2</v>
      </c>
      <c r="E53" s="2">
        <v>0.14599999999999999</v>
      </c>
      <c r="F53" s="2">
        <v>4.9299999999999997E-2</v>
      </c>
      <c r="G53" s="4">
        <v>0.25918476190476192</v>
      </c>
      <c r="H53" s="2">
        <v>-0.19645683453237406</v>
      </c>
      <c r="I53" s="2">
        <v>-0.216</v>
      </c>
      <c r="J53" s="2">
        <v>-0.13620000000000002</v>
      </c>
      <c r="K53" s="2">
        <v>7.4814116216420493E-2</v>
      </c>
      <c r="L53" s="2">
        <v>3.4169351520426897E-2</v>
      </c>
      <c r="M53" s="4">
        <v>8.1184761904761926E-2</v>
      </c>
      <c r="N53" s="1">
        <v>-0.41710580580121881</v>
      </c>
      <c r="O53" s="1">
        <v>-0.56992084432717682</v>
      </c>
      <c r="P53" s="1">
        <v>-0.6742574257425743</v>
      </c>
      <c r="Q53" s="1">
        <v>1.0509684257608096</v>
      </c>
      <c r="R53" s="1">
        <v>2.25828731442388</v>
      </c>
      <c r="S53" s="5">
        <v>0.45609416800428049</v>
      </c>
      <c r="T53" s="2">
        <v>0.77072164948453603</v>
      </c>
      <c r="U53" s="2">
        <v>0.76200000000000001</v>
      </c>
      <c r="V53" s="2">
        <v>0.53</v>
      </c>
      <c r="W53" s="2">
        <v>0.72199999999999998</v>
      </c>
      <c r="X53" s="2">
        <v>0.46</v>
      </c>
      <c r="Y53" s="4">
        <v>0.74348936170212776</v>
      </c>
      <c r="Z53" s="2">
        <v>-6.6278350515463935E-2</v>
      </c>
      <c r="AA53" s="2">
        <v>-6.1999999999999944E-2</v>
      </c>
      <c r="AB53" s="2">
        <v>-5.2999999999999936E-2</v>
      </c>
      <c r="AC53" s="2">
        <v>-6.6160471554781997E-2</v>
      </c>
      <c r="AD53" s="2">
        <v>2.4056995892480004E-2</v>
      </c>
      <c r="AE53" s="4">
        <v>-5.4510638297872283E-2</v>
      </c>
      <c r="AF53" s="1">
        <v>-7.9185603961127768E-2</v>
      </c>
      <c r="AG53" s="1">
        <v>-7.5242718446601881E-2</v>
      </c>
      <c r="AH53" s="1">
        <v>-9.0909090909090801E-2</v>
      </c>
      <c r="AI53" s="1">
        <v>-8.3942894807029711E-2</v>
      </c>
      <c r="AJ53" s="1">
        <v>5.5183809960961408E-2</v>
      </c>
      <c r="AK53" s="5">
        <v>-6.8309070548712131E-2</v>
      </c>
      <c r="AL53" s="2">
        <v>0.96799070247933861</v>
      </c>
      <c r="AM53" s="2">
        <v>0.98799999999999999</v>
      </c>
      <c r="AN53" s="2">
        <v>0.63600000000000001</v>
      </c>
      <c r="AO53" s="2">
        <v>0.95899999999999996</v>
      </c>
      <c r="AP53" s="2">
        <v>0.41799999999999998</v>
      </c>
      <c r="AQ53" s="4">
        <v>0.95048711204629144</v>
      </c>
      <c r="AR53" s="2">
        <v>0.90799070247933855</v>
      </c>
      <c r="AS53" s="2">
        <v>0.95099999999999996</v>
      </c>
      <c r="AT53" s="2">
        <v>0.63200000000000001</v>
      </c>
      <c r="AU53" s="2">
        <v>0.95899999999999996</v>
      </c>
      <c r="AV53" s="2">
        <v>0.41799999999999998</v>
      </c>
      <c r="AW53" s="4">
        <v>0.95048711204629144</v>
      </c>
      <c r="AX53" s="1">
        <v>15.133178374655643</v>
      </c>
      <c r="AY53" s="1">
        <v>25.702702702702702</v>
      </c>
      <c r="AZ53" s="1">
        <v>158</v>
      </c>
      <c r="BA53" s="1" t="e">
        <v>#DIV/0!</v>
      </c>
      <c r="BB53" s="1" t="e">
        <v>#DIV/0!</v>
      </c>
      <c r="BC53" s="5" t="e">
        <v>#DIV/0!</v>
      </c>
      <c r="BD53" s="3">
        <f>$BH$1*F53+$BH$2*X53</f>
        <v>0.21358000000000002</v>
      </c>
      <c r="BE53" s="3">
        <f>$BH$1*M53+$BH$2*AE53</f>
        <v>2.6906601823708239E-2</v>
      </c>
    </row>
    <row r="54" spans="1:57">
      <c r="A54" t="s">
        <v>55</v>
      </c>
      <c r="B54" s="2">
        <v>0.27300000000000002</v>
      </c>
      <c r="C54" s="2">
        <v>0.17799999999999999</v>
      </c>
      <c r="D54" s="2">
        <v>5.8000000000000003E-2</v>
      </c>
      <c r="E54" s="2">
        <v>0.158953046925668</v>
      </c>
      <c r="F54" s="2">
        <v>5.0157885796825202E-2</v>
      </c>
      <c r="G54" s="4">
        <v>0.26200000000000001</v>
      </c>
      <c r="H54" s="2">
        <v>-0.19799999999999995</v>
      </c>
      <c r="I54" s="2">
        <v>-0.20100000000000001</v>
      </c>
      <c r="J54" s="2">
        <v>-0.14400000000000002</v>
      </c>
      <c r="K54" s="2">
        <v>8.7767163142088503E-2</v>
      </c>
      <c r="L54" s="2">
        <v>3.5027237317252102E-2</v>
      </c>
      <c r="M54" s="4">
        <v>8.4000000000000019E-2</v>
      </c>
      <c r="N54" s="1">
        <v>-0.42038216560509545</v>
      </c>
      <c r="O54" s="1">
        <v>-0.53034300791556732</v>
      </c>
      <c r="P54" s="1">
        <v>-0.71287128712871295</v>
      </c>
      <c r="Q54" s="1">
        <v>1.2329293179659002</v>
      </c>
      <c r="R54" s="1">
        <v>2.3149858622741837</v>
      </c>
      <c r="S54" s="5">
        <v>0.47191011235955072</v>
      </c>
      <c r="T54" s="2">
        <v>0.77500000000000002</v>
      </c>
      <c r="U54" s="2">
        <v>0.75800000000000001</v>
      </c>
      <c r="V54" s="2">
        <v>0.52900000000000003</v>
      </c>
      <c r="W54" s="2">
        <v>0.71748464071670404</v>
      </c>
      <c r="X54" s="2">
        <v>0.45734648356705998</v>
      </c>
      <c r="Y54" s="4">
        <v>0.74199999999999999</v>
      </c>
      <c r="Z54" s="2">
        <v>-6.1999999999999944E-2</v>
      </c>
      <c r="AA54" s="2">
        <v>-6.5999999999999948E-2</v>
      </c>
      <c r="AB54" s="2">
        <v>-5.3999999999999937E-2</v>
      </c>
      <c r="AC54" s="2">
        <v>-7.0675830838077935E-2</v>
      </c>
      <c r="AD54" s="2">
        <v>2.1403479459539965E-2</v>
      </c>
      <c r="AE54" s="4">
        <v>-5.600000000000005E-2</v>
      </c>
      <c r="AF54" s="1">
        <v>-7.4074074074074014E-2</v>
      </c>
      <c r="AG54" s="1">
        <v>-8.0097087378640713E-2</v>
      </c>
      <c r="AH54" s="1">
        <v>-9.2624356775300065E-2</v>
      </c>
      <c r="AI54" s="1">
        <v>-8.96718795078085E-2</v>
      </c>
      <c r="AJ54" s="1">
        <v>4.9096967396822955E-2</v>
      </c>
      <c r="AK54" s="5">
        <v>-7.0175438596491294E-2</v>
      </c>
      <c r="AL54" s="2">
        <v>0.98599999999999999</v>
      </c>
      <c r="AM54" s="2">
        <v>0.98599999999999999</v>
      </c>
      <c r="AN54" s="2">
        <v>0.63700000000000001</v>
      </c>
      <c r="AO54" s="2">
        <v>0.98596671103634903</v>
      </c>
      <c r="AP54" s="2">
        <v>0.44535698302911803</v>
      </c>
      <c r="AQ54" s="4">
        <v>0.97699999999999998</v>
      </c>
      <c r="AR54" s="2">
        <v>0.92599999999999993</v>
      </c>
      <c r="AS54" s="2">
        <v>0.94899999999999995</v>
      </c>
      <c r="AT54" s="2">
        <v>0.63300000000000001</v>
      </c>
      <c r="AU54" s="2">
        <v>0.98596671103634903</v>
      </c>
      <c r="AV54" s="2">
        <v>0.44535698302911803</v>
      </c>
      <c r="AW54" s="4">
        <v>0.97699999999999998</v>
      </c>
      <c r="AX54" s="1">
        <v>15.433333333333334</v>
      </c>
      <c r="AY54" s="1">
        <v>25.648648648648649</v>
      </c>
      <c r="AZ54" s="1">
        <v>158.25</v>
      </c>
      <c r="BA54" s="1" t="e">
        <v>#DIV/0!</v>
      </c>
      <c r="BB54" s="1" t="e">
        <v>#DIV/0!</v>
      </c>
      <c r="BC54" s="5" t="e">
        <v>#DIV/0!</v>
      </c>
      <c r="BD54" s="3">
        <f>$BH$1*F54+$BH$2*X54</f>
        <v>0.21303332490491911</v>
      </c>
      <c r="BE54" s="3">
        <f>$BH$1*M54+$BH$2*AE54</f>
        <v>2.7999999999999987E-2</v>
      </c>
    </row>
    <row r="55" spans="1:57">
      <c r="A55" t="s">
        <v>121</v>
      </c>
      <c r="B55" s="2">
        <v>0.32300000000000001</v>
      </c>
      <c r="C55" s="2">
        <v>0.23100000000000001</v>
      </c>
      <c r="D55" s="2">
        <v>9.1999999999999998E-2</v>
      </c>
      <c r="E55" s="2">
        <v>0.19</v>
      </c>
      <c r="F55" s="2">
        <v>5.4300000000000001E-2</v>
      </c>
      <c r="G55" s="4">
        <v>0.30499999999999999</v>
      </c>
      <c r="H55" s="2">
        <v>-0.14799999999999996</v>
      </c>
      <c r="I55" s="2">
        <v>-0.14799999999999999</v>
      </c>
      <c r="J55" s="2">
        <v>-0.11000000000000001</v>
      </c>
      <c r="K55" s="2">
        <v>0.1188141162164205</v>
      </c>
      <c r="L55" s="2">
        <v>3.9169351520426901E-2</v>
      </c>
      <c r="M55" s="4">
        <v>0.127</v>
      </c>
      <c r="N55" s="1">
        <v>-0.31422505307855619</v>
      </c>
      <c r="O55" s="1">
        <v>-0.39050131926121368</v>
      </c>
      <c r="P55" s="1">
        <v>-0.54455445544554459</v>
      </c>
      <c r="Q55" s="1">
        <v>1.6690684992777662</v>
      </c>
      <c r="R55" s="1">
        <v>2.5887424173066265</v>
      </c>
      <c r="S55" s="5">
        <v>0.71348314606741581</v>
      </c>
      <c r="T55" s="2">
        <v>0.80500000000000005</v>
      </c>
      <c r="U55" s="2">
        <v>0.78800000000000003</v>
      </c>
      <c r="V55" s="2">
        <v>0.54300000000000004</v>
      </c>
      <c r="W55" s="2">
        <v>0.75900000000000001</v>
      </c>
      <c r="X55" s="2">
        <v>0.45100000000000001</v>
      </c>
      <c r="Y55" s="4">
        <v>0.78</v>
      </c>
      <c r="Z55" s="2">
        <v>-3.1999999999999917E-2</v>
      </c>
      <c r="AA55" s="2">
        <v>-3.5999999999999921E-2</v>
      </c>
      <c r="AB55" s="2">
        <v>-3.9999999999999925E-2</v>
      </c>
      <c r="AC55" s="2">
        <v>-2.9160471554781964E-2</v>
      </c>
      <c r="AD55" s="2">
        <v>1.5056995892479996E-2</v>
      </c>
      <c r="AE55" s="4">
        <v>-1.8000000000000016E-2</v>
      </c>
      <c r="AF55" s="1">
        <v>-3.8231780167263939E-2</v>
      </c>
      <c r="AG55" s="1">
        <v>-4.3689320388349419E-2</v>
      </c>
      <c r="AH55" s="1">
        <v>-6.8610634648370375E-2</v>
      </c>
      <c r="AI55" s="1">
        <v>-3.699814010877496E-2</v>
      </c>
      <c r="AJ55" s="1">
        <v>3.4538909331290411E-2</v>
      </c>
      <c r="AK55" s="5">
        <v>-2.2556390977443629E-2</v>
      </c>
      <c r="AL55" s="2">
        <v>0.76100000000000001</v>
      </c>
      <c r="AM55" s="2">
        <v>0.81</v>
      </c>
      <c r="AN55" s="2">
        <v>0.436</v>
      </c>
      <c r="AO55" s="2">
        <v>0.82299999999999995</v>
      </c>
      <c r="AP55" s="2">
        <v>0.27300000000000002</v>
      </c>
      <c r="AQ55" s="4">
        <v>0.78</v>
      </c>
      <c r="AR55" s="2">
        <v>0.70100000000000007</v>
      </c>
      <c r="AS55" s="2">
        <v>0.77300000000000002</v>
      </c>
      <c r="AT55" s="2">
        <v>0.432</v>
      </c>
      <c r="AU55" s="2">
        <v>0.82299999999999995</v>
      </c>
      <c r="AV55" s="2">
        <v>0.27300000000000002</v>
      </c>
      <c r="AW55" s="4">
        <v>0.78</v>
      </c>
      <c r="AX55" s="1">
        <v>11.683333333333335</v>
      </c>
      <c r="AY55" s="1">
        <v>20.891891891891895</v>
      </c>
      <c r="AZ55" s="1">
        <v>108</v>
      </c>
      <c r="BA55" s="1" t="e">
        <v>#DIV/0!</v>
      </c>
      <c r="BB55" s="1" t="e">
        <v>#DIV/0!</v>
      </c>
      <c r="BC55" s="5" t="e">
        <v>#DIV/0!</v>
      </c>
      <c r="BD55" s="3">
        <f>$BH$1*F55+$BH$2*X55</f>
        <v>0.21298</v>
      </c>
      <c r="BE55" s="3">
        <f>$BH$1*M55+$BH$2*AE55</f>
        <v>6.8999999999999992E-2</v>
      </c>
    </row>
    <row r="56" spans="1:57">
      <c r="A56" t="s">
        <v>129</v>
      </c>
      <c r="B56" s="2">
        <v>0.25900000000000001</v>
      </c>
      <c r="C56" s="2">
        <v>0.159</v>
      </c>
      <c r="D56" s="2">
        <v>6.5000000000000002E-2</v>
      </c>
      <c r="E56" s="2">
        <v>0.158</v>
      </c>
      <c r="F56" s="2">
        <v>6.6799999999999998E-2</v>
      </c>
      <c r="G56" s="4">
        <v>0.24099999999999999</v>
      </c>
      <c r="H56" s="2">
        <v>-0.21199999999999997</v>
      </c>
      <c r="I56" s="2">
        <v>-0.22</v>
      </c>
      <c r="J56" s="2">
        <v>-0.13700000000000001</v>
      </c>
      <c r="K56" s="2">
        <v>8.6814116216420503E-2</v>
      </c>
      <c r="L56" s="2">
        <v>5.1669351520426898E-2</v>
      </c>
      <c r="M56" s="4">
        <v>6.3E-2</v>
      </c>
      <c r="N56" s="1">
        <v>-0.45010615711252649</v>
      </c>
      <c r="O56" s="1">
        <v>-0.58047493403693928</v>
      </c>
      <c r="P56" s="1">
        <v>-0.67821782178217827</v>
      </c>
      <c r="Q56" s="1">
        <v>1.2195411730836161</v>
      </c>
      <c r="R56" s="1">
        <v>3.4148801745134927</v>
      </c>
      <c r="S56" s="5">
        <v>0.35393258426966295</v>
      </c>
      <c r="T56" s="2">
        <v>0.75700000000000001</v>
      </c>
      <c r="U56" s="2">
        <v>0.73</v>
      </c>
      <c r="V56" s="2">
        <v>0.49299999999999999</v>
      </c>
      <c r="W56" s="2">
        <v>0.68799999999999994</v>
      </c>
      <c r="X56" s="2">
        <v>0.43</v>
      </c>
      <c r="Y56" s="4">
        <v>0.72</v>
      </c>
      <c r="Z56" s="2">
        <v>-7.999999999999996E-2</v>
      </c>
      <c r="AA56" s="2">
        <v>-9.3999999999999972E-2</v>
      </c>
      <c r="AB56" s="2">
        <v>-8.9999999999999969E-2</v>
      </c>
      <c r="AC56" s="2">
        <v>-0.10016047155478203</v>
      </c>
      <c r="AD56" s="2">
        <v>-5.9430041075200224E-3</v>
      </c>
      <c r="AE56" s="4">
        <v>-7.8000000000000069E-2</v>
      </c>
      <c r="AF56" s="1">
        <v>-9.5579450418160058E-2</v>
      </c>
      <c r="AG56" s="1">
        <v>-0.1140776699029126</v>
      </c>
      <c r="AH56" s="1">
        <v>-0.15437392795883356</v>
      </c>
      <c r="AI56" s="1">
        <v>-0.12708131804326381</v>
      </c>
      <c r="AJ56" s="1">
        <v>-1.3632525471275261E-2</v>
      </c>
      <c r="AK56" s="5">
        <v>-9.7744360902255717E-2</v>
      </c>
      <c r="AL56" s="2">
        <v>0.995</v>
      </c>
      <c r="AM56" s="2">
        <v>0.995</v>
      </c>
      <c r="AN56" s="2">
        <v>0.69399999999999995</v>
      </c>
      <c r="AO56" s="2">
        <v>0.995</v>
      </c>
      <c r="AP56" s="2">
        <v>0.57599999999999996</v>
      </c>
      <c r="AQ56" s="4">
        <v>0.995</v>
      </c>
      <c r="AR56" s="2">
        <v>0.93500000000000005</v>
      </c>
      <c r="AS56" s="2">
        <v>0.95799999999999996</v>
      </c>
      <c r="AT56" s="2">
        <v>0.69</v>
      </c>
      <c r="AU56" s="2">
        <v>0.995</v>
      </c>
      <c r="AV56" s="2">
        <v>0.57599999999999996</v>
      </c>
      <c r="AW56" s="4">
        <v>0.995</v>
      </c>
      <c r="AX56" s="1">
        <v>15.583333333333334</v>
      </c>
      <c r="AY56" s="1">
        <v>25.891891891891891</v>
      </c>
      <c r="AZ56" s="1">
        <v>172.49999999999997</v>
      </c>
      <c r="BA56" s="1" t="e">
        <v>#DIV/0!</v>
      </c>
      <c r="BB56" s="1" t="e">
        <v>#DIV/0!</v>
      </c>
      <c r="BC56" s="5" t="e">
        <v>#DIV/0!</v>
      </c>
      <c r="BD56" s="3">
        <f>$BH$1*F56+$BH$2*X56</f>
        <v>0.21208000000000002</v>
      </c>
      <c r="BE56" s="3">
        <f>$BH$1*M56+$BH$2*AE56</f>
        <v>6.5999999999999705E-3</v>
      </c>
    </row>
    <row r="57" spans="1:57">
      <c r="A57" t="s">
        <v>196</v>
      </c>
      <c r="B57" s="2">
        <v>0.22497881355932203</v>
      </c>
      <c r="C57" s="2">
        <v>0.14000000000000001</v>
      </c>
      <c r="D57" s="2">
        <v>5.8299999999999998E-2</v>
      </c>
      <c r="E57" s="2">
        <v>0.14899999999999999</v>
      </c>
      <c r="F57" s="2">
        <v>5.28E-2</v>
      </c>
      <c r="G57" s="4">
        <v>0.22695983086680763</v>
      </c>
      <c r="H57" s="2">
        <v>-0.24602118644067794</v>
      </c>
      <c r="I57" s="2">
        <v>-0.23899999999999999</v>
      </c>
      <c r="J57" s="2">
        <v>-0.14370000000000002</v>
      </c>
      <c r="K57" s="2">
        <v>7.7814116216420495E-2</v>
      </c>
      <c r="L57" s="2">
        <v>3.76693515204269E-2</v>
      </c>
      <c r="M57" s="4">
        <v>4.8959830866807635E-2</v>
      </c>
      <c r="N57" s="1">
        <v>-0.52233797545791494</v>
      </c>
      <c r="O57" s="1">
        <v>-0.63060686015831136</v>
      </c>
      <c r="P57" s="1">
        <v>-0.71138613861386146</v>
      </c>
      <c r="Q57" s="1">
        <v>1.0931116125915112</v>
      </c>
      <c r="R57" s="1">
        <v>2.4896058864418027</v>
      </c>
      <c r="S57" s="5">
        <v>0.27505522958880696</v>
      </c>
      <c r="T57" s="2">
        <v>0.75593175853018368</v>
      </c>
      <c r="U57" s="2">
        <v>0.73399999999999999</v>
      </c>
      <c r="V57" s="2">
        <v>0.503</v>
      </c>
      <c r="W57" s="2">
        <v>0.7</v>
      </c>
      <c r="X57" s="2">
        <v>0.442</v>
      </c>
      <c r="Y57" s="4">
        <v>0.72219372442019103</v>
      </c>
      <c r="Z57" s="2">
        <v>-8.1068241469816282E-2</v>
      </c>
      <c r="AA57" s="2">
        <v>-8.9999999999999969E-2</v>
      </c>
      <c r="AB57" s="2">
        <v>-7.999999999999996E-2</v>
      </c>
      <c r="AC57" s="2">
        <v>-8.8160471554782016E-2</v>
      </c>
      <c r="AD57" s="2">
        <v>6.0569958924799883E-3</v>
      </c>
      <c r="AE57" s="4">
        <v>-7.5806275579809013E-2</v>
      </c>
      <c r="AF57" s="1">
        <v>-9.6855724575646701E-2</v>
      </c>
      <c r="AG57" s="1">
        <v>-0.10922330097087375</v>
      </c>
      <c r="AH57" s="1">
        <v>-0.13722126929674094</v>
      </c>
      <c r="AI57" s="1">
        <v>-0.11185599219518119</v>
      </c>
      <c r="AJ57" s="1">
        <v>1.3894008701619408E-2</v>
      </c>
      <c r="AK57" s="5">
        <v>-9.4995332806778202E-2</v>
      </c>
      <c r="AL57" s="2">
        <v>0.98993535353535356</v>
      </c>
      <c r="AM57" s="2">
        <v>0.995</v>
      </c>
      <c r="AN57" s="2">
        <v>0.70699999999999996</v>
      </c>
      <c r="AO57" s="2">
        <v>0.995</v>
      </c>
      <c r="AP57" s="2">
        <v>0.58899999999999997</v>
      </c>
      <c r="AQ57" s="4">
        <v>0.98993535353535356</v>
      </c>
      <c r="AR57" s="2">
        <v>0.92993535353535361</v>
      </c>
      <c r="AS57" s="2">
        <v>0.95799999999999996</v>
      </c>
      <c r="AT57" s="2">
        <v>0.70299999999999996</v>
      </c>
      <c r="AU57" s="2">
        <v>0.995</v>
      </c>
      <c r="AV57" s="2">
        <v>0.58899999999999997</v>
      </c>
      <c r="AW57" s="4">
        <v>0.98993535353535356</v>
      </c>
      <c r="AX57" s="1">
        <v>15.49892255892256</v>
      </c>
      <c r="AY57" s="1">
        <v>25.891891891891891</v>
      </c>
      <c r="AZ57" s="1">
        <v>175.75</v>
      </c>
      <c r="BA57" s="1" t="e">
        <v>#DIV/0!</v>
      </c>
      <c r="BB57" s="1" t="e">
        <v>#DIV/0!</v>
      </c>
      <c r="BC57" s="5" t="e">
        <v>#DIV/0!</v>
      </c>
      <c r="BD57" s="3">
        <f>$BH$1*F57+$BH$2*X57</f>
        <v>0.20848</v>
      </c>
      <c r="BE57" s="3">
        <f>$BH$1*M57+$BH$2*AE57</f>
        <v>-9.466117118390252E-4</v>
      </c>
    </row>
    <row r="58" spans="1:57">
      <c r="A58" t="s">
        <v>180</v>
      </c>
      <c r="B58" s="2">
        <v>0.23654728370221328</v>
      </c>
      <c r="C58" s="2">
        <v>0.14000000000000001</v>
      </c>
      <c r="D58" s="2">
        <v>5.3600000000000002E-2</v>
      </c>
      <c r="E58" s="2">
        <v>0.158</v>
      </c>
      <c r="F58" s="2">
        <v>5.2699999999999997E-2</v>
      </c>
      <c r="G58" s="4">
        <v>0.23654728370221328</v>
      </c>
      <c r="H58" s="2">
        <v>-0.23445271629778669</v>
      </c>
      <c r="I58" s="2">
        <v>-0.23899999999999999</v>
      </c>
      <c r="J58" s="2">
        <v>-0.1484</v>
      </c>
      <c r="K58" s="2">
        <v>8.6814116216420503E-2</v>
      </c>
      <c r="L58" s="2">
        <v>3.7569351520426897E-2</v>
      </c>
      <c r="M58" s="4">
        <v>5.8547283702213293E-2</v>
      </c>
      <c r="N58" s="1">
        <v>-0.49777646772353867</v>
      </c>
      <c r="O58" s="1">
        <v>-0.63060686015831136</v>
      </c>
      <c r="P58" s="1">
        <v>-0.73465346534653464</v>
      </c>
      <c r="Q58" s="1">
        <v>1.2195411730836161</v>
      </c>
      <c r="R58" s="1">
        <v>2.4829967843841474</v>
      </c>
      <c r="S58" s="5">
        <v>0.32891732416973762</v>
      </c>
      <c r="T58" s="2">
        <v>0.74241282565130262</v>
      </c>
      <c r="U58" s="2">
        <v>0.73299999999999998</v>
      </c>
      <c r="V58" s="2">
        <v>0.499</v>
      </c>
      <c r="W58" s="2">
        <v>0.69199999999999995</v>
      </c>
      <c r="X58" s="2">
        <v>0.434</v>
      </c>
      <c r="Y58" s="4">
        <v>0.71206652806652815</v>
      </c>
      <c r="Z58" s="2">
        <v>-9.4587174348697345E-2</v>
      </c>
      <c r="AA58" s="2">
        <v>-9.099999999999997E-2</v>
      </c>
      <c r="AB58" s="2">
        <v>-8.3999999999999964E-2</v>
      </c>
      <c r="AC58" s="2">
        <v>-9.6160471554782023E-2</v>
      </c>
      <c r="AD58" s="2">
        <v>-1.9430041075200188E-3</v>
      </c>
      <c r="AE58" s="4">
        <v>-8.5933471933471894E-2</v>
      </c>
      <c r="AF58" s="1">
        <v>-0.11300737676068978</v>
      </c>
      <c r="AG58" s="1">
        <v>-0.11043689320388346</v>
      </c>
      <c r="AH58" s="1">
        <v>-0.144082332761578</v>
      </c>
      <c r="AI58" s="1">
        <v>-0.12200620942723626</v>
      </c>
      <c r="AJ58" s="1">
        <v>-4.4570140803103717E-3</v>
      </c>
      <c r="AK58" s="5">
        <v>-0.10768605505447605</v>
      </c>
      <c r="AL58" s="2">
        <v>0.99547965846308406</v>
      </c>
      <c r="AM58" s="2">
        <v>0.995</v>
      </c>
      <c r="AN58" s="2">
        <v>0.73399999999999999</v>
      </c>
      <c r="AO58" s="2">
        <v>0.995</v>
      </c>
      <c r="AP58" s="2">
        <v>0.57699999999999996</v>
      </c>
      <c r="AQ58" s="4">
        <v>0.99547965846308406</v>
      </c>
      <c r="AR58" s="2">
        <v>0.93547965846308401</v>
      </c>
      <c r="AS58" s="2">
        <v>0.95799999999999996</v>
      </c>
      <c r="AT58" s="2">
        <v>0.73</v>
      </c>
      <c r="AU58" s="2">
        <v>0.995</v>
      </c>
      <c r="AV58" s="2">
        <v>0.57699999999999996</v>
      </c>
      <c r="AW58" s="4">
        <v>0.99547965846308406</v>
      </c>
      <c r="AX58" s="1">
        <v>15.5913276410514</v>
      </c>
      <c r="AY58" s="1">
        <v>25.891891891891891</v>
      </c>
      <c r="AZ58" s="1">
        <v>182.5</v>
      </c>
      <c r="BA58" s="1" t="e">
        <v>#DIV/0!</v>
      </c>
      <c r="BB58" s="1" t="e">
        <v>#DIV/0!</v>
      </c>
      <c r="BC58" s="5" t="e">
        <v>#DIV/0!</v>
      </c>
      <c r="BD58" s="3">
        <f>$BH$1*F58+$BH$2*X58</f>
        <v>0.20522000000000001</v>
      </c>
      <c r="BE58" s="3">
        <f>$BH$1*M58+$BH$2*AE58</f>
        <v>7.5498144793921529E-4</v>
      </c>
    </row>
    <row r="59" spans="1:57">
      <c r="A59" t="s">
        <v>43</v>
      </c>
      <c r="B59" s="2">
        <v>0.22800000000000001</v>
      </c>
      <c r="C59" s="2">
        <v>0.158</v>
      </c>
      <c r="D59" s="2">
        <v>5.7000000000000002E-2</v>
      </c>
      <c r="E59" s="2">
        <v>0.16700000000000001</v>
      </c>
      <c r="F59" s="2">
        <v>5.3900000000000003E-2</v>
      </c>
      <c r="G59" s="4">
        <v>0.224</v>
      </c>
      <c r="H59" s="2">
        <v>-0.24299999999999997</v>
      </c>
      <c r="I59" s="2">
        <v>-0.221</v>
      </c>
      <c r="J59" s="2">
        <v>-0.14500000000000002</v>
      </c>
      <c r="K59" s="2">
        <v>9.5814116216420511E-2</v>
      </c>
      <c r="L59" s="2">
        <v>3.8769351520426903E-2</v>
      </c>
      <c r="M59" s="4">
        <v>4.6000000000000013E-2</v>
      </c>
      <c r="N59" s="1">
        <v>-0.51592356687898089</v>
      </c>
      <c r="O59" s="1">
        <v>-0.58311345646437995</v>
      </c>
      <c r="P59" s="1">
        <v>-0.7178217821782179</v>
      </c>
      <c r="Q59" s="1">
        <v>1.3459707335757209</v>
      </c>
      <c r="R59" s="1">
        <v>2.562306009076007</v>
      </c>
      <c r="S59" s="5">
        <v>0.25842696629213491</v>
      </c>
      <c r="T59" s="2">
        <v>0.73699999999999999</v>
      </c>
      <c r="U59" s="2">
        <v>0.72099999999999997</v>
      </c>
      <c r="V59" s="2">
        <v>0.48499999999999999</v>
      </c>
      <c r="W59" s="2">
        <v>0.68400000000000005</v>
      </c>
      <c r="X59" s="2">
        <v>0.43099999999999999</v>
      </c>
      <c r="Y59" s="4">
        <v>0.71099999999999997</v>
      </c>
      <c r="Z59" s="2">
        <v>-9.9999999999999978E-2</v>
      </c>
      <c r="AA59" s="2">
        <v>-0.10299999999999998</v>
      </c>
      <c r="AB59" s="2">
        <v>-9.7999999999999976E-2</v>
      </c>
      <c r="AC59" s="2">
        <v>-0.10416047155478192</v>
      </c>
      <c r="AD59" s="2">
        <v>-4.9430041075200215E-3</v>
      </c>
      <c r="AE59" s="4">
        <v>-8.7000000000000077E-2</v>
      </c>
      <c r="AF59" s="1">
        <v>-0.1194743130227001</v>
      </c>
      <c r="AG59" s="1">
        <v>-0.12499999999999999</v>
      </c>
      <c r="AH59" s="1">
        <v>-0.16809605488850768</v>
      </c>
      <c r="AI59" s="1">
        <v>-0.1321564266592912</v>
      </c>
      <c r="AJ59" s="1">
        <v>-1.1338647623534039E-2</v>
      </c>
      <c r="AK59" s="5">
        <v>-0.10902255639097753</v>
      </c>
      <c r="AL59" s="2">
        <v>0.98599999999999999</v>
      </c>
      <c r="AM59" s="2">
        <v>0.99299999999999999</v>
      </c>
      <c r="AN59" s="2">
        <v>0.68899999999999995</v>
      </c>
      <c r="AO59" s="2">
        <v>0.99299999999999999</v>
      </c>
      <c r="AP59" s="2">
        <v>0.57299999999999995</v>
      </c>
      <c r="AQ59" s="4">
        <v>0.98599999999999999</v>
      </c>
      <c r="AR59" s="2">
        <v>0.92599999999999993</v>
      </c>
      <c r="AS59" s="2">
        <v>0.95599999999999996</v>
      </c>
      <c r="AT59" s="2">
        <v>0.68499999999999994</v>
      </c>
      <c r="AU59" s="2">
        <v>0.99299999999999999</v>
      </c>
      <c r="AV59" s="2">
        <v>0.57299999999999995</v>
      </c>
      <c r="AW59" s="4">
        <v>0.98599999999999999</v>
      </c>
      <c r="AX59" s="1">
        <v>15.433333333333334</v>
      </c>
      <c r="AY59" s="1">
        <v>25.837837837837839</v>
      </c>
      <c r="AZ59" s="1">
        <v>171.24999999999997</v>
      </c>
      <c r="BA59" s="1" t="e">
        <v>#DIV/0!</v>
      </c>
      <c r="BB59" s="1" t="e">
        <v>#DIV/0!</v>
      </c>
      <c r="BC59" s="5" t="e">
        <v>#DIV/0!</v>
      </c>
      <c r="BD59" s="3">
        <f>$BH$1*F59+$BH$2*X59</f>
        <v>0.20474000000000001</v>
      </c>
      <c r="BE59" s="3">
        <f>$BH$1*M59+$BH$2*AE59</f>
        <v>-7.2000000000000258E-3</v>
      </c>
    </row>
    <row r="60" spans="1:57">
      <c r="A60" t="s">
        <v>130</v>
      </c>
      <c r="B60" s="2">
        <v>0.215</v>
      </c>
      <c r="C60" s="2">
        <v>0.126</v>
      </c>
      <c r="D60" s="2">
        <v>4.3999999999999997E-2</v>
      </c>
      <c r="E60" s="2">
        <v>0.152</v>
      </c>
      <c r="F60" s="2">
        <v>5.1400000000000001E-2</v>
      </c>
      <c r="G60" s="4">
        <v>0.254</v>
      </c>
      <c r="H60" s="2">
        <v>-0.25600000000000001</v>
      </c>
      <c r="I60" s="2">
        <v>-0.253</v>
      </c>
      <c r="J60" s="2">
        <v>-0.15800000000000003</v>
      </c>
      <c r="K60" s="2">
        <v>8.0814116216420498E-2</v>
      </c>
      <c r="L60" s="2">
        <v>3.6269351520426901E-2</v>
      </c>
      <c r="M60" s="4">
        <v>7.6000000000000012E-2</v>
      </c>
      <c r="N60" s="1">
        <v>-0.54352441613588109</v>
      </c>
      <c r="O60" s="1">
        <v>-0.66754617414248019</v>
      </c>
      <c r="P60" s="1">
        <v>-0.78217821782178232</v>
      </c>
      <c r="Q60" s="1">
        <v>1.1352547994222129</v>
      </c>
      <c r="R60" s="1">
        <v>2.3970784576346338</v>
      </c>
      <c r="S60" s="5">
        <v>0.42696629213483156</v>
      </c>
      <c r="T60" s="2">
        <v>0.753</v>
      </c>
      <c r="U60" s="2">
        <v>0.72899999999999998</v>
      </c>
      <c r="V60" s="2">
        <v>0.49099999999999999</v>
      </c>
      <c r="W60" s="2">
        <v>0.69299999999999995</v>
      </c>
      <c r="X60" s="2">
        <v>0.42799999999999999</v>
      </c>
      <c r="Y60" s="4">
        <v>0.72599999999999998</v>
      </c>
      <c r="Z60" s="2">
        <v>-8.3999999999999964E-2</v>
      </c>
      <c r="AA60" s="2">
        <v>-9.4999999999999973E-2</v>
      </c>
      <c r="AB60" s="2">
        <v>-9.1999999999999971E-2</v>
      </c>
      <c r="AC60" s="2">
        <v>-9.5160471554782022E-2</v>
      </c>
      <c r="AD60" s="2">
        <v>-7.9430041075200242E-3</v>
      </c>
      <c r="AE60" s="4">
        <v>-7.2000000000000064E-2</v>
      </c>
      <c r="AF60" s="1">
        <v>-0.10035842293906806</v>
      </c>
      <c r="AG60" s="1">
        <v>-0.11529126213592231</v>
      </c>
      <c r="AH60" s="1">
        <v>-0.15780445969125209</v>
      </c>
      <c r="AI60" s="1">
        <v>-0.12073743227322939</v>
      </c>
      <c r="AJ60" s="1">
        <v>-1.8220281166757706E-2</v>
      </c>
      <c r="AK60" s="5">
        <v>-9.0225563909774514E-2</v>
      </c>
      <c r="AL60" s="2">
        <v>0.99099999999999999</v>
      </c>
      <c r="AM60" s="2">
        <v>0.99199999999999999</v>
      </c>
      <c r="AN60" s="2">
        <v>0.69799999999999995</v>
      </c>
      <c r="AO60" s="2">
        <v>0.97599999999999998</v>
      </c>
      <c r="AP60" s="2">
        <v>0.57499999999999996</v>
      </c>
      <c r="AQ60" s="4">
        <v>0.98199999999999998</v>
      </c>
      <c r="AR60" s="2">
        <v>0.93100000000000005</v>
      </c>
      <c r="AS60" s="2">
        <v>0.95499999999999996</v>
      </c>
      <c r="AT60" s="2">
        <v>0.69399999999999995</v>
      </c>
      <c r="AU60" s="2">
        <v>0.97599999999999998</v>
      </c>
      <c r="AV60" s="2">
        <v>0.57499999999999996</v>
      </c>
      <c r="AW60" s="4">
        <v>0.98199999999999998</v>
      </c>
      <c r="AX60" s="1">
        <v>15.516666666666667</v>
      </c>
      <c r="AY60" s="1">
        <v>25.810810810810811</v>
      </c>
      <c r="AZ60" s="1">
        <v>173.49999999999997</v>
      </c>
      <c r="BA60" s="1" t="e">
        <v>#DIV/0!</v>
      </c>
      <c r="BB60" s="1" t="e">
        <v>#DIV/0!</v>
      </c>
      <c r="BC60" s="5" t="e">
        <v>#DIV/0!</v>
      </c>
      <c r="BD60" s="3">
        <f>$BH$1*F60+$BH$2*X60</f>
        <v>0.20204000000000003</v>
      </c>
      <c r="BE60" s="3">
        <f>$BH$1*M60+$BH$2*AE60</f>
        <v>1.6799999999999982E-2</v>
      </c>
    </row>
    <row r="61" spans="1:57">
      <c r="A61" t="s">
        <v>182</v>
      </c>
      <c r="B61" s="2">
        <v>0.23008695652173911</v>
      </c>
      <c r="C61" s="2">
        <v>0.14499999999999999</v>
      </c>
      <c r="D61" s="2">
        <v>5.5100000000000003E-2</v>
      </c>
      <c r="E61" s="2">
        <v>0.14699999999999999</v>
      </c>
      <c r="F61" s="2">
        <v>4.3499999999999997E-2</v>
      </c>
      <c r="G61" s="4">
        <v>0.24594454713493527</v>
      </c>
      <c r="H61" s="2">
        <v>-0.24091304347826087</v>
      </c>
      <c r="I61" s="2">
        <v>-0.23400000000000001</v>
      </c>
      <c r="J61" s="2">
        <v>-0.1469</v>
      </c>
      <c r="K61" s="2">
        <v>7.5814116216420493E-2</v>
      </c>
      <c r="L61" s="2">
        <v>2.8369351520426897E-2</v>
      </c>
      <c r="M61" s="4">
        <v>6.7944547134935279E-2</v>
      </c>
      <c r="N61" s="1">
        <v>-0.51149266131265581</v>
      </c>
      <c r="O61" s="1">
        <v>-0.61741424802110823</v>
      </c>
      <c r="P61" s="1">
        <v>-0.72722772277227721</v>
      </c>
      <c r="Q61" s="1">
        <v>1.0650161547043768</v>
      </c>
      <c r="R61" s="1">
        <v>1.874959395079894</v>
      </c>
      <c r="S61" s="5">
        <v>0.38171093896031055</v>
      </c>
      <c r="T61" s="2">
        <v>0.75071070013210039</v>
      </c>
      <c r="U61" s="2">
        <v>0.73499999999999999</v>
      </c>
      <c r="V61" s="2">
        <v>0.497</v>
      </c>
      <c r="W61" s="2">
        <v>0.70299999999999996</v>
      </c>
      <c r="X61" s="2">
        <v>0.439</v>
      </c>
      <c r="Y61" s="4">
        <v>0.71582987551867228</v>
      </c>
      <c r="Z61" s="2">
        <v>-8.6289299867899572E-2</v>
      </c>
      <c r="AA61" s="2">
        <v>-8.8999999999999968E-2</v>
      </c>
      <c r="AB61" s="2">
        <v>-8.5999999999999965E-2</v>
      </c>
      <c r="AC61" s="2">
        <v>-8.5160471554782013E-2</v>
      </c>
      <c r="AD61" s="2">
        <v>3.0569958924799856E-3</v>
      </c>
      <c r="AE61" s="4">
        <v>-8.2170124481327766E-2</v>
      </c>
      <c r="AF61" s="1">
        <v>-0.10309354822927069</v>
      </c>
      <c r="AG61" s="1">
        <v>-0.10800970873786404</v>
      </c>
      <c r="AH61" s="1">
        <v>-0.14751286449399653</v>
      </c>
      <c r="AI61" s="1">
        <v>-0.10804966073316054</v>
      </c>
      <c r="AJ61" s="1">
        <v>7.0123751583957405E-3</v>
      </c>
      <c r="AK61" s="5">
        <v>-0.10297008080366887</v>
      </c>
      <c r="AL61" s="2">
        <v>0.9863416117587428</v>
      </c>
      <c r="AM61" s="2">
        <v>0.995</v>
      </c>
      <c r="AN61" s="2">
        <v>0.69499999999999995</v>
      </c>
      <c r="AO61" s="2">
        <v>0.995</v>
      </c>
      <c r="AP61" s="2">
        <v>0.57799999999999996</v>
      </c>
      <c r="AQ61" s="4">
        <v>0.9863416117587428</v>
      </c>
      <c r="AR61" s="2">
        <v>0.92634161175874286</v>
      </c>
      <c r="AS61" s="2">
        <v>0.95799999999999996</v>
      </c>
      <c r="AT61" s="2">
        <v>0.69099999999999995</v>
      </c>
      <c r="AU61" s="2">
        <v>0.995</v>
      </c>
      <c r="AV61" s="2">
        <v>0.57799999999999996</v>
      </c>
      <c r="AW61" s="4">
        <v>0.9863416117587428</v>
      </c>
      <c r="AX61" s="1">
        <v>15.439026862645715</v>
      </c>
      <c r="AY61" s="1">
        <v>25.891891891891891</v>
      </c>
      <c r="AZ61" s="1">
        <v>172.74999999999997</v>
      </c>
      <c r="BA61" s="1" t="e">
        <v>#DIV/0!</v>
      </c>
      <c r="BB61" s="1" t="e">
        <v>#DIV/0!</v>
      </c>
      <c r="BC61" s="5" t="e">
        <v>#DIV/0!</v>
      </c>
      <c r="BD61" s="3">
        <f>$BH$1*F61+$BH$2*X61</f>
        <v>0.20169999999999999</v>
      </c>
      <c r="BE61" s="3">
        <f>$BH$1*M61+$BH$2*AE61</f>
        <v>7.8986784884300595E-3</v>
      </c>
    </row>
    <row r="62" spans="1:57">
      <c r="A62" t="s">
        <v>123</v>
      </c>
      <c r="B62" s="2">
        <v>0.21</v>
      </c>
      <c r="C62" s="2">
        <v>0.11600000000000001</v>
      </c>
      <c r="D62" s="2">
        <v>4.8000000000000001E-2</v>
      </c>
      <c r="E62" s="2">
        <v>0.14299999999999999</v>
      </c>
      <c r="F62" s="2">
        <v>4.87E-2</v>
      </c>
      <c r="G62" s="4">
        <v>0.23699999999999999</v>
      </c>
      <c r="H62" s="2">
        <v>-0.26100000000000001</v>
      </c>
      <c r="I62" s="2">
        <v>-0.26300000000000001</v>
      </c>
      <c r="J62" s="2">
        <v>-0.15400000000000003</v>
      </c>
      <c r="K62" s="2">
        <v>7.181411621642049E-2</v>
      </c>
      <c r="L62" s="2">
        <v>3.35693515204269E-2</v>
      </c>
      <c r="M62" s="4">
        <v>5.8999999999999997E-2</v>
      </c>
      <c r="N62" s="1">
        <v>-0.55414012738853513</v>
      </c>
      <c r="O62" s="1">
        <v>-0.69393139841688656</v>
      </c>
      <c r="P62" s="1">
        <v>-0.7623762376237625</v>
      </c>
      <c r="Q62" s="1">
        <v>1.008825238930108</v>
      </c>
      <c r="R62" s="1">
        <v>2.2186327020779504</v>
      </c>
      <c r="S62" s="5">
        <v>0.33146067415730335</v>
      </c>
      <c r="T62" s="2">
        <v>0.751</v>
      </c>
      <c r="U62" s="2">
        <v>0.72699999999999998</v>
      </c>
      <c r="V62" s="2">
        <v>0.48399999999999999</v>
      </c>
      <c r="W62" s="2">
        <v>0.68700000000000006</v>
      </c>
      <c r="X62" s="2">
        <v>0.42499999999999999</v>
      </c>
      <c r="Y62" s="4">
        <v>0.71399999999999997</v>
      </c>
      <c r="Z62" s="2">
        <v>-8.5999999999999965E-2</v>
      </c>
      <c r="AA62" s="2">
        <v>-9.6999999999999975E-2</v>
      </c>
      <c r="AB62" s="2">
        <v>-9.8999999999999977E-2</v>
      </c>
      <c r="AC62" s="2">
        <v>-0.10116047155478192</v>
      </c>
      <c r="AD62" s="2">
        <v>-1.0943004107520027E-2</v>
      </c>
      <c r="AE62" s="4">
        <v>-8.4000000000000075E-2</v>
      </c>
      <c r="AF62" s="1">
        <v>-0.10274790919952206</v>
      </c>
      <c r="AG62" s="1">
        <v>-0.11771844660194172</v>
      </c>
      <c r="AH62" s="1">
        <v>-0.16981132075471694</v>
      </c>
      <c r="AI62" s="1">
        <v>-0.12835009519727056</v>
      </c>
      <c r="AJ62" s="1">
        <v>-2.5101914709981372E-2</v>
      </c>
      <c r="AK62" s="5">
        <v>-0.10526315789473693</v>
      </c>
      <c r="AL62" s="2">
        <v>0.99099999999999999</v>
      </c>
      <c r="AM62" s="2">
        <v>0.995</v>
      </c>
      <c r="AN62" s="2">
        <v>0.71799999999999997</v>
      </c>
      <c r="AO62" s="2">
        <v>0.995</v>
      </c>
      <c r="AP62" s="2">
        <v>0.58499999999999996</v>
      </c>
      <c r="AQ62" s="4">
        <v>0.99099999999999999</v>
      </c>
      <c r="AR62" s="2">
        <v>0.93100000000000005</v>
      </c>
      <c r="AS62" s="2">
        <v>0.95799999999999996</v>
      </c>
      <c r="AT62" s="2">
        <v>0.71399999999999997</v>
      </c>
      <c r="AU62" s="2">
        <v>0.995</v>
      </c>
      <c r="AV62" s="2">
        <v>0.58499999999999996</v>
      </c>
      <c r="AW62" s="4">
        <v>0.99099999999999999</v>
      </c>
      <c r="AX62" s="1">
        <v>15.516666666666667</v>
      </c>
      <c r="AY62" s="1">
        <v>25.891891891891891</v>
      </c>
      <c r="AZ62" s="1">
        <v>178.5</v>
      </c>
      <c r="BA62" s="1" t="e">
        <v>#DIV/0!</v>
      </c>
      <c r="BB62" s="1" t="e">
        <v>#DIV/0!</v>
      </c>
      <c r="BC62" s="5" t="e">
        <v>#DIV/0!</v>
      </c>
      <c r="BD62" s="3">
        <f>$BH$1*F62+$BH$2*X62</f>
        <v>0.19922000000000001</v>
      </c>
      <c r="BE62" s="3">
        <f>$BH$1*M62+$BH$2*AE62</f>
        <v>1.7999999999999614E-3</v>
      </c>
    </row>
    <row r="63" spans="1:57">
      <c r="A63" t="s">
        <v>177</v>
      </c>
      <c r="B63" s="2">
        <v>0.28401639344262292</v>
      </c>
      <c r="C63" s="2">
        <v>0.185</v>
      </c>
      <c r="D63" s="2">
        <v>6.3100000000000003E-2</v>
      </c>
      <c r="E63" s="2">
        <v>0.187</v>
      </c>
      <c r="F63" s="2">
        <v>6.2399999999999997E-2</v>
      </c>
      <c r="G63" s="4">
        <v>0.27998724082934612</v>
      </c>
      <c r="H63" s="2">
        <v>-0.18698360655737706</v>
      </c>
      <c r="I63" s="2">
        <v>-0.19400000000000001</v>
      </c>
      <c r="J63" s="2">
        <v>-0.13890000000000002</v>
      </c>
      <c r="K63" s="2">
        <v>0.1158141162164205</v>
      </c>
      <c r="L63" s="2">
        <v>4.7269351520426897E-2</v>
      </c>
      <c r="M63" s="4">
        <v>0.10198724082934613</v>
      </c>
      <c r="N63" s="1">
        <v>-0.39699279523859249</v>
      </c>
      <c r="O63" s="1">
        <v>-0.51187335092348285</v>
      </c>
      <c r="P63" s="1">
        <v>-0.68762376237623768</v>
      </c>
      <c r="Q63" s="1">
        <v>1.6269253124470646</v>
      </c>
      <c r="R63" s="1">
        <v>3.1240796839766758</v>
      </c>
      <c r="S63" s="5">
        <v>0.57296202713115807</v>
      </c>
      <c r="T63" s="2">
        <v>0.71262622036262202</v>
      </c>
      <c r="U63" s="2">
        <v>0.69099999999999995</v>
      </c>
      <c r="V63" s="2">
        <v>0.44400000000000001</v>
      </c>
      <c r="W63" s="2">
        <v>0.66100000000000003</v>
      </c>
      <c r="X63" s="2">
        <v>0.40400000000000003</v>
      </c>
      <c r="Y63" s="4">
        <v>0.68809763101220389</v>
      </c>
      <c r="Z63" s="2">
        <v>-0.12437377963737795</v>
      </c>
      <c r="AA63" s="2">
        <v>-0.13300000000000001</v>
      </c>
      <c r="AB63" s="2">
        <v>-0.13899999999999996</v>
      </c>
      <c r="AC63" s="2">
        <v>-0.12716047155478194</v>
      </c>
      <c r="AD63" s="2">
        <v>-3.194300410751999E-2</v>
      </c>
      <c r="AE63" s="4">
        <v>-0.10990236898779615</v>
      </c>
      <c r="AF63" s="1">
        <v>-0.14859471880212419</v>
      </c>
      <c r="AG63" s="1">
        <v>-0.16140776699029127</v>
      </c>
      <c r="AH63" s="1">
        <v>-0.23842195540308742</v>
      </c>
      <c r="AI63" s="1">
        <v>-0.16133830120144957</v>
      </c>
      <c r="AJ63" s="1">
        <v>-7.3273349512546909E-2</v>
      </c>
      <c r="AK63" s="5">
        <v>-0.13772226690200018</v>
      </c>
      <c r="AL63" s="2">
        <v>0.9809500509683996</v>
      </c>
      <c r="AM63" s="2">
        <v>0.99199999999999999</v>
      </c>
      <c r="AN63" s="2">
        <v>0.71799999999999997</v>
      </c>
      <c r="AO63" s="2">
        <v>0.99199999999999999</v>
      </c>
      <c r="AP63" s="2">
        <v>0.59199999999999997</v>
      </c>
      <c r="AQ63" s="4">
        <v>0.9809500509683996</v>
      </c>
      <c r="AR63" s="2">
        <v>0.92095005096839966</v>
      </c>
      <c r="AS63" s="2">
        <v>0.95499999999999996</v>
      </c>
      <c r="AT63" s="2">
        <v>0.71399999999999997</v>
      </c>
      <c r="AU63" s="2">
        <v>0.99199999999999999</v>
      </c>
      <c r="AV63" s="2">
        <v>0.59199999999999997</v>
      </c>
      <c r="AW63" s="4">
        <v>0.9809500509683996</v>
      </c>
      <c r="AX63" s="1">
        <v>15.349167516139994</v>
      </c>
      <c r="AY63" s="1">
        <v>25.810810810810811</v>
      </c>
      <c r="AZ63" s="1">
        <v>178.5</v>
      </c>
      <c r="BA63" s="1" t="e">
        <v>#DIV/0!</v>
      </c>
      <c r="BB63" s="1" t="e">
        <v>#DIV/0!</v>
      </c>
      <c r="BC63" s="5" t="e">
        <v>#DIV/0!</v>
      </c>
      <c r="BD63" s="3">
        <f>$BH$1*F63+$BH$2*X63</f>
        <v>0.19904000000000002</v>
      </c>
      <c r="BE63" s="3">
        <f>$BH$1*M63+$BH$2*AE63</f>
        <v>1.7231396902489211E-2</v>
      </c>
    </row>
    <row r="64" spans="1:57">
      <c r="A64" t="s">
        <v>166</v>
      </c>
      <c r="B64" s="2">
        <v>0.23472332015810279</v>
      </c>
      <c r="C64" s="2">
        <v>0.17</v>
      </c>
      <c r="D64" s="2">
        <v>6.9699999999999998E-2</v>
      </c>
      <c r="E64" s="2">
        <v>0.14799999999999999</v>
      </c>
      <c r="F64" s="2">
        <v>5.3699999999999998E-2</v>
      </c>
      <c r="G64" s="4">
        <v>0.21346153846153845</v>
      </c>
      <c r="H64" s="2">
        <v>-0.23627667984189718</v>
      </c>
      <c r="I64" s="2">
        <v>-0.20899999999999999</v>
      </c>
      <c r="J64" s="2">
        <v>-0.13230000000000003</v>
      </c>
      <c r="K64" s="2">
        <v>7.6814116216420494E-2</v>
      </c>
      <c r="L64" s="2">
        <v>3.8569351520426898E-2</v>
      </c>
      <c r="M64" s="4">
        <v>3.5461538461538461E-2</v>
      </c>
      <c r="N64" s="1">
        <v>-0.50164900178746752</v>
      </c>
      <c r="O64" s="1">
        <v>-0.55145118733509235</v>
      </c>
      <c r="P64" s="1">
        <v>-0.65495049504950509</v>
      </c>
      <c r="Q64" s="1">
        <v>1.079063883647944</v>
      </c>
      <c r="R64" s="1">
        <v>2.5490878049606969</v>
      </c>
      <c r="S64" s="5">
        <v>0.19922212618841834</v>
      </c>
      <c r="T64" s="2">
        <v>0.72593319700068171</v>
      </c>
      <c r="U64" s="2">
        <v>0.71499999999999997</v>
      </c>
      <c r="V64" s="2">
        <v>0.46400000000000002</v>
      </c>
      <c r="W64" s="2">
        <v>0.68700000000000006</v>
      </c>
      <c r="X64" s="2">
        <v>0.41499999999999998</v>
      </c>
      <c r="Y64" s="4">
        <v>0.70730603747397636</v>
      </c>
      <c r="Z64" s="2">
        <v>-0.11106680299931826</v>
      </c>
      <c r="AA64" s="2">
        <v>-0.10899999999999999</v>
      </c>
      <c r="AB64" s="2">
        <v>-0.11899999999999994</v>
      </c>
      <c r="AC64" s="2">
        <v>-0.10116047155478192</v>
      </c>
      <c r="AD64" s="2">
        <v>-2.0943004107520036E-2</v>
      </c>
      <c r="AE64" s="4">
        <v>-9.0693962526023686E-2</v>
      </c>
      <c r="AF64" s="1">
        <v>-0.13269629987971118</v>
      </c>
      <c r="AG64" s="1">
        <v>-0.13228155339805825</v>
      </c>
      <c r="AH64" s="1">
        <v>-0.20411663807890215</v>
      </c>
      <c r="AI64" s="1">
        <v>-0.12835009519727056</v>
      </c>
      <c r="AJ64" s="1">
        <v>-4.8040693187393596E-2</v>
      </c>
      <c r="AK64" s="5">
        <v>-0.11365158211281164</v>
      </c>
      <c r="AL64" s="2">
        <v>0.98597464503042598</v>
      </c>
      <c r="AM64" s="2">
        <v>0.995</v>
      </c>
      <c r="AN64" s="2">
        <v>0.67600000000000005</v>
      </c>
      <c r="AO64" s="2">
        <v>0.98499999999999999</v>
      </c>
      <c r="AP64" s="2">
        <v>0.57499999999999996</v>
      </c>
      <c r="AQ64" s="4">
        <v>0.97697441146366415</v>
      </c>
      <c r="AR64" s="2">
        <v>0.92597464503042604</v>
      </c>
      <c r="AS64" s="2">
        <v>0.95799999999999996</v>
      </c>
      <c r="AT64" s="2">
        <v>0.67200000000000004</v>
      </c>
      <c r="AU64" s="2">
        <v>0.98499999999999999</v>
      </c>
      <c r="AV64" s="2">
        <v>0.57499999999999996</v>
      </c>
      <c r="AW64" s="4">
        <v>0.97697441146366415</v>
      </c>
      <c r="AX64" s="1">
        <v>15.432910750507101</v>
      </c>
      <c r="AY64" s="1">
        <v>25.891891891891891</v>
      </c>
      <c r="AZ64" s="1">
        <v>168</v>
      </c>
      <c r="BA64" s="1" t="e">
        <v>#DIV/0!</v>
      </c>
      <c r="BB64" s="1" t="e">
        <v>#DIV/0!</v>
      </c>
      <c r="BC64" s="5" t="e">
        <v>#DIV/0!</v>
      </c>
      <c r="BD64" s="3">
        <f>$BH$1*F64+$BH$2*X64</f>
        <v>0.19822000000000001</v>
      </c>
      <c r="BE64" s="3">
        <f>$BH$1*M64+$BH$2*AE64</f>
        <v>-1.5000661933486398E-2</v>
      </c>
    </row>
    <row r="65" spans="1:57">
      <c r="A65" t="s">
        <v>51</v>
      </c>
      <c r="B65" s="2">
        <v>0.22700000000000001</v>
      </c>
      <c r="C65" s="2">
        <v>0.13100000000000001</v>
      </c>
      <c r="D65" s="2">
        <v>4.5999999999999999E-2</v>
      </c>
      <c r="E65" s="2">
        <v>7.5600000000000001E-2</v>
      </c>
      <c r="F65" s="2">
        <v>2.5399999999999999E-2</v>
      </c>
      <c r="G65" s="4">
        <v>0.22800000000000001</v>
      </c>
      <c r="H65" s="2">
        <v>-0.24399999999999997</v>
      </c>
      <c r="I65" s="2">
        <v>-0.248</v>
      </c>
      <c r="J65" s="2">
        <v>-0.15600000000000003</v>
      </c>
      <c r="K65" s="2">
        <v>4.4141162164205022E-3</v>
      </c>
      <c r="L65" s="2">
        <v>1.0269351520426899E-2</v>
      </c>
      <c r="M65" s="4">
        <v>5.0000000000000017E-2</v>
      </c>
      <c r="N65" s="1">
        <v>-0.51804670912951167</v>
      </c>
      <c r="O65" s="1">
        <v>-0.65435356200527706</v>
      </c>
      <c r="P65" s="1">
        <v>-0.77227722772277241</v>
      </c>
      <c r="Q65" s="1">
        <v>6.2008308133679586E-2</v>
      </c>
      <c r="R65" s="1">
        <v>0.67871192264435198</v>
      </c>
      <c r="S65" s="5">
        <v>0.28089887640449451</v>
      </c>
      <c r="T65" s="2">
        <v>0.76</v>
      </c>
      <c r="U65" s="2">
        <v>0.74199999999999999</v>
      </c>
      <c r="V65" s="2">
        <v>0.51500000000000001</v>
      </c>
      <c r="W65" s="2">
        <v>0.71099999999999997</v>
      </c>
      <c r="X65" s="2">
        <v>0.45600000000000002</v>
      </c>
      <c r="Y65" s="4">
        <v>0.73299999999999998</v>
      </c>
      <c r="Z65" s="2">
        <v>-7.6999999999999957E-2</v>
      </c>
      <c r="AA65" s="2">
        <v>-8.1999999999999962E-2</v>
      </c>
      <c r="AB65" s="2">
        <v>-6.7999999999999949E-2</v>
      </c>
      <c r="AC65" s="2">
        <v>-7.7160471554782006E-2</v>
      </c>
      <c r="AD65" s="2">
        <v>2.0056995892480001E-2</v>
      </c>
      <c r="AE65" s="4">
        <v>-6.5000000000000058E-2</v>
      </c>
      <c r="AF65" s="1">
        <v>-9.1995221027479049E-2</v>
      </c>
      <c r="AG65" s="1">
        <v>-9.9514563106796072E-2</v>
      </c>
      <c r="AH65" s="1">
        <v>-0.11663807890222977</v>
      </c>
      <c r="AI65" s="1">
        <v>-9.7899443501105451E-2</v>
      </c>
      <c r="AJ65" s="1">
        <v>4.6008298569996518E-2</v>
      </c>
      <c r="AK65" s="5">
        <v>-8.1453634085213097E-2</v>
      </c>
      <c r="AL65" s="2">
        <v>0.99</v>
      </c>
      <c r="AM65" s="2">
        <v>0.98599999999999999</v>
      </c>
      <c r="AN65" s="2">
        <v>0.63200000000000001</v>
      </c>
      <c r="AO65" s="2">
        <v>0.97</v>
      </c>
      <c r="AP65" s="2">
        <v>0.53100000000000003</v>
      </c>
      <c r="AQ65" s="4">
        <v>0.98099999999999998</v>
      </c>
      <c r="AR65" s="2">
        <v>0.92999999999999994</v>
      </c>
      <c r="AS65" s="2">
        <v>0.94899999999999995</v>
      </c>
      <c r="AT65" s="2">
        <v>0.628</v>
      </c>
      <c r="AU65" s="2">
        <v>0.97</v>
      </c>
      <c r="AV65" s="2">
        <v>0.53100000000000003</v>
      </c>
      <c r="AW65" s="4">
        <v>0.98099999999999998</v>
      </c>
      <c r="AX65" s="1">
        <v>15.5</v>
      </c>
      <c r="AY65" s="1">
        <v>25.648648648648649</v>
      </c>
      <c r="AZ65" s="1">
        <v>157</v>
      </c>
      <c r="BA65" s="1" t="e">
        <v>#DIV/0!</v>
      </c>
      <c r="BB65" s="1" t="e">
        <v>#DIV/0!</v>
      </c>
      <c r="BC65" s="5" t="e">
        <v>#DIV/0!</v>
      </c>
      <c r="BD65" s="3">
        <f>$BH$1*F65+$BH$2*X65</f>
        <v>0.19764000000000001</v>
      </c>
      <c r="BE65" s="3">
        <f>$BH$1*M65+$BH$2*AE65</f>
        <v>3.9999999999999862E-3</v>
      </c>
    </row>
    <row r="66" spans="1:57">
      <c r="A66" t="s">
        <v>198</v>
      </c>
      <c r="B66" s="2">
        <v>0.2007954545454545</v>
      </c>
      <c r="C66" s="2">
        <v>0.152</v>
      </c>
      <c r="D66" s="2">
        <v>6.1199999999999997E-2</v>
      </c>
      <c r="E66" s="2">
        <v>0.13300000000000001</v>
      </c>
      <c r="F66" s="2">
        <v>4.9500000000000002E-2</v>
      </c>
      <c r="G66" s="4">
        <v>0.18101010101010101</v>
      </c>
      <c r="H66" s="2">
        <v>-0.27020454545454548</v>
      </c>
      <c r="I66" s="2">
        <v>-0.22700000000000001</v>
      </c>
      <c r="J66" s="2">
        <v>-0.14080000000000001</v>
      </c>
      <c r="K66" s="2">
        <v>6.1814116216420509E-2</v>
      </c>
      <c r="L66" s="2">
        <v>3.4369351520426902E-2</v>
      </c>
      <c r="M66" s="4">
        <v>3.0101010101010184E-3</v>
      </c>
      <c r="N66" s="1">
        <v>-0.57368268674001166</v>
      </c>
      <c r="O66" s="1">
        <v>-0.59894459102902375</v>
      </c>
      <c r="P66" s="1">
        <v>-0.69702970297029698</v>
      </c>
      <c r="Q66" s="1">
        <v>0.86834794949443639</v>
      </c>
      <c r="R66" s="1">
        <v>2.2715055185391901</v>
      </c>
      <c r="S66" s="5">
        <v>1.6910679832028194E-2</v>
      </c>
      <c r="T66" s="2">
        <v>0.71541984732824437</v>
      </c>
      <c r="U66" s="2">
        <v>0.69499999999999995</v>
      </c>
      <c r="V66" s="2">
        <v>0.44900000000000001</v>
      </c>
      <c r="W66" s="2">
        <v>0.66400000000000003</v>
      </c>
      <c r="X66" s="2">
        <v>0.41099999999999998</v>
      </c>
      <c r="Y66" s="4">
        <v>0.69198435277382653</v>
      </c>
      <c r="Z66" s="2">
        <v>-0.12158015267175559</v>
      </c>
      <c r="AA66" s="2">
        <v>-0.129</v>
      </c>
      <c r="AB66" s="2">
        <v>-0.13399999999999995</v>
      </c>
      <c r="AC66" s="2">
        <v>-0.12416047155478194</v>
      </c>
      <c r="AD66" s="2">
        <v>-2.4943004107520039E-2</v>
      </c>
      <c r="AE66" s="4">
        <v>-0.10601564722617351</v>
      </c>
      <c r="AF66" s="1">
        <v>-0.14525705217652998</v>
      </c>
      <c r="AG66" s="1">
        <v>-0.15655339805825244</v>
      </c>
      <c r="AH66" s="1">
        <v>-0.22984562607204109</v>
      </c>
      <c r="AI66" s="1">
        <v>-0.1575319697394289</v>
      </c>
      <c r="AJ66" s="1">
        <v>-5.7216204578358486E-2</v>
      </c>
      <c r="AK66" s="5">
        <v>-0.13285168825335025</v>
      </c>
      <c r="AL66" s="2">
        <v>0.98748759493670879</v>
      </c>
      <c r="AM66" s="2">
        <v>0.995</v>
      </c>
      <c r="AN66" s="2">
        <v>0.69599999999999995</v>
      </c>
      <c r="AO66" s="2">
        <v>0.995</v>
      </c>
      <c r="AP66" s="2">
        <v>0.6</v>
      </c>
      <c r="AQ66" s="4">
        <v>0.98748759493670879</v>
      </c>
      <c r="AR66" s="2">
        <v>0.92748759493670874</v>
      </c>
      <c r="AS66" s="2">
        <v>0.95799999999999996</v>
      </c>
      <c r="AT66" s="2">
        <v>0.69199999999999995</v>
      </c>
      <c r="AU66" s="2">
        <v>0.995</v>
      </c>
      <c r="AV66" s="2">
        <v>0.6</v>
      </c>
      <c r="AW66" s="4">
        <v>0.98748759493670879</v>
      </c>
      <c r="AX66" s="1">
        <v>15.45812658227848</v>
      </c>
      <c r="AY66" s="1">
        <v>25.891891891891891</v>
      </c>
      <c r="AZ66" s="1">
        <v>172.99999999999997</v>
      </c>
      <c r="BA66" s="1" t="e">
        <v>#DIV/0!</v>
      </c>
      <c r="BB66" s="1" t="e">
        <v>#DIV/0!</v>
      </c>
      <c r="BC66" s="5" t="e">
        <v>#DIV/0!</v>
      </c>
      <c r="BD66" s="3">
        <f>$BH$1*F66+$BH$2*X66</f>
        <v>0.19409999999999999</v>
      </c>
      <c r="BE66" s="3">
        <f>$BH$1*M66+$BH$2*AE66</f>
        <v>-4.0600198284408799E-2</v>
      </c>
    </row>
    <row r="67" spans="1:57">
      <c r="A67" t="s">
        <v>210</v>
      </c>
      <c r="B67" s="2">
        <v>0.28951770657672854</v>
      </c>
      <c r="C67" s="2">
        <v>0.20499999999999999</v>
      </c>
      <c r="D67" s="2">
        <v>9.2999999999999999E-2</v>
      </c>
      <c r="E67" s="2">
        <v>0.153</v>
      </c>
      <c r="F67" s="2">
        <v>0.05</v>
      </c>
      <c r="G67" s="4">
        <v>0.24706483300589388</v>
      </c>
      <c r="H67" s="2">
        <v>-0.18148229342327143</v>
      </c>
      <c r="I67" s="2">
        <v>-0.17400000000000002</v>
      </c>
      <c r="J67" s="2">
        <v>-0.10900000000000001</v>
      </c>
      <c r="K67" s="2">
        <v>8.1814116216420499E-2</v>
      </c>
      <c r="L67" s="2">
        <v>3.4869351520426903E-2</v>
      </c>
      <c r="M67" s="4">
        <v>6.9064833005893889E-2</v>
      </c>
      <c r="N67" s="1">
        <v>-0.38531272489017293</v>
      </c>
      <c r="O67" s="1">
        <v>-0.45910290237467022</v>
      </c>
      <c r="P67" s="1">
        <v>-0.53960396039603964</v>
      </c>
      <c r="Q67" s="1">
        <v>1.1493025283657801</v>
      </c>
      <c r="R67" s="1">
        <v>2.3045510288274649</v>
      </c>
      <c r="S67" s="5">
        <v>0.38800467980839265</v>
      </c>
      <c r="T67" s="2">
        <v>0.72751362397820163</v>
      </c>
      <c r="U67" s="2">
        <v>0.71099999999999997</v>
      </c>
      <c r="V67" s="2">
        <v>0.47</v>
      </c>
      <c r="W67" s="2">
        <v>0.66800000000000004</v>
      </c>
      <c r="X67" s="2">
        <v>0.41</v>
      </c>
      <c r="Y67" s="4">
        <v>0.69315751960085525</v>
      </c>
      <c r="Z67" s="2">
        <v>-0.10948637602179834</v>
      </c>
      <c r="AA67" s="2">
        <v>-0.11299999999999999</v>
      </c>
      <c r="AB67" s="2">
        <v>-0.11299999999999999</v>
      </c>
      <c r="AC67" s="2">
        <v>-0.12016047155478193</v>
      </c>
      <c r="AD67" s="2">
        <v>-2.594300410752004E-2</v>
      </c>
      <c r="AE67" s="4">
        <v>-0.10484248039914479</v>
      </c>
      <c r="AF67" s="1">
        <v>-0.13080809560549383</v>
      </c>
      <c r="AG67" s="1">
        <v>-0.13713592233009708</v>
      </c>
      <c r="AH67" s="1">
        <v>-0.19382504288164665</v>
      </c>
      <c r="AI67" s="1">
        <v>-0.15245686112340137</v>
      </c>
      <c r="AJ67" s="1">
        <v>-5.951008242609971E-2</v>
      </c>
      <c r="AK67" s="5">
        <v>-0.13138155438489321</v>
      </c>
      <c r="AL67" s="2">
        <v>0.9888776541961577</v>
      </c>
      <c r="AM67" s="2">
        <v>0.99099999999999999</v>
      </c>
      <c r="AN67" s="2">
        <v>0.68899999999999995</v>
      </c>
      <c r="AO67" s="2">
        <v>0.99099999999999999</v>
      </c>
      <c r="AP67" s="2">
        <v>0.52600000000000002</v>
      </c>
      <c r="AQ67" s="4">
        <v>0.9888776541961577</v>
      </c>
      <c r="AR67" s="2">
        <v>0.92887765419615764</v>
      </c>
      <c r="AS67" s="2">
        <v>0.95399999999999996</v>
      </c>
      <c r="AT67" s="2">
        <v>0.68499999999999994</v>
      </c>
      <c r="AU67" s="2">
        <v>0.99099999999999999</v>
      </c>
      <c r="AV67" s="2">
        <v>0.52600000000000002</v>
      </c>
      <c r="AW67" s="4">
        <v>0.9888776541961577</v>
      </c>
      <c r="AX67" s="1">
        <v>15.481294236602627</v>
      </c>
      <c r="AY67" s="1">
        <v>25.783783783783782</v>
      </c>
      <c r="AZ67" s="1">
        <v>171.24999999999997</v>
      </c>
      <c r="BA67" s="1" t="e">
        <v>#DIV/0!</v>
      </c>
      <c r="BB67" s="1" t="e">
        <v>#DIV/0!</v>
      </c>
      <c r="BC67" s="5" t="e">
        <v>#DIV/0!</v>
      </c>
      <c r="BD67" s="3">
        <f>$BH$1*F67+$BH$2*X67</f>
        <v>0.19400000000000001</v>
      </c>
      <c r="BE67" s="3">
        <f>$BH$1*M67+$BH$2*AE67</f>
        <v>-4.9809235612158914E-4</v>
      </c>
    </row>
    <row r="68" spans="1:57">
      <c r="A68" t="s">
        <v>173</v>
      </c>
      <c r="B68" s="2">
        <v>0.18971571072319202</v>
      </c>
      <c r="C68" s="2">
        <v>0.125</v>
      </c>
      <c r="D68" s="2">
        <v>4.4400000000000002E-2</v>
      </c>
      <c r="E68" s="2">
        <v>0.104</v>
      </c>
      <c r="F68" s="2">
        <v>3.8199999999999998E-2</v>
      </c>
      <c r="G68" s="4">
        <v>0.17336193029490618</v>
      </c>
      <c r="H68" s="2">
        <v>-0.28128428927680793</v>
      </c>
      <c r="I68" s="2">
        <v>-0.254</v>
      </c>
      <c r="J68" s="2">
        <v>-0.15760000000000002</v>
      </c>
      <c r="K68" s="2">
        <v>3.2814116216420497E-2</v>
      </c>
      <c r="L68" s="2">
        <v>2.3069351520426898E-2</v>
      </c>
      <c r="M68" s="4">
        <v>-4.6380697050938113E-3</v>
      </c>
      <c r="N68" s="1">
        <v>-0.59720655897411457</v>
      </c>
      <c r="O68" s="1">
        <v>-0.67018469656992086</v>
      </c>
      <c r="P68" s="1">
        <v>-0.78019801980198022</v>
      </c>
      <c r="Q68" s="1">
        <v>0.46096381013098769</v>
      </c>
      <c r="R68" s="1">
        <v>1.5246769860241829</v>
      </c>
      <c r="S68" s="5">
        <v>-2.6056571376931525E-2</v>
      </c>
      <c r="T68" s="2">
        <v>0.73479703304113286</v>
      </c>
      <c r="U68" s="2">
        <v>0.71899999999999997</v>
      </c>
      <c r="V68" s="2">
        <v>0.48699999999999999</v>
      </c>
      <c r="W68" s="2">
        <v>0.68400000000000005</v>
      </c>
      <c r="X68" s="2">
        <v>0.42499999999999999</v>
      </c>
      <c r="Y68" s="4">
        <v>0.70208988764044944</v>
      </c>
      <c r="Z68" s="2">
        <v>-0.1022029669588671</v>
      </c>
      <c r="AA68" s="2">
        <v>-0.10499999999999998</v>
      </c>
      <c r="AB68" s="2">
        <v>-9.5999999999999974E-2</v>
      </c>
      <c r="AC68" s="2">
        <v>-0.10416047155478192</v>
      </c>
      <c r="AD68" s="2">
        <v>-1.0943004107520027E-2</v>
      </c>
      <c r="AE68" s="4">
        <v>-9.5910112359550603E-2</v>
      </c>
      <c r="AF68" s="1">
        <v>-0.12210629266292367</v>
      </c>
      <c r="AG68" s="1">
        <v>-0.12742718446601942</v>
      </c>
      <c r="AH68" s="1">
        <v>-0.16466552315608915</v>
      </c>
      <c r="AI68" s="1">
        <v>-0.1321564266592912</v>
      </c>
      <c r="AJ68" s="1">
        <v>-2.5101914709981372E-2</v>
      </c>
      <c r="AK68" s="5">
        <v>-0.12018811072625388</v>
      </c>
      <c r="AL68" s="2">
        <v>0.99042705704189793</v>
      </c>
      <c r="AM68" s="2">
        <v>0.995</v>
      </c>
      <c r="AN68" s="2">
        <v>0.73199999999999998</v>
      </c>
      <c r="AO68" s="2">
        <v>0.98699999999999999</v>
      </c>
      <c r="AP68" s="2">
        <v>0.60399999999999998</v>
      </c>
      <c r="AQ68" s="4">
        <v>0.98193482688391032</v>
      </c>
      <c r="AR68" s="2">
        <v>0.93042705704189799</v>
      </c>
      <c r="AS68" s="2">
        <v>0.95799999999999996</v>
      </c>
      <c r="AT68" s="2">
        <v>0.72799999999999998</v>
      </c>
      <c r="AU68" s="2">
        <v>0.98699999999999999</v>
      </c>
      <c r="AV68" s="2">
        <v>0.60399999999999998</v>
      </c>
      <c r="AW68" s="4">
        <v>0.98193482688391032</v>
      </c>
      <c r="AX68" s="1">
        <v>15.507117617364967</v>
      </c>
      <c r="AY68" s="1">
        <v>25.891891891891891</v>
      </c>
      <c r="AZ68" s="1">
        <v>182</v>
      </c>
      <c r="BA68" s="1" t="e">
        <v>#DIV/0!</v>
      </c>
      <c r="BB68" s="1" t="e">
        <v>#DIV/0!</v>
      </c>
      <c r="BC68" s="5" t="e">
        <v>#DIV/0!</v>
      </c>
      <c r="BD68" s="3">
        <f>$BH$1*F68+$BH$2*X68</f>
        <v>0.19292000000000001</v>
      </c>
      <c r="BE68" s="3">
        <f>$BH$1*M68+$BH$2*AE68</f>
        <v>-4.1146886766876528E-2</v>
      </c>
    </row>
    <row r="69" spans="1:57">
      <c r="A69" t="s">
        <v>175</v>
      </c>
      <c r="B69" s="2">
        <v>0.2138834498834499</v>
      </c>
      <c r="C69" s="2">
        <v>0.13300000000000001</v>
      </c>
      <c r="D69" s="2">
        <v>4.7100000000000003E-2</v>
      </c>
      <c r="E69" s="2">
        <v>0.13200000000000001</v>
      </c>
      <c r="F69" s="2">
        <v>4.0399999999999998E-2</v>
      </c>
      <c r="G69" s="4">
        <v>0.22493169877408056</v>
      </c>
      <c r="H69" s="2">
        <v>-0.2571165501165501</v>
      </c>
      <c r="I69" s="2">
        <v>-0.246</v>
      </c>
      <c r="J69" s="2">
        <v>-0.15490000000000001</v>
      </c>
      <c r="K69" s="2">
        <v>6.0814116216420508E-2</v>
      </c>
      <c r="L69" s="2">
        <v>2.5269351520426898E-2</v>
      </c>
      <c r="M69" s="4">
        <v>4.6931698774080571E-2</v>
      </c>
      <c r="N69" s="1">
        <v>-0.54589501086316372</v>
      </c>
      <c r="O69" s="1">
        <v>-0.64907651715039572</v>
      </c>
      <c r="P69" s="1">
        <v>-0.76683168316831685</v>
      </c>
      <c r="Q69" s="1">
        <v>0.85430022055086918</v>
      </c>
      <c r="R69" s="1">
        <v>1.6700772312925913</v>
      </c>
      <c r="S69" s="5">
        <v>0.26366122906786837</v>
      </c>
      <c r="T69" s="2">
        <v>0.72950575490859859</v>
      </c>
      <c r="U69" s="2">
        <v>0.71899999999999997</v>
      </c>
      <c r="V69" s="2">
        <v>0.48099999999999998</v>
      </c>
      <c r="W69" s="2">
        <v>0.67800000000000005</v>
      </c>
      <c r="X69" s="2">
        <v>0.41699999999999998</v>
      </c>
      <c r="Y69" s="4">
        <v>0.69848633496846524</v>
      </c>
      <c r="Z69" s="2">
        <v>-0.10749424509140137</v>
      </c>
      <c r="AA69" s="2">
        <v>-0.10499999999999998</v>
      </c>
      <c r="AB69" s="2">
        <v>-0.10199999999999998</v>
      </c>
      <c r="AC69" s="2">
        <v>-0.11016047155478192</v>
      </c>
      <c r="AD69" s="2">
        <v>-1.8943004107520034E-2</v>
      </c>
      <c r="AE69" s="4">
        <v>-9.9513665031534804E-2</v>
      </c>
      <c r="AF69" s="1">
        <v>-0.12842801086188935</v>
      </c>
      <c r="AG69" s="1">
        <v>-0.12742718446601942</v>
      </c>
      <c r="AH69" s="1">
        <v>-0.17495711835334474</v>
      </c>
      <c r="AI69" s="1">
        <v>-0.13976908958333253</v>
      </c>
      <c r="AJ69" s="1">
        <v>-4.3452937491911155E-2</v>
      </c>
      <c r="AK69" s="5">
        <v>-0.12470384089164761</v>
      </c>
      <c r="AL69" s="2">
        <v>0.98647947288393312</v>
      </c>
      <c r="AM69" s="2">
        <v>0.98699999999999999</v>
      </c>
      <c r="AN69" s="2">
        <v>0.73199999999999998</v>
      </c>
      <c r="AO69" s="2">
        <v>0.98699999999999999</v>
      </c>
      <c r="AP69" s="2">
        <v>0.61099999999999999</v>
      </c>
      <c r="AQ69" s="4">
        <v>0.98647947288393312</v>
      </c>
      <c r="AR69" s="2">
        <v>0.92647947288393317</v>
      </c>
      <c r="AS69" s="2">
        <v>0.95</v>
      </c>
      <c r="AT69" s="2">
        <v>0.72799999999999998</v>
      </c>
      <c r="AU69" s="2">
        <v>0.98699999999999999</v>
      </c>
      <c r="AV69" s="2">
        <v>0.61099999999999999</v>
      </c>
      <c r="AW69" s="4">
        <v>0.98647947288393312</v>
      </c>
      <c r="AX69" s="1">
        <v>15.441324548065554</v>
      </c>
      <c r="AY69" s="1">
        <v>25.675675675675677</v>
      </c>
      <c r="AZ69" s="1">
        <v>182</v>
      </c>
      <c r="BA69" s="1" t="e">
        <v>#DIV/0!</v>
      </c>
      <c r="BB69" s="1" t="e">
        <v>#DIV/0!</v>
      </c>
      <c r="BC69" s="5" t="e">
        <v>#DIV/0!</v>
      </c>
      <c r="BD69" s="3">
        <f>$BH$1*F69+$BH$2*X69</f>
        <v>0.19103999999999999</v>
      </c>
      <c r="BE69" s="3">
        <f>$BH$1*M69+$BH$2*AE69</f>
        <v>-1.1646446748165579E-2</v>
      </c>
    </row>
    <row r="70" spans="1:57">
      <c r="A70" t="s">
        <v>212</v>
      </c>
      <c r="B70" s="2">
        <v>0.31607843137254904</v>
      </c>
      <c r="C70" s="2">
        <v>0.24099999999999999</v>
      </c>
      <c r="D70" s="2">
        <v>9.9599999999999994E-2</v>
      </c>
      <c r="E70" s="2">
        <v>0.17799999999999999</v>
      </c>
      <c r="F70" s="2">
        <v>4.9599999999999998E-2</v>
      </c>
      <c r="G70" s="4">
        <v>0.26565548780487808</v>
      </c>
      <c r="H70" s="2">
        <v>-0.15492156862745093</v>
      </c>
      <c r="I70" s="2">
        <v>-0.13800000000000001</v>
      </c>
      <c r="J70" s="2">
        <v>-0.10240000000000002</v>
      </c>
      <c r="K70" s="2">
        <v>0.10681411621642049</v>
      </c>
      <c r="L70" s="2">
        <v>3.4469351520426898E-2</v>
      </c>
      <c r="M70" s="4">
        <v>8.7655487804878085E-2</v>
      </c>
      <c r="N70" s="1">
        <v>-0.32892052787144571</v>
      </c>
      <c r="O70" s="1">
        <v>-0.36411609498680741</v>
      </c>
      <c r="P70" s="1">
        <v>-0.50693069306930694</v>
      </c>
      <c r="Q70" s="1">
        <v>1.5004957519549598</v>
      </c>
      <c r="R70" s="1">
        <v>2.2781146205968446</v>
      </c>
      <c r="S70" s="5">
        <v>0.49244656070156229</v>
      </c>
      <c r="T70" s="2">
        <v>0.70309859154929577</v>
      </c>
      <c r="U70" s="2">
        <v>0.69599999999999995</v>
      </c>
      <c r="V70" s="2">
        <v>0.44700000000000001</v>
      </c>
      <c r="W70" s="2">
        <v>0.65400000000000003</v>
      </c>
      <c r="X70" s="2">
        <v>0.39900000000000002</v>
      </c>
      <c r="Y70" s="4">
        <v>0.67339385065885793</v>
      </c>
      <c r="Z70" s="2">
        <v>-0.1339014084507042</v>
      </c>
      <c r="AA70" s="2">
        <v>-0.128</v>
      </c>
      <c r="AB70" s="2">
        <v>-0.13599999999999995</v>
      </c>
      <c r="AC70" s="2">
        <v>-0.13416047155478195</v>
      </c>
      <c r="AD70" s="2">
        <v>-3.6943004107519994E-2</v>
      </c>
      <c r="AE70" s="4">
        <v>-0.12460614934114211</v>
      </c>
      <c r="AF70" s="1">
        <v>-0.15997778787419856</v>
      </c>
      <c r="AG70" s="1">
        <v>-0.15533980582524273</v>
      </c>
      <c r="AH70" s="1">
        <v>-0.23327615780445962</v>
      </c>
      <c r="AI70" s="1">
        <v>-0.17021974127949777</v>
      </c>
      <c r="AJ70" s="1">
        <v>-8.474273875125303E-2</v>
      </c>
      <c r="AK70" s="5">
        <v>-0.15614805681847382</v>
      </c>
      <c r="AL70" s="2">
        <v>0.98647947288393312</v>
      </c>
      <c r="AM70" s="2">
        <v>0.99299999999999999</v>
      </c>
      <c r="AN70" s="2">
        <v>0.65900000000000003</v>
      </c>
      <c r="AO70" s="2">
        <v>0.98599999999999999</v>
      </c>
      <c r="AP70" s="2">
        <v>0.54700000000000004</v>
      </c>
      <c r="AQ70" s="4">
        <v>0.98647947288393312</v>
      </c>
      <c r="AR70" s="2">
        <v>0.92647947288393317</v>
      </c>
      <c r="AS70" s="2">
        <v>0.95599999999999996</v>
      </c>
      <c r="AT70" s="2">
        <v>0.65500000000000003</v>
      </c>
      <c r="AU70" s="2">
        <v>0.98599999999999999</v>
      </c>
      <c r="AV70" s="2">
        <v>0.54700000000000004</v>
      </c>
      <c r="AW70" s="4">
        <v>0.98647947288393312</v>
      </c>
      <c r="AX70" s="1">
        <v>15.441324548065554</v>
      </c>
      <c r="AY70" s="1">
        <v>25.837837837837839</v>
      </c>
      <c r="AZ70" s="1">
        <v>163.75</v>
      </c>
      <c r="BA70" s="1" t="e">
        <v>#DIV/0!</v>
      </c>
      <c r="BB70" s="1" t="e">
        <v>#DIV/0!</v>
      </c>
      <c r="BC70" s="5" t="e">
        <v>#DIV/0!</v>
      </c>
      <c r="BD70" s="3">
        <f>$BH$1*F70+$BH$2*X70</f>
        <v>0.18936000000000003</v>
      </c>
      <c r="BE70" s="3">
        <f>$BH$1*M70+$BH$2*AE70</f>
        <v>2.7508329464700013E-3</v>
      </c>
    </row>
    <row r="71" spans="1:57">
      <c r="A71" t="s">
        <v>124</v>
      </c>
      <c r="B71" s="2">
        <v>0.215</v>
      </c>
      <c r="C71" s="2">
        <v>0.11</v>
      </c>
      <c r="D71" s="2">
        <v>4.5999999999999999E-2</v>
      </c>
      <c r="E71" s="2">
        <v>0.13300000000000001</v>
      </c>
      <c r="F71" s="2">
        <v>4.9399999999999999E-2</v>
      </c>
      <c r="G71" s="4">
        <v>0.218</v>
      </c>
      <c r="H71" s="2">
        <v>-0.25600000000000001</v>
      </c>
      <c r="I71" s="2">
        <v>-0.26900000000000002</v>
      </c>
      <c r="J71" s="2">
        <v>-0.15600000000000003</v>
      </c>
      <c r="K71" s="2">
        <v>6.1814116216420509E-2</v>
      </c>
      <c r="L71" s="2">
        <v>3.4269351520426899E-2</v>
      </c>
      <c r="M71" s="4">
        <v>4.0000000000000008E-2</v>
      </c>
      <c r="N71" s="1">
        <v>-0.54352441613588109</v>
      </c>
      <c r="O71" s="1">
        <v>-0.70976253298153036</v>
      </c>
      <c r="P71" s="1">
        <v>-0.77227722772277241</v>
      </c>
      <c r="Q71" s="1">
        <v>0.86834794949443639</v>
      </c>
      <c r="R71" s="1">
        <v>2.2648964164815348</v>
      </c>
      <c r="S71" s="5">
        <v>0.22471910112359555</v>
      </c>
      <c r="T71" s="2">
        <v>0.72099999999999997</v>
      </c>
      <c r="U71" s="2">
        <v>0.70599999999999996</v>
      </c>
      <c r="V71" s="2">
        <v>0.45</v>
      </c>
      <c r="W71" s="2">
        <v>0.66800000000000004</v>
      </c>
      <c r="X71" s="2">
        <v>0.39500000000000002</v>
      </c>
      <c r="Y71" s="4">
        <v>0.68799999999999994</v>
      </c>
      <c r="Z71" s="2">
        <v>-0.11599999999999999</v>
      </c>
      <c r="AA71" s="2">
        <v>-0.11799999999999999</v>
      </c>
      <c r="AB71" s="2">
        <v>-0.13299999999999995</v>
      </c>
      <c r="AC71" s="2">
        <v>-0.12016047155478193</v>
      </c>
      <c r="AD71" s="2">
        <v>-4.0943004107519998E-2</v>
      </c>
      <c r="AE71" s="4">
        <v>-0.1100000000000001</v>
      </c>
      <c r="AF71" s="1">
        <v>-0.13859020310633213</v>
      </c>
      <c r="AG71" s="1">
        <v>-0.14320388349514562</v>
      </c>
      <c r="AH71" s="1">
        <v>-0.22813036020583183</v>
      </c>
      <c r="AI71" s="1">
        <v>-0.15245686112340137</v>
      </c>
      <c r="AJ71" s="1">
        <v>-9.3918250142217913E-2</v>
      </c>
      <c r="AK71" s="5">
        <v>-0.13784461152882216</v>
      </c>
      <c r="AL71" s="2">
        <v>0.99</v>
      </c>
      <c r="AM71" s="2">
        <v>0.99</v>
      </c>
      <c r="AN71" s="2">
        <v>0.71099999999999997</v>
      </c>
      <c r="AO71" s="2">
        <v>0.97899999999999998</v>
      </c>
      <c r="AP71" s="2">
        <v>0.58099999999999996</v>
      </c>
      <c r="AQ71" s="4">
        <v>0.98199999999999998</v>
      </c>
      <c r="AR71" s="2">
        <v>0.92999999999999994</v>
      </c>
      <c r="AS71" s="2">
        <v>0.95299999999999996</v>
      </c>
      <c r="AT71" s="2">
        <v>0.70699999999999996</v>
      </c>
      <c r="AU71" s="2">
        <v>0.97899999999999998</v>
      </c>
      <c r="AV71" s="2">
        <v>0.58099999999999996</v>
      </c>
      <c r="AW71" s="4">
        <v>0.98199999999999998</v>
      </c>
      <c r="AX71" s="1">
        <v>15.5</v>
      </c>
      <c r="AY71" s="1">
        <v>25.756756756756758</v>
      </c>
      <c r="AZ71" s="1">
        <v>176.75</v>
      </c>
      <c r="BA71" s="1" t="e">
        <v>#DIV/0!</v>
      </c>
      <c r="BB71" s="1" t="e">
        <v>#DIV/0!</v>
      </c>
      <c r="BC71" s="5" t="e">
        <v>#DIV/0!</v>
      </c>
      <c r="BD71" s="3">
        <f>$BH$1*F71+$BH$2*X71</f>
        <v>0.18764000000000003</v>
      </c>
      <c r="BE71" s="3">
        <f>$BH$1*M71+$BH$2*AE71</f>
        <v>-2.0000000000000035E-2</v>
      </c>
    </row>
    <row r="72" spans="1:57">
      <c r="A72" t="s">
        <v>194</v>
      </c>
      <c r="B72" s="2">
        <v>0.2082598607888631</v>
      </c>
      <c r="C72" s="2">
        <v>0.11</v>
      </c>
      <c r="D72" s="2">
        <v>4.1300000000000003E-2</v>
      </c>
      <c r="E72" s="2">
        <v>0.106</v>
      </c>
      <c r="F72" s="2">
        <v>3.9199999999999999E-2</v>
      </c>
      <c r="G72" s="4">
        <v>0.18985531914893616</v>
      </c>
      <c r="H72" s="2">
        <v>-0.26274013921113687</v>
      </c>
      <c r="I72" s="2">
        <v>-0.26900000000000002</v>
      </c>
      <c r="J72" s="2">
        <v>-0.16070000000000001</v>
      </c>
      <c r="K72" s="2">
        <v>3.4814116216420499E-2</v>
      </c>
      <c r="L72" s="2">
        <v>2.4069351520426899E-2</v>
      </c>
      <c r="M72" s="4">
        <v>1.1855319148936172E-2</v>
      </c>
      <c r="N72" s="1">
        <v>-0.55783469046950507</v>
      </c>
      <c r="O72" s="1">
        <v>-0.70976253298153036</v>
      </c>
      <c r="P72" s="1">
        <v>-0.79554455445544559</v>
      </c>
      <c r="Q72" s="1">
        <v>0.48905926801812211</v>
      </c>
      <c r="R72" s="1">
        <v>1.5907680066007321</v>
      </c>
      <c r="S72" s="5">
        <v>6.6602916567057149E-2</v>
      </c>
      <c r="T72" s="2">
        <v>0.72391250854408751</v>
      </c>
      <c r="U72" s="2">
        <v>0.70299999999999996</v>
      </c>
      <c r="V72" s="2">
        <v>0.46500000000000002</v>
      </c>
      <c r="W72" s="2">
        <v>0.66300000000000003</v>
      </c>
      <c r="X72" s="2">
        <v>0.40699999999999997</v>
      </c>
      <c r="Y72" s="4">
        <v>0.69351063829787241</v>
      </c>
      <c r="Z72" s="2">
        <v>-0.11308749145591246</v>
      </c>
      <c r="AA72" s="2">
        <v>-0.121</v>
      </c>
      <c r="AB72" s="2">
        <v>-0.11799999999999994</v>
      </c>
      <c r="AC72" s="2">
        <v>-0.12516047155478194</v>
      </c>
      <c r="AD72" s="2">
        <v>-2.8943004107520043E-2</v>
      </c>
      <c r="AE72" s="4">
        <v>-0.10448936170212764</v>
      </c>
      <c r="AF72" s="1">
        <v>-0.1351105035315561</v>
      </c>
      <c r="AG72" s="1">
        <v>-0.14684466019417475</v>
      </c>
      <c r="AH72" s="1">
        <v>-0.20240137221269289</v>
      </c>
      <c r="AI72" s="1">
        <v>-0.15880074689343579</v>
      </c>
      <c r="AJ72" s="1">
        <v>-6.6391715969323375E-2</v>
      </c>
      <c r="AK72" s="5">
        <v>-0.13093904975203963</v>
      </c>
      <c r="AL72" s="2">
        <v>0.9863416117587428</v>
      </c>
      <c r="AM72" s="2">
        <v>0.99399999999999999</v>
      </c>
      <c r="AN72" s="2">
        <v>0.74</v>
      </c>
      <c r="AO72" s="2">
        <v>0.99399999999999999</v>
      </c>
      <c r="AP72" s="2">
        <v>0.63200000000000001</v>
      </c>
      <c r="AQ72" s="4">
        <v>0.9863416117587428</v>
      </c>
      <c r="AR72" s="2">
        <v>0.92634161175874286</v>
      </c>
      <c r="AS72" s="2">
        <v>0.95699999999999996</v>
      </c>
      <c r="AT72" s="2">
        <v>0.73599999999999999</v>
      </c>
      <c r="AU72" s="2">
        <v>0.99399999999999999</v>
      </c>
      <c r="AV72" s="2">
        <v>0.63200000000000001</v>
      </c>
      <c r="AW72" s="4">
        <v>0.9863416117587428</v>
      </c>
      <c r="AX72" s="1">
        <v>15.439026862645715</v>
      </c>
      <c r="AY72" s="1">
        <v>25.864864864864867</v>
      </c>
      <c r="AZ72" s="1">
        <v>184</v>
      </c>
      <c r="BA72" s="1" t="e">
        <v>#DIV/0!</v>
      </c>
      <c r="BB72" s="1" t="e">
        <v>#DIV/0!</v>
      </c>
      <c r="BC72" s="5" t="e">
        <v>#DIV/0!</v>
      </c>
      <c r="BD72" s="3">
        <f>$BH$1*F72+$BH$2*X72</f>
        <v>0.18631999999999999</v>
      </c>
      <c r="BE72" s="3">
        <f>$BH$1*M72+$BH$2*AE72</f>
        <v>-3.4682553191489357E-2</v>
      </c>
    </row>
    <row r="73" spans="1:57">
      <c r="A73" t="s">
        <v>184</v>
      </c>
      <c r="B73" s="2">
        <v>0.26604051565377529</v>
      </c>
      <c r="C73" s="2">
        <v>0.14899999999999999</v>
      </c>
      <c r="D73" s="2">
        <v>5.1799999999999999E-2</v>
      </c>
      <c r="E73" s="2">
        <v>0.14099999999999999</v>
      </c>
      <c r="F73" s="2">
        <v>5.5399999999999998E-2</v>
      </c>
      <c r="G73" s="4">
        <v>0.232989604989605</v>
      </c>
      <c r="H73" s="2">
        <v>-0.20495948434622469</v>
      </c>
      <c r="I73" s="2">
        <v>-0.23</v>
      </c>
      <c r="J73" s="2">
        <v>-0.1502</v>
      </c>
      <c r="K73" s="2">
        <v>6.9814116216420488E-2</v>
      </c>
      <c r="L73" s="2">
        <v>4.0269351520426898E-2</v>
      </c>
      <c r="M73" s="4">
        <v>5.4989604989605007E-2</v>
      </c>
      <c r="N73" s="1">
        <v>-0.43515814086247284</v>
      </c>
      <c r="O73" s="1">
        <v>-0.60686015831134565</v>
      </c>
      <c r="P73" s="1">
        <v>-0.74356435643564356</v>
      </c>
      <c r="Q73" s="1">
        <v>0.98072978104297359</v>
      </c>
      <c r="R73" s="1">
        <v>2.6614425399408308</v>
      </c>
      <c r="S73" s="5">
        <v>0.30893036511014049</v>
      </c>
      <c r="T73" s="2">
        <v>0.69137535816618911</v>
      </c>
      <c r="U73" s="2">
        <v>0.66500000000000004</v>
      </c>
      <c r="V73" s="2">
        <v>0.41899999999999998</v>
      </c>
      <c r="W73" s="2">
        <v>0.63500000000000001</v>
      </c>
      <c r="X73" s="2">
        <v>0.38200000000000001</v>
      </c>
      <c r="Y73" s="4">
        <v>0.66543976348854406</v>
      </c>
      <c r="Z73" s="2">
        <v>-0.14562464183381085</v>
      </c>
      <c r="AA73" s="2">
        <v>-0.15899999999999992</v>
      </c>
      <c r="AB73" s="2">
        <v>-0.16399999999999998</v>
      </c>
      <c r="AC73" s="2">
        <v>-0.15316047155478196</v>
      </c>
      <c r="AD73" s="2">
        <v>-5.394300410752001E-2</v>
      </c>
      <c r="AE73" s="4">
        <v>-0.13256023651145599</v>
      </c>
      <c r="AF73" s="1">
        <v>-0.17398404042271309</v>
      </c>
      <c r="AG73" s="1">
        <v>-0.1929611650485436</v>
      </c>
      <c r="AH73" s="1">
        <v>-0.281303602058319</v>
      </c>
      <c r="AI73" s="1">
        <v>-0.19432650720562858</v>
      </c>
      <c r="AJ73" s="1">
        <v>-0.12373866216285381</v>
      </c>
      <c r="AK73" s="5">
        <v>-0.16611558460082204</v>
      </c>
      <c r="AL73" s="2">
        <v>0.9666604651162789</v>
      </c>
      <c r="AM73" s="2">
        <v>0.98199999999999998</v>
      </c>
      <c r="AN73" s="2">
        <v>0.68899999999999995</v>
      </c>
      <c r="AO73" s="2">
        <v>0.97399999999999998</v>
      </c>
      <c r="AP73" s="2">
        <v>0.57899999999999996</v>
      </c>
      <c r="AQ73" s="4">
        <v>0.9666604651162789</v>
      </c>
      <c r="AR73" s="2">
        <v>0.90666046511627885</v>
      </c>
      <c r="AS73" s="2">
        <v>0.94499999999999995</v>
      </c>
      <c r="AT73" s="2">
        <v>0.68499999999999994</v>
      </c>
      <c r="AU73" s="2">
        <v>0.97399999999999998</v>
      </c>
      <c r="AV73" s="2">
        <v>0.57899999999999996</v>
      </c>
      <c r="AW73" s="4">
        <v>0.9666604651162789</v>
      </c>
      <c r="AX73" s="1">
        <v>15.111007751937981</v>
      </c>
      <c r="AY73" s="1">
        <v>25.54054054054054</v>
      </c>
      <c r="AZ73" s="1">
        <v>171.24999999999997</v>
      </c>
      <c r="BA73" s="1" t="e">
        <v>#DIV/0!</v>
      </c>
      <c r="BB73" s="1" t="e">
        <v>#DIV/0!</v>
      </c>
      <c r="BC73" s="5" t="e">
        <v>#DIV/0!</v>
      </c>
      <c r="BD73" s="3">
        <f>$BH$1*F73+$BH$2*X73</f>
        <v>0.18604000000000001</v>
      </c>
      <c r="BE73" s="3">
        <f>$BH$1*M73+$BH$2*AE73</f>
        <v>-2.0030331610819394E-2</v>
      </c>
    </row>
    <row r="74" spans="1:57">
      <c r="A74" t="s">
        <v>203</v>
      </c>
      <c r="B74" s="2">
        <v>0.28387323943661974</v>
      </c>
      <c r="C74" s="2">
        <v>0.192</v>
      </c>
      <c r="D74" s="2">
        <v>7.17E-2</v>
      </c>
      <c r="E74" s="2">
        <v>0.14299999999999999</v>
      </c>
      <c r="F74" s="2">
        <v>5.5E-2</v>
      </c>
      <c r="G74" s="4">
        <v>0.22488888888888892</v>
      </c>
      <c r="H74" s="2">
        <v>-0.18712676056338023</v>
      </c>
      <c r="I74" s="2">
        <v>-0.187</v>
      </c>
      <c r="J74" s="2">
        <v>-0.13030000000000003</v>
      </c>
      <c r="K74" s="2">
        <v>7.181411621642049E-2</v>
      </c>
      <c r="L74" s="2">
        <v>3.98693515204269E-2</v>
      </c>
      <c r="M74" s="4">
        <v>4.6888888888888924E-2</v>
      </c>
      <c r="N74" s="1">
        <v>-0.39729673155707057</v>
      </c>
      <c r="O74" s="1">
        <v>-0.49340369393139843</v>
      </c>
      <c r="P74" s="1">
        <v>-0.64504950495049518</v>
      </c>
      <c r="Q74" s="1">
        <v>1.008825238930108</v>
      </c>
      <c r="R74" s="1">
        <v>2.6350061317102109</v>
      </c>
      <c r="S74" s="5">
        <v>0.2634207240948816</v>
      </c>
      <c r="T74" s="2">
        <v>0.70403248587570633</v>
      </c>
      <c r="U74" s="2">
        <v>0.69099999999999995</v>
      </c>
      <c r="V74" s="2">
        <v>0.44</v>
      </c>
      <c r="W74" s="2">
        <v>0.63700000000000001</v>
      </c>
      <c r="X74" s="2">
        <v>0.376</v>
      </c>
      <c r="Y74" s="4">
        <v>0.66187846961740426</v>
      </c>
      <c r="Z74" s="2">
        <v>-0.13296751412429364</v>
      </c>
      <c r="AA74" s="2">
        <v>-0.13300000000000001</v>
      </c>
      <c r="AB74" s="2">
        <v>-0.14299999999999996</v>
      </c>
      <c r="AC74" s="2">
        <v>-0.15116047155478196</v>
      </c>
      <c r="AD74" s="2">
        <v>-5.9943004107520015E-2</v>
      </c>
      <c r="AE74" s="4">
        <v>-0.13612153038259578</v>
      </c>
      <c r="AF74" s="1">
        <v>-0.15886202404336158</v>
      </c>
      <c r="AG74" s="1">
        <v>-0.16140776699029127</v>
      </c>
      <c r="AH74" s="1">
        <v>-0.24528301886792447</v>
      </c>
      <c r="AI74" s="1">
        <v>-0.19178895289761483</v>
      </c>
      <c r="AJ74" s="1">
        <v>-0.13750192924930113</v>
      </c>
      <c r="AK74" s="5">
        <v>-0.17057835887543329</v>
      </c>
      <c r="AL74" s="2">
        <v>0.99042705704189793</v>
      </c>
      <c r="AM74" s="2">
        <v>0.995</v>
      </c>
      <c r="AN74" s="2">
        <v>0.73099999999999998</v>
      </c>
      <c r="AO74" s="2">
        <v>0.995</v>
      </c>
      <c r="AP74" s="2">
        <v>0.51900000000000002</v>
      </c>
      <c r="AQ74" s="4">
        <v>0.99042705704189793</v>
      </c>
      <c r="AR74" s="2">
        <v>0.93042705704189799</v>
      </c>
      <c r="AS74" s="2">
        <v>0.95799999999999996</v>
      </c>
      <c r="AT74" s="2">
        <v>0.72699999999999998</v>
      </c>
      <c r="AU74" s="2">
        <v>0.995</v>
      </c>
      <c r="AV74" s="2">
        <v>0.51900000000000002</v>
      </c>
      <c r="AW74" s="4">
        <v>0.99042705704189793</v>
      </c>
      <c r="AX74" s="1">
        <v>15.507117617364967</v>
      </c>
      <c r="AY74" s="1">
        <v>25.891891891891891</v>
      </c>
      <c r="AZ74" s="1">
        <v>181.75</v>
      </c>
      <c r="BA74" s="1" t="e">
        <v>#DIV/0!</v>
      </c>
      <c r="BB74" s="1" t="e">
        <v>#DIV/0!</v>
      </c>
      <c r="BC74" s="5" t="e">
        <v>#DIV/0!</v>
      </c>
      <c r="BD74" s="3">
        <f>$BH$1*F74+$BH$2*X74</f>
        <v>0.18340000000000001</v>
      </c>
      <c r="BE74" s="3">
        <f>$BH$1*M74+$BH$2*AE74</f>
        <v>-2.6315278819704958E-2</v>
      </c>
    </row>
    <row r="75" spans="1:57">
      <c r="A75" t="s">
        <v>191</v>
      </c>
      <c r="B75" s="2">
        <v>0.1683850267379679</v>
      </c>
      <c r="C75" s="2">
        <v>0.10100000000000001</v>
      </c>
      <c r="D75" s="2">
        <v>4.3400000000000001E-2</v>
      </c>
      <c r="E75" s="2">
        <v>0.104</v>
      </c>
      <c r="F75" s="2">
        <v>3.4700000000000002E-2</v>
      </c>
      <c r="G75" s="4">
        <v>0.16595238095238093</v>
      </c>
      <c r="H75" s="2">
        <v>-0.30261497326203207</v>
      </c>
      <c r="I75" s="2">
        <v>-0.27800000000000002</v>
      </c>
      <c r="J75" s="2">
        <v>-0.15860000000000002</v>
      </c>
      <c r="K75" s="2">
        <v>3.2814116216420497E-2</v>
      </c>
      <c r="L75" s="2">
        <v>1.9569351520426902E-2</v>
      </c>
      <c r="M75" s="4">
        <v>-1.2047619047619057E-2</v>
      </c>
      <c r="N75" s="1">
        <v>-0.64249463537586426</v>
      </c>
      <c r="O75" s="1">
        <v>-0.73350923482849606</v>
      </c>
      <c r="P75" s="1">
        <v>-0.78514851485148518</v>
      </c>
      <c r="Q75" s="1">
        <v>0.46096381013098769</v>
      </c>
      <c r="R75" s="1">
        <v>1.2933584140062606</v>
      </c>
      <c r="S75" s="5">
        <v>-6.768325307651156E-2</v>
      </c>
      <c r="T75" s="2">
        <v>0.69836221590909087</v>
      </c>
      <c r="U75" s="2">
        <v>0.67800000000000005</v>
      </c>
      <c r="V75" s="2">
        <v>0.44500000000000001</v>
      </c>
      <c r="W75" s="2">
        <v>0.65</v>
      </c>
      <c r="X75" s="2">
        <v>0.40100000000000002</v>
      </c>
      <c r="Y75" s="4">
        <v>0.67135526315789473</v>
      </c>
      <c r="Z75" s="2">
        <v>-0.1386377840909091</v>
      </c>
      <c r="AA75" s="2">
        <v>-0.14599999999999991</v>
      </c>
      <c r="AB75" s="2">
        <v>-0.13799999999999996</v>
      </c>
      <c r="AC75" s="2">
        <v>-0.13816047155478195</v>
      </c>
      <c r="AD75" s="2">
        <v>-3.4943004107519993E-2</v>
      </c>
      <c r="AE75" s="4">
        <v>-0.12664473684210531</v>
      </c>
      <c r="AF75" s="1">
        <v>-0.16563654013250789</v>
      </c>
      <c r="AG75" s="1">
        <v>-0.17718446601941737</v>
      </c>
      <c r="AH75" s="1">
        <v>-0.23670668953687815</v>
      </c>
      <c r="AI75" s="1">
        <v>-0.1752948498955253</v>
      </c>
      <c r="AJ75" s="1">
        <v>-8.0154983055770582E-2</v>
      </c>
      <c r="AK75" s="5">
        <v>-0.15870267774699912</v>
      </c>
      <c r="AL75" s="2">
        <v>0.97654861821903782</v>
      </c>
      <c r="AM75" s="2">
        <v>0.98</v>
      </c>
      <c r="AN75" s="2">
        <v>0.71099999999999997</v>
      </c>
      <c r="AO75" s="2">
        <v>0.98</v>
      </c>
      <c r="AP75" s="2">
        <v>0.63200000000000001</v>
      </c>
      <c r="AQ75" s="4">
        <v>0.97654861821903782</v>
      </c>
      <c r="AR75" s="2">
        <v>0.91654861821903788</v>
      </c>
      <c r="AS75" s="2">
        <v>0.94299999999999995</v>
      </c>
      <c r="AT75" s="2">
        <v>0.70699999999999996</v>
      </c>
      <c r="AU75" s="2">
        <v>0.98</v>
      </c>
      <c r="AV75" s="2">
        <v>0.63200000000000001</v>
      </c>
      <c r="AW75" s="4">
        <v>0.97654861821903782</v>
      </c>
      <c r="AX75" s="1">
        <v>15.275810303650632</v>
      </c>
      <c r="AY75" s="1">
        <v>25.486486486486488</v>
      </c>
      <c r="AZ75" s="1">
        <v>176.75</v>
      </c>
      <c r="BA75" s="1" t="e">
        <v>#DIV/0!</v>
      </c>
      <c r="BB75" s="1" t="e">
        <v>#DIV/0!</v>
      </c>
      <c r="BC75" s="5" t="e">
        <v>#DIV/0!</v>
      </c>
      <c r="BD75" s="3">
        <f>$BH$1*F75+$BH$2*X75</f>
        <v>0.18122000000000002</v>
      </c>
      <c r="BE75" s="3">
        <f>$BH$1*M75+$BH$2*AE75</f>
        <v>-5.7886466165413555E-2</v>
      </c>
    </row>
    <row r="76" spans="1:57">
      <c r="A76" t="s">
        <v>170</v>
      </c>
      <c r="B76" s="2">
        <v>0.23175475687103597</v>
      </c>
      <c r="C76" s="2">
        <v>0.16</v>
      </c>
      <c r="D76" s="2">
        <v>6.0600000000000001E-2</v>
      </c>
      <c r="E76" s="2">
        <v>0.129</v>
      </c>
      <c r="F76" s="2">
        <v>4.2099999999999999E-2</v>
      </c>
      <c r="G76" s="4">
        <v>0.20385922330097089</v>
      </c>
      <c r="H76" s="2">
        <v>-0.239245243128964</v>
      </c>
      <c r="I76" s="2">
        <v>-0.219</v>
      </c>
      <c r="J76" s="2">
        <v>-0.14140000000000003</v>
      </c>
      <c r="K76" s="2">
        <v>5.7814116216420505E-2</v>
      </c>
      <c r="L76" s="2">
        <v>2.6969351520426899E-2</v>
      </c>
      <c r="M76" s="4">
        <v>2.5859223300970902E-2</v>
      </c>
      <c r="N76" s="1">
        <v>-0.50795168392561363</v>
      </c>
      <c r="O76" s="1">
        <v>-0.57783641160949872</v>
      </c>
      <c r="P76" s="1">
        <v>-0.70000000000000007</v>
      </c>
      <c r="Q76" s="1">
        <v>0.81215703372016756</v>
      </c>
      <c r="R76" s="1">
        <v>1.782431966272725</v>
      </c>
      <c r="S76" s="5">
        <v>0.14527653539871294</v>
      </c>
      <c r="T76" s="2">
        <v>0.69265384615384618</v>
      </c>
      <c r="U76" s="2">
        <v>0.67200000000000004</v>
      </c>
      <c r="V76" s="2">
        <v>0.42699999999999999</v>
      </c>
      <c r="W76" s="2">
        <v>0.64200000000000002</v>
      </c>
      <c r="X76" s="2">
        <v>0.38900000000000001</v>
      </c>
      <c r="Y76" s="4">
        <v>0.66936857562408214</v>
      </c>
      <c r="Z76" s="2">
        <v>-0.14434615384615379</v>
      </c>
      <c r="AA76" s="2">
        <v>-0.15199999999999991</v>
      </c>
      <c r="AB76" s="2">
        <v>-0.15599999999999997</v>
      </c>
      <c r="AC76" s="2">
        <v>-0.14616047155478196</v>
      </c>
      <c r="AD76" s="2">
        <v>-4.6943004107520003E-2</v>
      </c>
      <c r="AE76" s="4">
        <v>-0.1286314243759179</v>
      </c>
      <c r="AF76" s="1">
        <v>-0.17245657568238207</v>
      </c>
      <c r="AG76" s="1">
        <v>-0.18446601941747565</v>
      </c>
      <c r="AH76" s="1">
        <v>-0.26758147512864489</v>
      </c>
      <c r="AI76" s="1">
        <v>-0.18544506712758038</v>
      </c>
      <c r="AJ76" s="1">
        <v>-0.10768151722866526</v>
      </c>
      <c r="AK76" s="5">
        <v>-0.16119226112270413</v>
      </c>
      <c r="AL76" s="2">
        <v>0.99042705704189793</v>
      </c>
      <c r="AM76" s="2">
        <v>0.99399999999999999</v>
      </c>
      <c r="AN76" s="2">
        <v>0.73</v>
      </c>
      <c r="AO76" s="2">
        <v>0.99399999999999999</v>
      </c>
      <c r="AP76" s="2">
        <v>0.624</v>
      </c>
      <c r="AQ76" s="4">
        <v>0.99042705704189793</v>
      </c>
      <c r="AR76" s="2">
        <v>0.93042705704189799</v>
      </c>
      <c r="AS76" s="2">
        <v>0.95699999999999996</v>
      </c>
      <c r="AT76" s="2">
        <v>0.72599999999999998</v>
      </c>
      <c r="AU76" s="2">
        <v>0.99399999999999999</v>
      </c>
      <c r="AV76" s="2">
        <v>0.624</v>
      </c>
      <c r="AW76" s="4">
        <v>0.99042705704189793</v>
      </c>
      <c r="AX76" s="1">
        <v>15.507117617364967</v>
      </c>
      <c r="AY76" s="1">
        <v>25.864864864864867</v>
      </c>
      <c r="AZ76" s="1">
        <v>181.5</v>
      </c>
      <c r="BA76" s="1" t="e">
        <v>#DIV/0!</v>
      </c>
      <c r="BB76" s="1" t="e">
        <v>#DIV/0!</v>
      </c>
      <c r="BC76" s="5" t="e">
        <v>#DIV/0!</v>
      </c>
      <c r="BD76" s="3">
        <f>$BH$1*F76+$BH$2*X76</f>
        <v>0.18086000000000002</v>
      </c>
      <c r="BE76" s="3">
        <f>$BH$1*M76+$BH$2*AE76</f>
        <v>-3.5937035769784617E-2</v>
      </c>
    </row>
    <row r="77" spans="1:57">
      <c r="A77" t="s">
        <v>205</v>
      </c>
      <c r="B77" s="2">
        <v>0.26959028831562976</v>
      </c>
      <c r="C77" s="2">
        <v>0.19800000000000001</v>
      </c>
      <c r="D77" s="2">
        <v>7.8700000000000006E-2</v>
      </c>
      <c r="E77" s="2">
        <v>0.128</v>
      </c>
      <c r="F77" s="2">
        <v>4.4400000000000002E-2</v>
      </c>
      <c r="G77" s="4">
        <v>0.21222175732217574</v>
      </c>
      <c r="H77" s="2">
        <v>-0.20140971168437022</v>
      </c>
      <c r="I77" s="2">
        <v>-0.18099999999999999</v>
      </c>
      <c r="J77" s="2">
        <v>-0.12330000000000001</v>
      </c>
      <c r="K77" s="2">
        <v>5.6814116216420504E-2</v>
      </c>
      <c r="L77" s="2">
        <v>2.9269351520426902E-2</v>
      </c>
      <c r="M77" s="4">
        <v>3.422175732217575E-2</v>
      </c>
      <c r="N77" s="1">
        <v>-0.42762146854431049</v>
      </c>
      <c r="O77" s="1">
        <v>-0.47757255936675458</v>
      </c>
      <c r="P77" s="1">
        <v>-0.61039603960396038</v>
      </c>
      <c r="Q77" s="1">
        <v>0.79810930477660036</v>
      </c>
      <c r="R77" s="1">
        <v>1.9344413135987886</v>
      </c>
      <c r="S77" s="5">
        <v>0.19225706360772893</v>
      </c>
      <c r="T77" s="2">
        <v>0.67706744868035185</v>
      </c>
      <c r="U77" s="2">
        <v>0.66800000000000004</v>
      </c>
      <c r="V77" s="2">
        <v>0.41499999999999998</v>
      </c>
      <c r="W77" s="2">
        <v>0.63100000000000001</v>
      </c>
      <c r="X77" s="2">
        <v>0.375</v>
      </c>
      <c r="Y77" s="4">
        <v>0.64935262757044931</v>
      </c>
      <c r="Z77" s="2">
        <v>-0.15993255131964812</v>
      </c>
      <c r="AA77" s="2">
        <v>-0.15599999999999992</v>
      </c>
      <c r="AB77" s="2">
        <v>-0.16799999999999998</v>
      </c>
      <c r="AC77" s="2">
        <v>-0.15716047155478197</v>
      </c>
      <c r="AD77" s="2">
        <v>-6.0943004107520016E-2</v>
      </c>
      <c r="AE77" s="4">
        <v>-0.14864737242955073</v>
      </c>
      <c r="AF77" s="1">
        <v>-0.19107831698882691</v>
      </c>
      <c r="AG77" s="1">
        <v>-0.18932038834951448</v>
      </c>
      <c r="AH77" s="1">
        <v>-0.28816466552315606</v>
      </c>
      <c r="AI77" s="1">
        <v>-0.19940161582165614</v>
      </c>
      <c r="AJ77" s="1">
        <v>-0.13979580709704237</v>
      </c>
      <c r="AK77" s="5">
        <v>-0.1862749027939232</v>
      </c>
      <c r="AL77" s="2">
        <v>0.96047891723060907</v>
      </c>
      <c r="AM77" s="2">
        <v>0.96499999999999997</v>
      </c>
      <c r="AN77" s="2">
        <v>0.66400000000000003</v>
      </c>
      <c r="AO77" s="2">
        <v>0.98499999999999999</v>
      </c>
      <c r="AP77" s="2">
        <v>0.53800000000000003</v>
      </c>
      <c r="AQ77" s="4">
        <v>0.97747928388746808</v>
      </c>
      <c r="AR77" s="2">
        <v>0.90047891723060913</v>
      </c>
      <c r="AS77" s="2">
        <v>0.92799999999999994</v>
      </c>
      <c r="AT77" s="2">
        <v>0.66</v>
      </c>
      <c r="AU77" s="2">
        <v>0.98499999999999999</v>
      </c>
      <c r="AV77" s="2">
        <v>0.53800000000000003</v>
      </c>
      <c r="AW77" s="4">
        <v>0.97747928388746808</v>
      </c>
      <c r="AX77" s="1">
        <v>15.007981953843487</v>
      </c>
      <c r="AY77" s="1">
        <v>25.081081081081081</v>
      </c>
      <c r="AZ77" s="1">
        <v>165</v>
      </c>
      <c r="BA77" s="1" t="e">
        <v>#DIV/0!</v>
      </c>
      <c r="BB77" s="1" t="e">
        <v>#DIV/0!</v>
      </c>
      <c r="BC77" s="5" t="e">
        <v>#DIV/0!</v>
      </c>
      <c r="BD77" s="3">
        <f>$BH$1*F77+$BH$2*X77</f>
        <v>0.17664000000000002</v>
      </c>
      <c r="BE77" s="3">
        <f>$BH$1*M77+$BH$2*AE77</f>
        <v>-3.892589457851485E-2</v>
      </c>
    </row>
    <row r="78" spans="1:57">
      <c r="A78" t="s">
        <v>201</v>
      </c>
      <c r="B78" s="2">
        <v>0.25446931407942236</v>
      </c>
      <c r="C78" s="2">
        <v>0.14299999999999999</v>
      </c>
      <c r="D78" s="2">
        <v>5.8999999999999997E-2</v>
      </c>
      <c r="E78" s="2">
        <v>0.105</v>
      </c>
      <c r="F78" s="2">
        <v>3.2300000000000002E-2</v>
      </c>
      <c r="G78" s="4">
        <v>0.19035545023696684</v>
      </c>
      <c r="H78" s="2">
        <v>-0.21653068592057761</v>
      </c>
      <c r="I78" s="2">
        <v>-0.23600000000000002</v>
      </c>
      <c r="J78" s="2">
        <v>-0.14300000000000002</v>
      </c>
      <c r="K78" s="2">
        <v>3.3814116216420498E-2</v>
      </c>
      <c r="L78" s="2">
        <v>1.7169351520426902E-2</v>
      </c>
      <c r="M78" s="4">
        <v>1.2355450236966853E-2</v>
      </c>
      <c r="N78" s="1">
        <v>-0.45972544781438984</v>
      </c>
      <c r="O78" s="1">
        <v>-0.62269129287598945</v>
      </c>
      <c r="P78" s="1">
        <v>-0.70792079207920799</v>
      </c>
      <c r="Q78" s="1">
        <v>0.4750115390745549</v>
      </c>
      <c r="R78" s="1">
        <v>1.1347399646225422</v>
      </c>
      <c r="S78" s="5">
        <v>6.9412641780712658E-2</v>
      </c>
      <c r="T78" s="2">
        <v>0.70348732394366198</v>
      </c>
      <c r="U78" s="2">
        <v>0.68400000000000005</v>
      </c>
      <c r="V78" s="2">
        <v>0.438</v>
      </c>
      <c r="W78" s="2">
        <v>0.63800000000000001</v>
      </c>
      <c r="X78" s="2">
        <v>0.379</v>
      </c>
      <c r="Y78" s="4">
        <v>0.66486329866270422</v>
      </c>
      <c r="Z78" s="2">
        <v>-0.13351267605633799</v>
      </c>
      <c r="AA78" s="2">
        <v>-0.1399999999999999</v>
      </c>
      <c r="AB78" s="2">
        <v>-0.14499999999999996</v>
      </c>
      <c r="AC78" s="2">
        <v>-0.15016047155478196</v>
      </c>
      <c r="AD78" s="2">
        <v>-5.6943004107520012E-2</v>
      </c>
      <c r="AE78" s="4">
        <v>-0.13313670133729583</v>
      </c>
      <c r="AF78" s="1">
        <v>-0.15951335251653284</v>
      </c>
      <c r="AG78" s="1">
        <v>-0.16990291262135912</v>
      </c>
      <c r="AH78" s="1">
        <v>-0.248713550600343</v>
      </c>
      <c r="AI78" s="1">
        <v>-0.19052017574360794</v>
      </c>
      <c r="AJ78" s="1">
        <v>-0.13062029570607747</v>
      </c>
      <c r="AK78" s="5">
        <v>-0.16683797160062133</v>
      </c>
      <c r="AL78" s="2">
        <v>0.99497487437185916</v>
      </c>
      <c r="AM78" s="2">
        <v>0.995</v>
      </c>
      <c r="AN78" s="2">
        <v>0.70599999999999996</v>
      </c>
      <c r="AO78" s="2">
        <v>0.995</v>
      </c>
      <c r="AP78" s="2">
        <v>0.55700000000000005</v>
      </c>
      <c r="AQ78" s="4">
        <v>0.99497487437185916</v>
      </c>
      <c r="AR78" s="2">
        <v>0.93497487437185911</v>
      </c>
      <c r="AS78" s="2">
        <v>0.95799999999999996</v>
      </c>
      <c r="AT78" s="2">
        <v>0.70199999999999996</v>
      </c>
      <c r="AU78" s="2">
        <v>0.995</v>
      </c>
      <c r="AV78" s="2">
        <v>0.55700000000000005</v>
      </c>
      <c r="AW78" s="4">
        <v>0.99497487437185916</v>
      </c>
      <c r="AX78" s="1">
        <v>15.582914572864318</v>
      </c>
      <c r="AY78" s="1">
        <v>25.891891891891891</v>
      </c>
      <c r="AZ78" s="1">
        <v>175.49999999999997</v>
      </c>
      <c r="BA78" s="1" t="e">
        <v>#DIV/0!</v>
      </c>
      <c r="BB78" s="1" t="e">
        <v>#DIV/0!</v>
      </c>
      <c r="BC78" s="5" t="e">
        <v>#DIV/0!</v>
      </c>
      <c r="BD78" s="3">
        <f>$BH$1*F78+$BH$2*X78</f>
        <v>0.17098000000000002</v>
      </c>
      <c r="BE78" s="3">
        <f>$BH$1*M78+$BH$2*AE78</f>
        <v>-4.5841410392738216E-2</v>
      </c>
    </row>
    <row r="79" spans="1:57">
      <c r="A79" t="s">
        <v>208</v>
      </c>
      <c r="B79" s="2">
        <v>0.27773755656108601</v>
      </c>
      <c r="C79" s="2">
        <v>0.185</v>
      </c>
      <c r="D79" s="2">
        <v>7.2099999999999997E-2</v>
      </c>
      <c r="E79" s="2">
        <v>0.152</v>
      </c>
      <c r="F79" s="2">
        <v>4.5400000000000003E-2</v>
      </c>
      <c r="G79" s="4">
        <v>0.24644091710758378</v>
      </c>
      <c r="H79" s="2">
        <v>-0.19326244343891397</v>
      </c>
      <c r="I79" s="2">
        <v>-0.19400000000000001</v>
      </c>
      <c r="J79" s="2">
        <v>-0.12990000000000002</v>
      </c>
      <c r="K79" s="2">
        <v>8.0814116216420498E-2</v>
      </c>
      <c r="L79" s="2">
        <v>3.0269351520426903E-2</v>
      </c>
      <c r="M79" s="4">
        <v>6.8440917107583793E-2</v>
      </c>
      <c r="N79" s="1">
        <v>-0.41032365910597446</v>
      </c>
      <c r="O79" s="1">
        <v>-0.51187335092348285</v>
      </c>
      <c r="P79" s="1">
        <v>-0.64306930693069309</v>
      </c>
      <c r="Q79" s="1">
        <v>1.1352547994222129</v>
      </c>
      <c r="R79" s="1">
        <v>2.0005323341753378</v>
      </c>
      <c r="S79" s="5">
        <v>0.38449953431226852</v>
      </c>
      <c r="T79" s="2">
        <v>0.66570839469808529</v>
      </c>
      <c r="U79" s="2">
        <v>0.65800000000000003</v>
      </c>
      <c r="V79" s="2">
        <v>0.41499999999999998</v>
      </c>
      <c r="W79" s="2">
        <v>0.61199999999999999</v>
      </c>
      <c r="X79" s="2">
        <v>0.35699999999999998</v>
      </c>
      <c r="Y79" s="4">
        <v>0.62698363211223695</v>
      </c>
      <c r="Z79" s="2">
        <v>-0.17129160530191467</v>
      </c>
      <c r="AA79" s="2">
        <v>-0.16599999999999993</v>
      </c>
      <c r="AB79" s="2">
        <v>-0.16799999999999998</v>
      </c>
      <c r="AC79" s="2">
        <v>-0.17616047155478198</v>
      </c>
      <c r="AD79" s="2">
        <v>-7.8943004107520032E-2</v>
      </c>
      <c r="AE79" s="4">
        <v>-0.17101636788776309</v>
      </c>
      <c r="AF79" s="1">
        <v>-0.20464946870001754</v>
      </c>
      <c r="AG79" s="1">
        <v>-0.20145631067961156</v>
      </c>
      <c r="AH79" s="1">
        <v>-0.28816466552315606</v>
      </c>
      <c r="AI79" s="1">
        <v>-0.22350838174778695</v>
      </c>
      <c r="AJ79" s="1">
        <v>-0.18108560835638438</v>
      </c>
      <c r="AK79" s="5">
        <v>-0.214306225423262</v>
      </c>
      <c r="AL79" s="2">
        <v>0.9863416117587428</v>
      </c>
      <c r="AM79" s="2">
        <v>0.99399999999999999</v>
      </c>
      <c r="AN79" s="2">
        <v>0.70299999999999996</v>
      </c>
      <c r="AO79" s="2">
        <v>0.99399999999999999</v>
      </c>
      <c r="AP79" s="2">
        <v>0.57199999999999995</v>
      </c>
      <c r="AQ79" s="4">
        <v>0.9863416117587428</v>
      </c>
      <c r="AR79" s="2">
        <v>0.92634161175874286</v>
      </c>
      <c r="AS79" s="2">
        <v>0.95699999999999996</v>
      </c>
      <c r="AT79" s="2">
        <v>0.69899999999999995</v>
      </c>
      <c r="AU79" s="2">
        <v>0.99399999999999999</v>
      </c>
      <c r="AV79" s="2">
        <v>0.57199999999999995</v>
      </c>
      <c r="AW79" s="4">
        <v>0.9863416117587428</v>
      </c>
      <c r="AX79" s="1">
        <v>15.439026862645715</v>
      </c>
      <c r="AY79" s="1">
        <v>25.864864864864867</v>
      </c>
      <c r="AZ79" s="1">
        <v>174.74999999999997</v>
      </c>
      <c r="BA79" s="1" t="e">
        <v>#DIV/0!</v>
      </c>
      <c r="BB79" s="1" t="e">
        <v>#DIV/0!</v>
      </c>
      <c r="BC79" s="5" t="e">
        <v>#DIV/0!</v>
      </c>
      <c r="BD79" s="3">
        <f>$BH$1*F79+$BH$2*X79</f>
        <v>0.17004000000000002</v>
      </c>
      <c r="BE79" s="3">
        <f>$BH$1*M79+$BH$2*AE79</f>
        <v>-2.7341996890554957E-2</v>
      </c>
    </row>
    <row r="80" spans="1:57">
      <c r="A80" t="s">
        <v>101</v>
      </c>
      <c r="B80" s="2">
        <v>0.28299999999999997</v>
      </c>
      <c r="C80" s="2">
        <v>0.19600000000000001</v>
      </c>
      <c r="D80" s="2">
        <v>5.8999999999999997E-2</v>
      </c>
      <c r="E80" s="2">
        <v>0.14499999999999999</v>
      </c>
      <c r="F80" s="2">
        <v>4.7399999999999998E-2</v>
      </c>
      <c r="G80" s="4">
        <v>0.23599999999999999</v>
      </c>
      <c r="H80" s="2">
        <v>-0.188</v>
      </c>
      <c r="I80" s="2">
        <v>-0.183</v>
      </c>
      <c r="J80" s="2">
        <v>-0.14300000000000002</v>
      </c>
      <c r="K80" s="2">
        <v>7.3814116216420492E-2</v>
      </c>
      <c r="L80" s="2">
        <v>3.2269351520426898E-2</v>
      </c>
      <c r="M80" s="4">
        <v>5.7999999999999996E-2</v>
      </c>
      <c r="N80" s="1">
        <v>-0.39915074309978771</v>
      </c>
      <c r="O80" s="1">
        <v>-0.48284960422163586</v>
      </c>
      <c r="P80" s="1">
        <v>-0.70792079207920799</v>
      </c>
      <c r="Q80" s="1">
        <v>1.0369206968172424</v>
      </c>
      <c r="R80" s="1">
        <v>2.1327143753284363</v>
      </c>
      <c r="S80" s="5">
        <v>0.3258426966292135</v>
      </c>
      <c r="T80" s="2">
        <v>0.64300000000000002</v>
      </c>
      <c r="U80" s="2">
        <v>0.61199999999999999</v>
      </c>
      <c r="V80" s="2">
        <v>0.36899999999999999</v>
      </c>
      <c r="W80" s="2">
        <v>0.56699999999999995</v>
      </c>
      <c r="X80" s="2">
        <v>0.31900000000000001</v>
      </c>
      <c r="Y80" s="4">
        <v>0.60599999999999998</v>
      </c>
      <c r="Z80" s="2">
        <v>-0.19399999999999995</v>
      </c>
      <c r="AA80" s="2">
        <v>-0.21199999999999997</v>
      </c>
      <c r="AB80" s="2">
        <v>-0.21399999999999997</v>
      </c>
      <c r="AC80" s="2">
        <v>-0.22116047155478202</v>
      </c>
      <c r="AD80" s="2">
        <v>-0.11694300410752001</v>
      </c>
      <c r="AE80" s="4">
        <v>-0.19200000000000006</v>
      </c>
      <c r="AF80" s="1">
        <v>-0.23178016726403819</v>
      </c>
      <c r="AG80" s="1">
        <v>-0.25728155339805825</v>
      </c>
      <c r="AH80" s="1">
        <v>-0.36706689536878212</v>
      </c>
      <c r="AI80" s="1">
        <v>-0.2806033536780968</v>
      </c>
      <c r="AJ80" s="1">
        <v>-0.2682529665705507</v>
      </c>
      <c r="AK80" s="5">
        <v>-0.24060150375939857</v>
      </c>
      <c r="AL80" s="2">
        <v>0.97099999999999997</v>
      </c>
      <c r="AM80" s="2">
        <v>0.99</v>
      </c>
      <c r="AN80" s="2">
        <v>0.622</v>
      </c>
      <c r="AO80" s="2">
        <v>0.99</v>
      </c>
      <c r="AP80" s="2">
        <v>0.57399999999999995</v>
      </c>
      <c r="AQ80" s="4">
        <v>0.97099999999999997</v>
      </c>
      <c r="AR80" s="2">
        <v>0.91100000000000003</v>
      </c>
      <c r="AS80" s="2">
        <v>0.95299999999999996</v>
      </c>
      <c r="AT80" s="2">
        <v>0.61799999999999999</v>
      </c>
      <c r="AU80" s="2">
        <v>0.99</v>
      </c>
      <c r="AV80" s="2">
        <v>0.57399999999999995</v>
      </c>
      <c r="AW80" s="4">
        <v>0.97099999999999997</v>
      </c>
      <c r="AX80" s="1">
        <v>15.183333333333334</v>
      </c>
      <c r="AY80" s="1">
        <v>25.756756756756758</v>
      </c>
      <c r="AZ80" s="1">
        <v>154.5</v>
      </c>
      <c r="BA80" s="1" t="e">
        <v>#DIV/0!</v>
      </c>
      <c r="BB80" s="1" t="e">
        <v>#DIV/0!</v>
      </c>
      <c r="BC80" s="5" t="e">
        <v>#DIV/0!</v>
      </c>
      <c r="BD80" s="3">
        <f>$BH$1*F80+$BH$2*X80</f>
        <v>0.15604000000000001</v>
      </c>
      <c r="BE80" s="3">
        <f>$BH$1*M80+$BH$2*AE80</f>
        <v>-4.2000000000000037E-2</v>
      </c>
    </row>
    <row r="81" spans="1:57">
      <c r="A81" t="s">
        <v>23</v>
      </c>
      <c r="B81" s="2">
        <v>0.17499999999999999</v>
      </c>
      <c r="C81" s="2">
        <v>0.155</v>
      </c>
      <c r="D81" s="2">
        <v>6.2E-2</v>
      </c>
      <c r="E81" s="2">
        <v>0.107</v>
      </c>
      <c r="F81" s="2">
        <v>4.1599999999999998E-2</v>
      </c>
      <c r="G81" s="4">
        <v>0.13200000000000001</v>
      </c>
      <c r="H81" s="2">
        <v>-0.29599999999999999</v>
      </c>
      <c r="I81" s="2">
        <v>-0.224</v>
      </c>
      <c r="J81" s="2">
        <v>-0.14000000000000001</v>
      </c>
      <c r="K81" s="2">
        <v>3.58141162164205E-2</v>
      </c>
      <c r="L81" s="2">
        <v>2.6469351520426898E-2</v>
      </c>
      <c r="M81" s="4">
        <v>-4.5999999999999985E-2</v>
      </c>
      <c r="N81" s="1">
        <v>-0.6284501061571125</v>
      </c>
      <c r="O81" s="1">
        <v>-0.59102902374670185</v>
      </c>
      <c r="P81" s="1">
        <v>-0.69306930693069313</v>
      </c>
      <c r="Q81" s="1">
        <v>0.50310699696168937</v>
      </c>
      <c r="R81" s="1">
        <v>1.7493864559844503</v>
      </c>
      <c r="S81" s="5">
        <v>-0.25842696629213474</v>
      </c>
      <c r="T81" s="2">
        <v>0.58099999999999996</v>
      </c>
      <c r="U81" s="2">
        <v>0.54</v>
      </c>
      <c r="V81" s="2">
        <v>0.36399999999999999</v>
      </c>
      <c r="W81" s="2">
        <v>0.51700000000000002</v>
      </c>
      <c r="X81" s="2">
        <v>0.32700000000000001</v>
      </c>
      <c r="Y81" s="4">
        <v>0.56499999999999995</v>
      </c>
      <c r="Z81" s="2">
        <v>-0.25600000000000001</v>
      </c>
      <c r="AA81" s="2">
        <v>-0.28399999999999992</v>
      </c>
      <c r="AB81" s="2">
        <v>-0.21899999999999997</v>
      </c>
      <c r="AC81" s="2">
        <v>-0.27116047155478196</v>
      </c>
      <c r="AD81" s="2">
        <v>-0.10894300410752</v>
      </c>
      <c r="AE81" s="4">
        <v>-0.2330000000000001</v>
      </c>
      <c r="AF81" s="1">
        <v>-0.30585424133811234</v>
      </c>
      <c r="AG81" s="1">
        <v>-0.34466019417475718</v>
      </c>
      <c r="AH81" s="1">
        <v>-0.37564322469982847</v>
      </c>
      <c r="AI81" s="1">
        <v>-0.34404221137844088</v>
      </c>
      <c r="AJ81" s="1">
        <v>-0.24990194378862091</v>
      </c>
      <c r="AK81" s="5">
        <v>-0.29197994987468684</v>
      </c>
      <c r="AL81" s="2">
        <v>0.995</v>
      </c>
      <c r="AM81" s="2">
        <v>0.995</v>
      </c>
      <c r="AN81" s="2">
        <v>0.72199999999999998</v>
      </c>
      <c r="AO81" s="2">
        <v>0.995</v>
      </c>
      <c r="AP81" s="2">
        <v>0.67200000000000004</v>
      </c>
      <c r="AQ81" s="4">
        <v>0.995</v>
      </c>
      <c r="AR81" s="2">
        <v>0.93500000000000005</v>
      </c>
      <c r="AS81" s="2">
        <v>0.95799999999999996</v>
      </c>
      <c r="AT81" s="2">
        <v>0.71799999999999997</v>
      </c>
      <c r="AU81" s="2">
        <v>0.995</v>
      </c>
      <c r="AV81" s="2">
        <v>0.67200000000000004</v>
      </c>
      <c r="AW81" s="4">
        <v>0.995</v>
      </c>
      <c r="AX81" s="1">
        <v>15.583333333333334</v>
      </c>
      <c r="AY81" s="1">
        <v>25.891891891891891</v>
      </c>
      <c r="AZ81" s="1">
        <v>179.5</v>
      </c>
      <c r="BA81" s="1" t="e">
        <v>#DIV/0!</v>
      </c>
      <c r="BB81" s="1" t="e">
        <v>#DIV/0!</v>
      </c>
      <c r="BC81" s="5" t="e">
        <v>#DIV/0!</v>
      </c>
      <c r="BD81" s="3">
        <f>$BH$1*F81+$BH$2*X81</f>
        <v>0.15576000000000001</v>
      </c>
      <c r="BE81" s="3">
        <f>$BH$1*M81+$BH$2*AE81</f>
        <v>-0.12080000000000003</v>
      </c>
    </row>
    <row r="82" spans="1:57">
      <c r="A82" t="s">
        <v>8</v>
      </c>
      <c r="B82" s="2">
        <v>0.184</v>
      </c>
      <c r="C82" s="2">
        <v>0.14299999999999999</v>
      </c>
      <c r="D82" s="2">
        <v>5.6000000000000001E-2</v>
      </c>
      <c r="E82" s="2">
        <v>0.10199999999999999</v>
      </c>
      <c r="F82" s="2">
        <v>4.0599999999999997E-2</v>
      </c>
      <c r="G82" s="4">
        <v>0.14699999999999999</v>
      </c>
      <c r="H82" s="2">
        <v>-0.28699999999999998</v>
      </c>
      <c r="I82" s="2">
        <v>-0.23600000000000002</v>
      </c>
      <c r="J82" s="2">
        <v>-0.14600000000000002</v>
      </c>
      <c r="K82" s="2">
        <v>3.0814116216420495E-2</v>
      </c>
      <c r="L82" s="2">
        <v>2.5469351520426897E-2</v>
      </c>
      <c r="M82" s="4">
        <v>-3.1E-2</v>
      </c>
      <c r="N82" s="1">
        <v>-0.60934182590233543</v>
      </c>
      <c r="O82" s="1">
        <v>-0.62269129287598945</v>
      </c>
      <c r="P82" s="1">
        <v>-0.72277227722772286</v>
      </c>
      <c r="Q82" s="1">
        <v>0.43286835224385328</v>
      </c>
      <c r="R82" s="1">
        <v>1.6832954354079011</v>
      </c>
      <c r="S82" s="5">
        <v>-0.17415730337078653</v>
      </c>
      <c r="T82" s="2">
        <v>0.57499999999999996</v>
      </c>
      <c r="U82" s="2">
        <v>0.52900000000000003</v>
      </c>
      <c r="V82" s="2">
        <v>0.35399999999999998</v>
      </c>
      <c r="W82" s="2">
        <v>0.51</v>
      </c>
      <c r="X82" s="2">
        <v>0.31900000000000001</v>
      </c>
      <c r="Y82" s="4">
        <v>0.56399999999999995</v>
      </c>
      <c r="Z82" s="2">
        <v>-0.26200000000000001</v>
      </c>
      <c r="AA82" s="2">
        <v>-0.29499999999999993</v>
      </c>
      <c r="AB82" s="2">
        <v>-0.22899999999999998</v>
      </c>
      <c r="AC82" s="2">
        <v>-0.27816047155478196</v>
      </c>
      <c r="AD82" s="2">
        <v>-0.11694300410752001</v>
      </c>
      <c r="AE82" s="4">
        <v>-0.2340000000000001</v>
      </c>
      <c r="AF82" s="1">
        <v>-0.31302270011947436</v>
      </c>
      <c r="AG82" s="1">
        <v>-0.35800970873786403</v>
      </c>
      <c r="AH82" s="1">
        <v>-0.39279588336192112</v>
      </c>
      <c r="AI82" s="1">
        <v>-0.35292365145648907</v>
      </c>
      <c r="AJ82" s="1">
        <v>-0.2682529665705507</v>
      </c>
      <c r="AK82" s="5">
        <v>-0.29323308270676701</v>
      </c>
      <c r="AL82" s="2">
        <v>0.995</v>
      </c>
      <c r="AM82" s="2">
        <v>0.995</v>
      </c>
      <c r="AN82" s="2">
        <v>0.75</v>
      </c>
      <c r="AO82" s="2">
        <v>0.995</v>
      </c>
      <c r="AP82" s="2">
        <v>0.67700000000000005</v>
      </c>
      <c r="AQ82" s="4">
        <v>0.995</v>
      </c>
      <c r="AR82" s="2">
        <v>0.93500000000000005</v>
      </c>
      <c r="AS82" s="2">
        <v>0.95799999999999996</v>
      </c>
      <c r="AT82" s="2">
        <v>0.746</v>
      </c>
      <c r="AU82" s="2">
        <v>0.995</v>
      </c>
      <c r="AV82" s="2">
        <v>0.67700000000000005</v>
      </c>
      <c r="AW82" s="4">
        <v>0.995</v>
      </c>
      <c r="AX82" s="1">
        <v>15.583333333333334</v>
      </c>
      <c r="AY82" s="1">
        <v>25.891891891891891</v>
      </c>
      <c r="AZ82" s="1">
        <v>186.5</v>
      </c>
      <c r="BA82" s="1" t="e">
        <v>#DIV/0!</v>
      </c>
      <c r="BB82" s="1" t="e">
        <v>#DIV/0!</v>
      </c>
      <c r="BC82" s="5" t="e">
        <v>#DIV/0!</v>
      </c>
      <c r="BD82" s="3">
        <f>$BH$1*F82+$BH$2*X82</f>
        <v>0.15196000000000001</v>
      </c>
      <c r="BE82" s="3">
        <f>$BH$1*M82+$BH$2*AE82</f>
        <v>-0.11220000000000005</v>
      </c>
    </row>
    <row r="83" spans="1:57">
      <c r="A83" t="s">
        <v>52</v>
      </c>
      <c r="B83" s="2">
        <v>0.14299999999999999</v>
      </c>
      <c r="C83" s="2">
        <v>8.2000000000000003E-2</v>
      </c>
      <c r="D83" s="2">
        <v>3.7999999999999999E-2</v>
      </c>
      <c r="E83" s="2">
        <v>0.13600000000000001</v>
      </c>
      <c r="F83" s="2">
        <v>4.8000000000000001E-2</v>
      </c>
      <c r="G83" s="4">
        <v>0.14099999999999999</v>
      </c>
      <c r="H83" s="2">
        <v>-0.32799999999999996</v>
      </c>
      <c r="I83" s="2">
        <v>-0.29699999999999999</v>
      </c>
      <c r="J83" s="2">
        <v>-0.16400000000000001</v>
      </c>
      <c r="K83" s="2">
        <v>6.4814116216420511E-2</v>
      </c>
      <c r="L83" s="2">
        <v>3.2869351520426901E-2</v>
      </c>
      <c r="M83" s="4">
        <v>-3.7000000000000005E-2</v>
      </c>
      <c r="N83" s="1">
        <v>-0.69639065817409762</v>
      </c>
      <c r="O83" s="1">
        <v>-0.78364116094986802</v>
      </c>
      <c r="P83" s="1">
        <v>-0.81188118811881183</v>
      </c>
      <c r="Q83" s="1">
        <v>0.91049113632513801</v>
      </c>
      <c r="R83" s="1">
        <v>2.1723689876743659</v>
      </c>
      <c r="S83" s="5">
        <v>-0.20786516853932588</v>
      </c>
      <c r="T83" s="2">
        <v>0.55900000000000005</v>
      </c>
      <c r="U83" s="2">
        <v>0.51100000000000001</v>
      </c>
      <c r="V83" s="2">
        <v>0.33900000000000002</v>
      </c>
      <c r="W83" s="2">
        <v>0.49299999999999999</v>
      </c>
      <c r="X83" s="2">
        <v>0.30299999999999999</v>
      </c>
      <c r="Y83" s="4">
        <v>0.55300000000000005</v>
      </c>
      <c r="Z83" s="2">
        <v>-0.27799999999999991</v>
      </c>
      <c r="AA83" s="2">
        <v>-0.31299999999999994</v>
      </c>
      <c r="AB83" s="2">
        <v>-0.24399999999999994</v>
      </c>
      <c r="AC83" s="2">
        <v>-0.29516047155478198</v>
      </c>
      <c r="AD83" s="2">
        <v>-0.13294300410752002</v>
      </c>
      <c r="AE83" s="4">
        <v>-0.245</v>
      </c>
      <c r="AF83" s="1">
        <v>-0.33213859020310627</v>
      </c>
      <c r="AG83" s="1">
        <v>-0.37985436893203878</v>
      </c>
      <c r="AH83" s="1">
        <v>-0.41852487135505995</v>
      </c>
      <c r="AI83" s="1">
        <v>-0.37449286307460616</v>
      </c>
      <c r="AJ83" s="1">
        <v>-0.30495501213441023</v>
      </c>
      <c r="AK83" s="5">
        <v>-0.30701754385964908</v>
      </c>
      <c r="AL83" s="2">
        <v>0.995</v>
      </c>
      <c r="AM83" s="2">
        <v>0.995</v>
      </c>
      <c r="AN83" s="2">
        <v>0.72899999999999998</v>
      </c>
      <c r="AO83" s="2">
        <v>0.995</v>
      </c>
      <c r="AP83" s="2">
        <v>0.65600000000000003</v>
      </c>
      <c r="AQ83" s="4">
        <v>0.995</v>
      </c>
      <c r="AR83" s="2">
        <v>0.93500000000000005</v>
      </c>
      <c r="AS83" s="2">
        <v>0.95799999999999996</v>
      </c>
      <c r="AT83" s="2">
        <v>0.72499999999999998</v>
      </c>
      <c r="AU83" s="2">
        <v>0.995</v>
      </c>
      <c r="AV83" s="2">
        <v>0.65600000000000003</v>
      </c>
      <c r="AW83" s="4">
        <v>0.995</v>
      </c>
      <c r="AX83" s="1">
        <v>15.583333333333334</v>
      </c>
      <c r="AY83" s="1">
        <v>25.891891891891891</v>
      </c>
      <c r="AZ83" s="1">
        <v>181.25</v>
      </c>
      <c r="BA83" s="1" t="e">
        <v>#DIV/0!</v>
      </c>
      <c r="BB83" s="1" t="e">
        <v>#DIV/0!</v>
      </c>
      <c r="BC83" s="5" t="e">
        <v>#DIV/0!</v>
      </c>
      <c r="BD83" s="3">
        <f>$BH$1*F83+$BH$2*X83</f>
        <v>0.15</v>
      </c>
      <c r="BE83" s="3">
        <f>$BH$1*M83+$BH$2*AE83</f>
        <v>-0.1202</v>
      </c>
    </row>
    <row r="84" spans="1:57">
      <c r="A84" t="s">
        <v>89</v>
      </c>
      <c r="B84" s="2">
        <v>0.17799999999999999</v>
      </c>
      <c r="C84" s="2">
        <v>0.112</v>
      </c>
      <c r="D84" s="2">
        <v>0.04</v>
      </c>
      <c r="E84" s="2">
        <v>0.13500000000000001</v>
      </c>
      <c r="F84" s="2">
        <v>4.48E-2</v>
      </c>
      <c r="G84" s="4">
        <v>0.20599999999999999</v>
      </c>
      <c r="H84" s="2">
        <v>-0.29299999999999998</v>
      </c>
      <c r="I84" s="2">
        <v>-0.26700000000000002</v>
      </c>
      <c r="J84" s="2">
        <v>-0.16200000000000001</v>
      </c>
      <c r="K84" s="2">
        <v>6.3814116216420511E-2</v>
      </c>
      <c r="L84" s="2">
        <v>2.96693515204269E-2</v>
      </c>
      <c r="M84" s="4">
        <v>2.7999999999999997E-2</v>
      </c>
      <c r="N84" s="1">
        <v>-0.62208067940552014</v>
      </c>
      <c r="O84" s="1">
        <v>-0.70448548812664913</v>
      </c>
      <c r="P84" s="1">
        <v>-0.80198019801980192</v>
      </c>
      <c r="Q84" s="1">
        <v>0.8964434073815708</v>
      </c>
      <c r="R84" s="1">
        <v>1.9608777218294082</v>
      </c>
      <c r="S84" s="5">
        <v>0.15730337078651685</v>
      </c>
      <c r="T84" s="2">
        <v>0.63</v>
      </c>
      <c r="U84" s="2">
        <v>0.59799999999999998</v>
      </c>
      <c r="V84" s="2">
        <v>0.34699999999999998</v>
      </c>
      <c r="W84" s="2">
        <v>0.55100000000000005</v>
      </c>
      <c r="X84" s="2">
        <v>0.30399999999999999</v>
      </c>
      <c r="Y84" s="4">
        <v>0.60399999999999998</v>
      </c>
      <c r="Z84" s="2">
        <v>-0.20699999999999996</v>
      </c>
      <c r="AA84" s="2">
        <v>-0.22599999999999998</v>
      </c>
      <c r="AB84" s="2">
        <v>-0.23599999999999999</v>
      </c>
      <c r="AC84" s="2">
        <v>-0.23716047155478193</v>
      </c>
      <c r="AD84" s="2">
        <v>-0.13194300410752002</v>
      </c>
      <c r="AE84" s="4">
        <v>-0.19400000000000006</v>
      </c>
      <c r="AF84" s="1">
        <v>-0.24731182795698922</v>
      </c>
      <c r="AG84" s="1">
        <v>-0.27427184466019416</v>
      </c>
      <c r="AH84" s="1">
        <v>-0.40480274442538594</v>
      </c>
      <c r="AI84" s="1">
        <v>-0.30090378814220681</v>
      </c>
      <c r="AJ84" s="1">
        <v>-0.30266113428666902</v>
      </c>
      <c r="AK84" s="5">
        <v>-0.24310776942355897</v>
      </c>
      <c r="AL84" s="2">
        <v>0.97099999999999997</v>
      </c>
      <c r="AM84" s="2">
        <v>0.99199999999999999</v>
      </c>
      <c r="AN84" s="2">
        <v>0.63600000000000001</v>
      </c>
      <c r="AO84" s="2">
        <v>0.99199999999999999</v>
      </c>
      <c r="AP84" s="2">
        <v>0.55600000000000005</v>
      </c>
      <c r="AQ84" s="4">
        <v>0.97099999999999997</v>
      </c>
      <c r="AR84" s="2">
        <v>0.91100000000000003</v>
      </c>
      <c r="AS84" s="2">
        <v>0.95499999999999996</v>
      </c>
      <c r="AT84" s="2">
        <v>0.63200000000000001</v>
      </c>
      <c r="AU84" s="2">
        <v>0.99199999999999999</v>
      </c>
      <c r="AV84" s="2">
        <v>0.55600000000000005</v>
      </c>
      <c r="AW84" s="4">
        <v>0.97099999999999997</v>
      </c>
      <c r="AX84" s="1">
        <v>15.183333333333334</v>
      </c>
      <c r="AY84" s="1">
        <v>25.810810810810811</v>
      </c>
      <c r="AZ84" s="1">
        <v>158</v>
      </c>
      <c r="BA84" s="1" t="e">
        <v>#DIV/0!</v>
      </c>
      <c r="BB84" s="1" t="e">
        <v>#DIV/0!</v>
      </c>
      <c r="BC84" s="5" t="e">
        <v>#DIV/0!</v>
      </c>
      <c r="BD84" s="3">
        <f>$BH$1*F84+$BH$2*X84</f>
        <v>0.14848</v>
      </c>
      <c r="BE84" s="3">
        <f>$BH$1*M84+$BH$2*AE84</f>
        <v>-6.0800000000000035E-2</v>
      </c>
    </row>
    <row r="85" spans="1:57">
      <c r="A85" t="s">
        <v>81</v>
      </c>
      <c r="B85" s="2">
        <v>0.16400000000000001</v>
      </c>
      <c r="C85" s="2">
        <v>7.9000000000000001E-2</v>
      </c>
      <c r="D85" s="2">
        <v>3.7999999999999999E-2</v>
      </c>
      <c r="E85" s="2">
        <v>7.6600000000000001E-2</v>
      </c>
      <c r="F85" s="2">
        <v>2.23E-2</v>
      </c>
      <c r="G85" s="4">
        <v>0.16300000000000001</v>
      </c>
      <c r="H85" s="2">
        <v>-0.30699999999999994</v>
      </c>
      <c r="I85" s="2">
        <v>-0.3</v>
      </c>
      <c r="J85" s="2">
        <v>-0.16400000000000001</v>
      </c>
      <c r="K85" s="2">
        <v>5.4141162164205031E-3</v>
      </c>
      <c r="L85" s="2">
        <v>7.1693515204269004E-3</v>
      </c>
      <c r="M85" s="4">
        <v>-1.4999999999999986E-2</v>
      </c>
      <c r="N85" s="1">
        <v>-0.65180467091295102</v>
      </c>
      <c r="O85" s="1">
        <v>-0.79155672823218992</v>
      </c>
      <c r="P85" s="1">
        <v>-0.81188118811881183</v>
      </c>
      <c r="Q85" s="1">
        <v>7.6056037077246785E-2</v>
      </c>
      <c r="R85" s="1">
        <v>0.4738297588570492</v>
      </c>
      <c r="S85" s="5">
        <v>-8.4269662921348243E-2</v>
      </c>
      <c r="T85" s="2">
        <v>0.66600000000000004</v>
      </c>
      <c r="U85" s="2">
        <v>0.63100000000000001</v>
      </c>
      <c r="V85" s="2">
        <v>0.38100000000000001</v>
      </c>
      <c r="W85" s="2">
        <v>0.59</v>
      </c>
      <c r="X85" s="2">
        <v>0.33500000000000002</v>
      </c>
      <c r="Y85" s="4">
        <v>0.63800000000000001</v>
      </c>
      <c r="Z85" s="2">
        <v>-0.17099999999999993</v>
      </c>
      <c r="AA85" s="2">
        <v>-0.19299999999999995</v>
      </c>
      <c r="AB85" s="2">
        <v>-0.20199999999999996</v>
      </c>
      <c r="AC85" s="2">
        <v>-0.198160471554782</v>
      </c>
      <c r="AD85" s="2">
        <v>-0.10094300410752</v>
      </c>
      <c r="AE85" s="4">
        <v>-0.16000000000000003</v>
      </c>
      <c r="AF85" s="1">
        <v>-0.20430107526881713</v>
      </c>
      <c r="AG85" s="1">
        <v>-0.23422330097087374</v>
      </c>
      <c r="AH85" s="1">
        <v>-0.34648370497427095</v>
      </c>
      <c r="AI85" s="1">
        <v>-0.25142147913593843</v>
      </c>
      <c r="AJ85" s="1">
        <v>-0.23155092100669114</v>
      </c>
      <c r="AK85" s="5">
        <v>-0.2005012531328321</v>
      </c>
      <c r="AL85" s="2">
        <v>0.97299999999999998</v>
      </c>
      <c r="AM85" s="2">
        <v>0.99199999999999999</v>
      </c>
      <c r="AN85" s="2">
        <v>0.628</v>
      </c>
      <c r="AO85" s="2">
        <v>0.99199999999999999</v>
      </c>
      <c r="AP85" s="2">
        <v>0.53600000000000003</v>
      </c>
      <c r="AQ85" s="4">
        <v>0.97299999999999998</v>
      </c>
      <c r="AR85" s="2">
        <v>0.91300000000000003</v>
      </c>
      <c r="AS85" s="2">
        <v>0.95499999999999996</v>
      </c>
      <c r="AT85" s="2">
        <v>0.624</v>
      </c>
      <c r="AU85" s="2">
        <v>0.99199999999999999</v>
      </c>
      <c r="AV85" s="2">
        <v>0.53600000000000003</v>
      </c>
      <c r="AW85" s="4">
        <v>0.97299999999999998</v>
      </c>
      <c r="AX85" s="1">
        <v>15.216666666666669</v>
      </c>
      <c r="AY85" s="1">
        <v>25.810810810810811</v>
      </c>
      <c r="AZ85" s="1">
        <v>156</v>
      </c>
      <c r="BA85" s="1" t="e">
        <v>#DIV/0!</v>
      </c>
      <c r="BB85" s="1" t="e">
        <v>#DIV/0!</v>
      </c>
      <c r="BC85" s="5" t="e">
        <v>#DIV/0!</v>
      </c>
      <c r="BD85" s="3">
        <f>$BH$1*F85+$BH$2*X85</f>
        <v>0.14738000000000001</v>
      </c>
      <c r="BE85" s="3">
        <f>$BH$1*M85+$BH$2*AE85</f>
        <v>-7.3000000000000009E-2</v>
      </c>
    </row>
    <row r="86" spans="1:57">
      <c r="A86" t="s">
        <v>17</v>
      </c>
      <c r="B86" s="2">
        <v>0.183</v>
      </c>
      <c r="C86" s="2">
        <v>0.121</v>
      </c>
      <c r="D86" s="2">
        <v>4.9000000000000002E-2</v>
      </c>
      <c r="E86" s="2">
        <v>8.6499999999999994E-2</v>
      </c>
      <c r="F86" s="2">
        <v>3.2300000000000002E-2</v>
      </c>
      <c r="G86" s="4">
        <v>0.14599999999999999</v>
      </c>
      <c r="H86" s="2">
        <v>-0.28799999999999998</v>
      </c>
      <c r="I86" s="2">
        <v>-0.25800000000000001</v>
      </c>
      <c r="J86" s="2">
        <v>-0.15300000000000002</v>
      </c>
      <c r="K86" s="2">
        <v>1.5314116216420495E-2</v>
      </c>
      <c r="L86" s="2">
        <v>1.7169351520426902E-2</v>
      </c>
      <c r="M86" s="4">
        <v>-3.2000000000000001E-2</v>
      </c>
      <c r="N86" s="1">
        <v>-0.61146496815286622</v>
      </c>
      <c r="O86" s="1">
        <v>-0.68073878627968343</v>
      </c>
      <c r="P86" s="1">
        <v>-0.75742574257425754</v>
      </c>
      <c r="Q86" s="1">
        <v>0.21512855361856187</v>
      </c>
      <c r="R86" s="1">
        <v>1.1347399646225422</v>
      </c>
      <c r="S86" s="5">
        <v>-0.17977528089887643</v>
      </c>
      <c r="T86" s="2">
        <v>0.56699999999999995</v>
      </c>
      <c r="U86" s="2">
        <v>0.52900000000000003</v>
      </c>
      <c r="V86" s="2">
        <v>0.35599999999999998</v>
      </c>
      <c r="W86" s="2">
        <v>0.50800000000000001</v>
      </c>
      <c r="X86" s="2">
        <v>0.31900000000000001</v>
      </c>
      <c r="Y86" s="4">
        <v>0.55900000000000005</v>
      </c>
      <c r="Z86" s="2">
        <v>-0.27</v>
      </c>
      <c r="AA86" s="2">
        <v>-0.29499999999999993</v>
      </c>
      <c r="AB86" s="2">
        <v>-0.22699999999999998</v>
      </c>
      <c r="AC86" s="2">
        <v>-0.28016047155478196</v>
      </c>
      <c r="AD86" s="2">
        <v>-0.11694300410752001</v>
      </c>
      <c r="AE86" s="4">
        <v>-0.23899999999999999</v>
      </c>
      <c r="AF86" s="1">
        <v>-0.32258064516129037</v>
      </c>
      <c r="AG86" s="1">
        <v>-0.35800970873786403</v>
      </c>
      <c r="AH86" s="1">
        <v>-0.38936535162950259</v>
      </c>
      <c r="AI86" s="1">
        <v>-0.35546120576450285</v>
      </c>
      <c r="AJ86" s="1">
        <v>-0.2682529665705507</v>
      </c>
      <c r="AK86" s="5">
        <v>-0.29949874686716788</v>
      </c>
      <c r="AL86" s="2">
        <v>0.995</v>
      </c>
      <c r="AM86" s="2">
        <v>0.995</v>
      </c>
      <c r="AN86" s="2">
        <v>0.72799999999999998</v>
      </c>
      <c r="AO86" s="2">
        <v>0.995</v>
      </c>
      <c r="AP86" s="2">
        <v>0.65700000000000003</v>
      </c>
      <c r="AQ86" s="4">
        <v>0.995</v>
      </c>
      <c r="AR86" s="2">
        <v>0.93500000000000005</v>
      </c>
      <c r="AS86" s="2">
        <v>0.95799999999999996</v>
      </c>
      <c r="AT86" s="2">
        <v>0.72399999999999998</v>
      </c>
      <c r="AU86" s="2">
        <v>0.995</v>
      </c>
      <c r="AV86" s="2">
        <v>0.65700000000000003</v>
      </c>
      <c r="AW86" s="4">
        <v>0.995</v>
      </c>
      <c r="AX86" s="1">
        <v>15.583333333333334</v>
      </c>
      <c r="AY86" s="1">
        <v>25.891891891891891</v>
      </c>
      <c r="AZ86" s="1">
        <v>181</v>
      </c>
      <c r="BA86" s="1" t="e">
        <v>#DIV/0!</v>
      </c>
      <c r="BB86" s="1" t="e">
        <v>#DIV/0!</v>
      </c>
      <c r="BC86" s="5" t="e">
        <v>#DIV/0!</v>
      </c>
      <c r="BD86" s="3">
        <f>$BH$1*F86+$BH$2*X86</f>
        <v>0.14698000000000003</v>
      </c>
      <c r="BE86" s="3">
        <f>$BH$1*M86+$BH$2*AE86</f>
        <v>-0.1148</v>
      </c>
    </row>
    <row r="87" spans="1:57">
      <c r="A87" t="s">
        <v>10</v>
      </c>
      <c r="B87" s="2">
        <v>0.183</v>
      </c>
      <c r="C87" s="2">
        <v>0.121</v>
      </c>
      <c r="D87" s="2">
        <v>4.9000000000000002E-2</v>
      </c>
      <c r="E87" s="2">
        <v>8.6499999999999994E-2</v>
      </c>
      <c r="F87" s="2">
        <v>3.2300000000000002E-2</v>
      </c>
      <c r="G87" s="4">
        <v>0.14599999999999999</v>
      </c>
      <c r="H87" s="2">
        <v>-0.28799999999999998</v>
      </c>
      <c r="I87" s="2">
        <v>-0.25800000000000001</v>
      </c>
      <c r="J87" s="2">
        <v>-0.15300000000000002</v>
      </c>
      <c r="K87" s="2">
        <v>1.5314116216420495E-2</v>
      </c>
      <c r="L87" s="2">
        <v>1.7169351520426902E-2</v>
      </c>
      <c r="M87" s="4">
        <v>-3.2000000000000001E-2</v>
      </c>
      <c r="N87" s="1">
        <v>-0.61146496815286622</v>
      </c>
      <c r="O87" s="1">
        <v>-0.68073878627968343</v>
      </c>
      <c r="P87" s="1">
        <v>-0.75742574257425754</v>
      </c>
      <c r="Q87" s="1">
        <v>0.21512855361856187</v>
      </c>
      <c r="R87" s="1">
        <v>1.1347399646225422</v>
      </c>
      <c r="S87" s="5">
        <v>-0.17977528089887643</v>
      </c>
      <c r="T87" s="2">
        <v>0.56699999999999995</v>
      </c>
      <c r="U87" s="2">
        <v>0.52900000000000003</v>
      </c>
      <c r="V87" s="2">
        <v>0.35599999999999998</v>
      </c>
      <c r="W87" s="2">
        <v>0.50800000000000001</v>
      </c>
      <c r="X87" s="2">
        <v>0.31900000000000001</v>
      </c>
      <c r="Y87" s="4">
        <v>0.55900000000000005</v>
      </c>
      <c r="Z87" s="2">
        <v>-0.27</v>
      </c>
      <c r="AA87" s="2">
        <v>-0.29499999999999993</v>
      </c>
      <c r="AB87" s="2">
        <v>-0.22699999999999998</v>
      </c>
      <c r="AC87" s="2">
        <v>-0.28016047155478196</v>
      </c>
      <c r="AD87" s="2">
        <v>-0.11694300410752001</v>
      </c>
      <c r="AE87" s="4">
        <v>-0.23899999999999999</v>
      </c>
      <c r="AF87" s="1">
        <v>-0.32258064516129037</v>
      </c>
      <c r="AG87" s="1">
        <v>-0.35800970873786403</v>
      </c>
      <c r="AH87" s="1">
        <v>-0.38936535162950259</v>
      </c>
      <c r="AI87" s="1">
        <v>-0.35546120576450285</v>
      </c>
      <c r="AJ87" s="1">
        <v>-0.2682529665705507</v>
      </c>
      <c r="AK87" s="5">
        <v>-0.29949874686716788</v>
      </c>
      <c r="AL87" s="2">
        <v>0.995</v>
      </c>
      <c r="AM87" s="2">
        <v>0.995</v>
      </c>
      <c r="AN87" s="2">
        <v>0.72799999999999998</v>
      </c>
      <c r="AO87" s="2">
        <v>0.995</v>
      </c>
      <c r="AP87" s="2">
        <v>0.65700000000000003</v>
      </c>
      <c r="AQ87" s="4">
        <v>0.995</v>
      </c>
      <c r="AR87" s="2">
        <v>0.93500000000000005</v>
      </c>
      <c r="AS87" s="2">
        <v>0.95799999999999996</v>
      </c>
      <c r="AT87" s="2">
        <v>0.72399999999999998</v>
      </c>
      <c r="AU87" s="2">
        <v>0.995</v>
      </c>
      <c r="AV87" s="2">
        <v>0.65700000000000003</v>
      </c>
      <c r="AW87" s="4">
        <v>0.995</v>
      </c>
      <c r="AX87" s="1">
        <v>15.583333333333334</v>
      </c>
      <c r="AY87" s="1">
        <v>25.891891891891891</v>
      </c>
      <c r="AZ87" s="1">
        <v>181</v>
      </c>
      <c r="BA87" s="1" t="e">
        <v>#DIV/0!</v>
      </c>
      <c r="BB87" s="1" t="e">
        <v>#DIV/0!</v>
      </c>
      <c r="BC87" s="5" t="e">
        <v>#DIV/0!</v>
      </c>
      <c r="BD87" s="3">
        <f>$BH$1*F87+$BH$2*X87</f>
        <v>0.14698000000000003</v>
      </c>
      <c r="BE87" s="3">
        <f>$BH$1*M87+$BH$2*AE87</f>
        <v>-0.1148</v>
      </c>
    </row>
    <row r="88" spans="1:57">
      <c r="A88" t="s">
        <v>93</v>
      </c>
      <c r="B88" s="2">
        <v>0.24199999999999999</v>
      </c>
      <c r="C88" s="2">
        <v>0.128</v>
      </c>
      <c r="D88" s="2">
        <v>4.8000000000000001E-2</v>
      </c>
      <c r="E88" s="2">
        <v>0.14099999999999999</v>
      </c>
      <c r="F88" s="2">
        <v>4.4699999999999997E-2</v>
      </c>
      <c r="G88" s="4">
        <v>0.23400000000000001</v>
      </c>
      <c r="H88" s="2">
        <v>-0.22899999999999998</v>
      </c>
      <c r="I88" s="2">
        <v>-0.251</v>
      </c>
      <c r="J88" s="2">
        <v>-0.15400000000000003</v>
      </c>
      <c r="K88" s="2">
        <v>6.9814116216420488E-2</v>
      </c>
      <c r="L88" s="2">
        <v>2.9569351520426897E-2</v>
      </c>
      <c r="M88" s="4">
        <v>5.6000000000000022E-2</v>
      </c>
      <c r="N88" s="1">
        <v>-0.4861995753715499</v>
      </c>
      <c r="O88" s="1">
        <v>-0.66226912928759896</v>
      </c>
      <c r="P88" s="1">
        <v>-0.7623762376237625</v>
      </c>
      <c r="Q88" s="1">
        <v>0.98072978104297359</v>
      </c>
      <c r="R88" s="1">
        <v>1.9542686197717531</v>
      </c>
      <c r="S88" s="5">
        <v>0.31460674157303387</v>
      </c>
      <c r="T88" s="2">
        <v>0.628</v>
      </c>
      <c r="U88" s="2">
        <v>0.59499999999999997</v>
      </c>
      <c r="V88" s="2">
        <v>0.34899999999999998</v>
      </c>
      <c r="W88" s="2">
        <v>0.54700000000000004</v>
      </c>
      <c r="X88" s="2">
        <v>0.29899999999999999</v>
      </c>
      <c r="Y88" s="4">
        <v>0.59699999999999998</v>
      </c>
      <c r="Z88" s="2">
        <v>-0.20899999999999996</v>
      </c>
      <c r="AA88" s="2">
        <v>-0.22899999999999998</v>
      </c>
      <c r="AB88" s="2">
        <v>-0.23399999999999999</v>
      </c>
      <c r="AC88" s="2">
        <v>-0.24116047155478193</v>
      </c>
      <c r="AD88" s="2">
        <v>-0.13694300410752003</v>
      </c>
      <c r="AE88" s="4">
        <v>-0.20100000000000007</v>
      </c>
      <c r="AF88" s="1">
        <v>-0.24970131421744321</v>
      </c>
      <c r="AG88" s="1">
        <v>-0.27791262135922329</v>
      </c>
      <c r="AH88" s="1">
        <v>-0.40137221269296741</v>
      </c>
      <c r="AI88" s="1">
        <v>-0.30597889675823436</v>
      </c>
      <c r="AJ88" s="1">
        <v>-0.31413052352537513</v>
      </c>
      <c r="AK88" s="5">
        <v>-0.25187969924812037</v>
      </c>
      <c r="AL88" s="2">
        <v>0.96399999999999997</v>
      </c>
      <c r="AM88" s="2">
        <v>0.98199999999999998</v>
      </c>
      <c r="AN88" s="2">
        <v>0.64500000000000002</v>
      </c>
      <c r="AO88" s="2">
        <v>0.98299999999999998</v>
      </c>
      <c r="AP88" s="2">
        <v>0.54800000000000004</v>
      </c>
      <c r="AQ88" s="4">
        <v>0.97099999999999997</v>
      </c>
      <c r="AR88" s="2">
        <v>0.90399999999999991</v>
      </c>
      <c r="AS88" s="2">
        <v>0.94499999999999995</v>
      </c>
      <c r="AT88" s="2">
        <v>0.64100000000000001</v>
      </c>
      <c r="AU88" s="2">
        <v>0.98299999999999998</v>
      </c>
      <c r="AV88" s="2">
        <v>0.54800000000000004</v>
      </c>
      <c r="AW88" s="4">
        <v>0.97099999999999997</v>
      </c>
      <c r="AX88" s="1">
        <v>15.066666666666666</v>
      </c>
      <c r="AY88" s="1">
        <v>25.54054054054054</v>
      </c>
      <c r="AZ88" s="1">
        <v>160.25</v>
      </c>
      <c r="BA88" s="1" t="e">
        <v>#DIV/0!</v>
      </c>
      <c r="BB88" s="1" t="e">
        <v>#DIV/0!</v>
      </c>
      <c r="BC88" s="5" t="e">
        <v>#DIV/0!</v>
      </c>
      <c r="BD88" s="3">
        <f>$BH$1*F88+$BH$2*X88</f>
        <v>0.14641999999999999</v>
      </c>
      <c r="BE88" s="3">
        <f>$BH$1*M88+$BH$2*AE88</f>
        <v>-4.6800000000000015E-2</v>
      </c>
    </row>
    <row r="89" spans="1:57">
      <c r="A89" t="s">
        <v>70</v>
      </c>
      <c r="B89" s="2">
        <v>0.14399999999999999</v>
      </c>
      <c r="C89" s="2">
        <v>0.123</v>
      </c>
      <c r="D89" s="2">
        <v>5.5E-2</v>
      </c>
      <c r="E89" s="2">
        <v>0.122337612116328</v>
      </c>
      <c r="F89" s="2">
        <v>4.4476837403841202E-2</v>
      </c>
      <c r="G89" s="4">
        <v>0.15</v>
      </c>
      <c r="H89" s="2">
        <v>-0.32699999999999996</v>
      </c>
      <c r="I89" s="2">
        <v>-0.25600000000000001</v>
      </c>
      <c r="J89" s="2">
        <v>-0.14700000000000002</v>
      </c>
      <c r="K89" s="2">
        <v>5.1151728332748503E-2</v>
      </c>
      <c r="L89" s="2">
        <v>2.9346188924268102E-2</v>
      </c>
      <c r="M89" s="4">
        <v>-2.7999999999999997E-2</v>
      </c>
      <c r="N89" s="1">
        <v>-0.69426751592356684</v>
      </c>
      <c r="O89" s="1">
        <v>-0.67546174142480209</v>
      </c>
      <c r="P89" s="1">
        <v>-0.72772277227722781</v>
      </c>
      <c r="Q89" s="1">
        <v>0.71856561461343704</v>
      </c>
      <c r="R89" s="1">
        <v>1.939519576037106</v>
      </c>
      <c r="S89" s="5">
        <v>-0.15730337078651685</v>
      </c>
      <c r="T89" s="2">
        <v>0.56699999999999995</v>
      </c>
      <c r="U89" s="2">
        <v>0.50600000000000001</v>
      </c>
      <c r="V89" s="2">
        <v>0.33500000000000002</v>
      </c>
      <c r="W89" s="2">
        <v>0.48570906200568098</v>
      </c>
      <c r="X89" s="2">
        <v>0.296783957059229</v>
      </c>
      <c r="Y89" s="4">
        <v>0.55400000000000005</v>
      </c>
      <c r="Z89" s="2">
        <v>-0.27</v>
      </c>
      <c r="AA89" s="2">
        <v>-0.31799999999999995</v>
      </c>
      <c r="AB89" s="2">
        <v>-0.24799999999999994</v>
      </c>
      <c r="AC89" s="2">
        <v>-0.30245140954910099</v>
      </c>
      <c r="AD89" s="2">
        <v>-0.13915904704829102</v>
      </c>
      <c r="AE89" s="4">
        <v>-0.24399999999999999</v>
      </c>
      <c r="AF89" s="1">
        <v>-0.32258064516129037</v>
      </c>
      <c r="AG89" s="1">
        <v>-0.38592233009708732</v>
      </c>
      <c r="AH89" s="1">
        <v>-0.425385934819897</v>
      </c>
      <c r="AI89" s="1">
        <v>-0.38374343863307886</v>
      </c>
      <c r="AJ89" s="1">
        <v>-0.31921385533685304</v>
      </c>
      <c r="AK89" s="5">
        <v>-0.30576441102756891</v>
      </c>
      <c r="AL89" s="2">
        <v>0.97699999999999998</v>
      </c>
      <c r="AM89" s="2">
        <v>0.98599999999999999</v>
      </c>
      <c r="AN89" s="2">
        <v>0.75600000000000001</v>
      </c>
      <c r="AO89" s="2">
        <v>0.99298268845681703</v>
      </c>
      <c r="AP89" s="2">
        <v>0.675345561606987</v>
      </c>
      <c r="AQ89" s="4">
        <v>0.98099999999999998</v>
      </c>
      <c r="AR89" s="2">
        <v>0.91700000000000004</v>
      </c>
      <c r="AS89" s="2">
        <v>0.94899999999999995</v>
      </c>
      <c r="AT89" s="2">
        <v>0.752</v>
      </c>
      <c r="AU89" s="2">
        <v>0.99298268845681703</v>
      </c>
      <c r="AV89" s="2">
        <v>0.675345561606987</v>
      </c>
      <c r="AW89" s="4">
        <v>0.98099999999999998</v>
      </c>
      <c r="AX89" s="1">
        <v>15.283333333333335</v>
      </c>
      <c r="AY89" s="1">
        <v>25.648648648648649</v>
      </c>
      <c r="AZ89" s="1">
        <v>188</v>
      </c>
      <c r="BA89" s="1" t="e">
        <v>#DIV/0!</v>
      </c>
      <c r="BB89" s="1" t="e">
        <v>#DIV/0!</v>
      </c>
      <c r="BC89" s="5" t="e">
        <v>#DIV/0!</v>
      </c>
      <c r="BD89" s="3">
        <f>$BH$1*F89+$BH$2*X89</f>
        <v>0.14539968526599631</v>
      </c>
      <c r="BE89" s="3">
        <f>$BH$1*M89+$BH$2*AE89</f>
        <v>-0.1144</v>
      </c>
    </row>
    <row r="90" spans="1:57">
      <c r="A90" t="s">
        <v>85</v>
      </c>
      <c r="B90" s="2">
        <v>0.20399999999999999</v>
      </c>
      <c r="C90" s="2">
        <v>0.112</v>
      </c>
      <c r="D90" s="2">
        <v>3.7999999999999999E-2</v>
      </c>
      <c r="E90" s="2">
        <v>0.13300000000000001</v>
      </c>
      <c r="F90" s="2">
        <v>4.3700000000000003E-2</v>
      </c>
      <c r="G90" s="4">
        <v>0.23599999999999999</v>
      </c>
      <c r="H90" s="2">
        <v>-0.26700000000000002</v>
      </c>
      <c r="I90" s="2">
        <v>-0.26700000000000002</v>
      </c>
      <c r="J90" s="2">
        <v>-0.16400000000000001</v>
      </c>
      <c r="K90" s="2">
        <v>6.1814116216420509E-2</v>
      </c>
      <c r="L90" s="2">
        <v>2.8569351520426903E-2</v>
      </c>
      <c r="M90" s="4">
        <v>5.7999999999999996E-2</v>
      </c>
      <c r="N90" s="1">
        <v>-0.56687898089171984</v>
      </c>
      <c r="O90" s="1">
        <v>-0.70448548812664913</v>
      </c>
      <c r="P90" s="1">
        <v>-0.81188118811881183</v>
      </c>
      <c r="Q90" s="1">
        <v>0.86834794949443639</v>
      </c>
      <c r="R90" s="1">
        <v>1.8881775991952041</v>
      </c>
      <c r="S90" s="5">
        <v>0.3258426966292135</v>
      </c>
      <c r="T90" s="2">
        <v>0.61899999999999999</v>
      </c>
      <c r="U90" s="2">
        <v>0.58799999999999997</v>
      </c>
      <c r="V90" s="2">
        <v>0.34300000000000003</v>
      </c>
      <c r="W90" s="2">
        <v>0.54</v>
      </c>
      <c r="X90" s="2">
        <v>0.29499999999999998</v>
      </c>
      <c r="Y90" s="4">
        <v>0.59299999999999997</v>
      </c>
      <c r="Z90" s="2">
        <v>-0.21799999999999997</v>
      </c>
      <c r="AA90" s="2">
        <v>-0.23599999999999999</v>
      </c>
      <c r="AB90" s="2">
        <v>-0.23999999999999994</v>
      </c>
      <c r="AC90" s="2">
        <v>-0.24816047155478194</v>
      </c>
      <c r="AD90" s="2">
        <v>-0.14094300410752003</v>
      </c>
      <c r="AE90" s="4">
        <v>-0.20500000000000007</v>
      </c>
      <c r="AF90" s="1">
        <v>-0.26045400238948624</v>
      </c>
      <c r="AG90" s="1">
        <v>-0.28640776699029125</v>
      </c>
      <c r="AH90" s="1">
        <v>-0.41166380789022289</v>
      </c>
      <c r="AI90" s="1">
        <v>-0.31486033683628256</v>
      </c>
      <c r="AJ90" s="1">
        <v>-0.32330603491634002</v>
      </c>
      <c r="AK90" s="5">
        <v>-0.25689223057644117</v>
      </c>
      <c r="AL90" s="2">
        <v>0.96699999999999997</v>
      </c>
      <c r="AM90" s="2">
        <v>0.98599999999999999</v>
      </c>
      <c r="AN90" s="2">
        <v>0.65800000000000003</v>
      </c>
      <c r="AO90" s="2">
        <v>0.96099999999999997</v>
      </c>
      <c r="AP90" s="2">
        <v>0.54300000000000004</v>
      </c>
      <c r="AQ90" s="4">
        <v>0.94899999999999995</v>
      </c>
      <c r="AR90" s="2">
        <v>0.90700000000000003</v>
      </c>
      <c r="AS90" s="2">
        <v>0.94899999999999995</v>
      </c>
      <c r="AT90" s="2">
        <v>0.65400000000000003</v>
      </c>
      <c r="AU90" s="2">
        <v>0.96099999999999997</v>
      </c>
      <c r="AV90" s="2">
        <v>0.54300000000000004</v>
      </c>
      <c r="AW90" s="4">
        <v>0.94899999999999995</v>
      </c>
      <c r="AX90" s="1">
        <v>15.116666666666667</v>
      </c>
      <c r="AY90" s="1">
        <v>25.648648648648649</v>
      </c>
      <c r="AZ90" s="1">
        <v>163.5</v>
      </c>
      <c r="BA90" s="1" t="e">
        <v>#DIV/0!</v>
      </c>
      <c r="BB90" s="1" t="e">
        <v>#DIV/0!</v>
      </c>
      <c r="BC90" s="5" t="e">
        <v>#DIV/0!</v>
      </c>
      <c r="BD90" s="3">
        <f>$BH$1*F90+$BH$2*X90</f>
        <v>0.14421999999999999</v>
      </c>
      <c r="BE90" s="3">
        <f>$BH$1*M90+$BH$2*AE90</f>
        <v>-4.7200000000000034E-2</v>
      </c>
    </row>
    <row r="91" spans="1:57">
      <c r="A91" t="s">
        <v>44</v>
      </c>
      <c r="B91" s="2">
        <v>0.13300000000000001</v>
      </c>
      <c r="C91" s="2">
        <v>9.8000000000000004E-2</v>
      </c>
      <c r="D91" s="2">
        <v>4.1000000000000002E-2</v>
      </c>
      <c r="E91" s="2">
        <v>8.6099999999999996E-2</v>
      </c>
      <c r="F91" s="2">
        <v>2.98E-2</v>
      </c>
      <c r="G91" s="4">
        <v>0.123</v>
      </c>
      <c r="H91" s="2">
        <v>-0.33799999999999997</v>
      </c>
      <c r="I91" s="2">
        <v>-0.28100000000000003</v>
      </c>
      <c r="J91" s="2">
        <v>-0.161</v>
      </c>
      <c r="K91" s="2">
        <v>1.4914116216420498E-2</v>
      </c>
      <c r="L91" s="2">
        <v>1.46693515204269E-2</v>
      </c>
      <c r="M91" s="4">
        <v>-5.4999999999999993E-2</v>
      </c>
      <c r="N91" s="1">
        <v>-0.71762208067940547</v>
      </c>
      <c r="O91" s="1">
        <v>-0.74142480211081796</v>
      </c>
      <c r="P91" s="1">
        <v>-0.79702970297029696</v>
      </c>
      <c r="Q91" s="1">
        <v>0.20950946204113502</v>
      </c>
      <c r="R91" s="1">
        <v>0.96951241318116888</v>
      </c>
      <c r="S91" s="5">
        <v>-0.3089887640449438</v>
      </c>
      <c r="T91" s="2">
        <v>0.56999999999999995</v>
      </c>
      <c r="U91" s="2">
        <v>0.52</v>
      </c>
      <c r="V91" s="2">
        <v>0.35199999999999998</v>
      </c>
      <c r="W91" s="2">
        <v>0.5</v>
      </c>
      <c r="X91" s="2">
        <v>0.314</v>
      </c>
      <c r="Y91" s="4">
        <v>0.56299999999999994</v>
      </c>
      <c r="Z91" s="2">
        <v>-0.26700000000000002</v>
      </c>
      <c r="AA91" s="2">
        <v>-0.30399999999999994</v>
      </c>
      <c r="AB91" s="2">
        <v>-0.23099999999999998</v>
      </c>
      <c r="AC91" s="2">
        <v>-0.28816047155478197</v>
      </c>
      <c r="AD91" s="2">
        <v>-0.12194300410752001</v>
      </c>
      <c r="AE91" s="4">
        <v>-0.2350000000000001</v>
      </c>
      <c r="AF91" s="1">
        <v>-0.31899641577060933</v>
      </c>
      <c r="AG91" s="1">
        <v>-0.3689320388349514</v>
      </c>
      <c r="AH91" s="1">
        <v>-0.39622641509433965</v>
      </c>
      <c r="AI91" s="1">
        <v>-0.36561142299655797</v>
      </c>
      <c r="AJ91" s="1">
        <v>-0.27972235580925681</v>
      </c>
      <c r="AK91" s="5">
        <v>-0.29448621553884724</v>
      </c>
      <c r="AL91" s="2">
        <v>0.995</v>
      </c>
      <c r="AM91" s="2">
        <v>0.995</v>
      </c>
      <c r="AN91" s="2">
        <v>0.74299999999999999</v>
      </c>
      <c r="AO91" s="2">
        <v>0.995</v>
      </c>
      <c r="AP91" s="2">
        <v>0.67300000000000004</v>
      </c>
      <c r="AQ91" s="4">
        <v>0.995</v>
      </c>
      <c r="AR91" s="2">
        <v>0.93500000000000005</v>
      </c>
      <c r="AS91" s="2">
        <v>0.95799999999999996</v>
      </c>
      <c r="AT91" s="2">
        <v>0.73899999999999999</v>
      </c>
      <c r="AU91" s="2">
        <v>0.995</v>
      </c>
      <c r="AV91" s="2">
        <v>0.67300000000000004</v>
      </c>
      <c r="AW91" s="4">
        <v>0.995</v>
      </c>
      <c r="AX91" s="1">
        <v>15.583333333333334</v>
      </c>
      <c r="AY91" s="1">
        <v>25.891891891891891</v>
      </c>
      <c r="AZ91" s="1">
        <v>184.75</v>
      </c>
      <c r="BA91" s="1" t="e">
        <v>#DIV/0!</v>
      </c>
      <c r="BB91" s="1" t="e">
        <v>#DIV/0!</v>
      </c>
      <c r="BC91" s="5" t="e">
        <v>#DIV/0!</v>
      </c>
      <c r="BD91" s="3">
        <f>$BH$1*F91+$BH$2*X91</f>
        <v>0.14348000000000002</v>
      </c>
      <c r="BE91" s="3">
        <f>$BH$1*M91+$BH$2*AE91</f>
        <v>-0.12700000000000003</v>
      </c>
    </row>
    <row r="92" spans="1:57">
      <c r="A92" t="s">
        <v>11</v>
      </c>
      <c r="B92" s="2">
        <v>0.29599999999999999</v>
      </c>
      <c r="C92" s="2">
        <v>0.20100000000000001</v>
      </c>
      <c r="D92" s="2">
        <v>9.5000000000000001E-2</v>
      </c>
      <c r="E92" s="2">
        <v>0.14299999999999999</v>
      </c>
      <c r="F92" s="2">
        <v>3.44E-2</v>
      </c>
      <c r="G92" s="4">
        <v>0.23799999999999999</v>
      </c>
      <c r="H92" s="2">
        <v>-0.17499999999999999</v>
      </c>
      <c r="I92" s="2">
        <v>-0.17799999999999999</v>
      </c>
      <c r="J92" s="2">
        <v>-0.10700000000000001</v>
      </c>
      <c r="K92" s="2">
        <v>7.181411621642049E-2</v>
      </c>
      <c r="L92" s="2">
        <v>1.92693515204269E-2</v>
      </c>
      <c r="M92" s="4">
        <v>0.06</v>
      </c>
      <c r="N92" s="1">
        <v>-0.37154989384288745</v>
      </c>
      <c r="O92" s="1">
        <v>-0.46965699208443268</v>
      </c>
      <c r="P92" s="1">
        <v>-0.52970297029702973</v>
      </c>
      <c r="Q92" s="1">
        <v>1.008825238930108</v>
      </c>
      <c r="R92" s="1">
        <v>1.2735311078332956</v>
      </c>
      <c r="S92" s="5">
        <v>0.33707865168539325</v>
      </c>
      <c r="T92" s="2">
        <v>0.55500000000000005</v>
      </c>
      <c r="U92" s="2">
        <v>0.50900000000000001</v>
      </c>
      <c r="V92" s="2">
        <v>0.34</v>
      </c>
      <c r="W92" s="2">
        <v>0.48699999999999999</v>
      </c>
      <c r="X92" s="2">
        <v>0.30399999999999999</v>
      </c>
      <c r="Y92" s="4">
        <v>0.54300000000000004</v>
      </c>
      <c r="Z92" s="2">
        <v>-0.28199999999999992</v>
      </c>
      <c r="AA92" s="2">
        <v>-0.31499999999999995</v>
      </c>
      <c r="AB92" s="2">
        <v>-0.24299999999999994</v>
      </c>
      <c r="AC92" s="2">
        <v>-0.30116047155478198</v>
      </c>
      <c r="AD92" s="2">
        <v>-0.13194300410752002</v>
      </c>
      <c r="AE92" s="4">
        <v>-0.255</v>
      </c>
      <c r="AF92" s="1">
        <v>-0.33691756272401424</v>
      </c>
      <c r="AG92" s="1">
        <v>-0.38228155339805819</v>
      </c>
      <c r="AH92" s="1">
        <v>-0.41680960548885071</v>
      </c>
      <c r="AI92" s="1">
        <v>-0.38210552599864744</v>
      </c>
      <c r="AJ92" s="1">
        <v>-0.30266113428666902</v>
      </c>
      <c r="AK92" s="5">
        <v>-0.31954887218045114</v>
      </c>
      <c r="AL92" s="2">
        <v>0.995</v>
      </c>
      <c r="AM92" s="2">
        <v>0.995</v>
      </c>
      <c r="AN92" s="2">
        <v>0.73899999999999999</v>
      </c>
      <c r="AO92" s="2">
        <v>0.995</v>
      </c>
      <c r="AP92" s="2">
        <v>0.622</v>
      </c>
      <c r="AQ92" s="4">
        <v>0.995</v>
      </c>
      <c r="AR92" s="2">
        <v>0.93500000000000005</v>
      </c>
      <c r="AS92" s="2">
        <v>0.95799999999999996</v>
      </c>
      <c r="AT92" s="2">
        <v>0.73499999999999999</v>
      </c>
      <c r="AU92" s="2">
        <v>0.995</v>
      </c>
      <c r="AV92" s="2">
        <v>0.622</v>
      </c>
      <c r="AW92" s="4">
        <v>0.995</v>
      </c>
      <c r="AX92" s="1">
        <v>15.583333333333334</v>
      </c>
      <c r="AY92" s="1">
        <v>25.891891891891891</v>
      </c>
      <c r="AZ92" s="1">
        <v>183.75</v>
      </c>
      <c r="BA92" s="1" t="e">
        <v>#DIV/0!</v>
      </c>
      <c r="BB92" s="1" t="e">
        <v>#DIV/0!</v>
      </c>
      <c r="BC92" s="5" t="e">
        <v>#DIV/0!</v>
      </c>
      <c r="BD92" s="3">
        <f>$BH$1*F92+$BH$2*X92</f>
        <v>0.14224000000000001</v>
      </c>
      <c r="BE92" s="3">
        <f>$BH$1*M92+$BH$2*AE92</f>
        <v>-6.6000000000000003E-2</v>
      </c>
    </row>
    <row r="93" spans="1:57">
      <c r="A93" t="s">
        <v>199</v>
      </c>
      <c r="B93" s="2">
        <v>0.17406772009029345</v>
      </c>
      <c r="C93" s="2">
        <v>0.114</v>
      </c>
      <c r="D93" s="2">
        <v>5.1900000000000002E-2</v>
      </c>
      <c r="E93" s="2">
        <v>8.4000000000000005E-2</v>
      </c>
      <c r="F93" s="2">
        <v>3.39E-2</v>
      </c>
      <c r="G93" s="4">
        <v>0.13414561664190194</v>
      </c>
      <c r="H93" s="2">
        <v>-0.2969322799097065</v>
      </c>
      <c r="I93" s="2">
        <v>-0.26500000000000001</v>
      </c>
      <c r="J93" s="2">
        <v>-0.15010000000000001</v>
      </c>
      <c r="K93" s="2">
        <v>1.2814116216420507E-2</v>
      </c>
      <c r="L93" s="2">
        <v>1.87693515204269E-2</v>
      </c>
      <c r="M93" s="4">
        <v>-4.3854383358098048E-2</v>
      </c>
      <c r="N93" s="1">
        <v>-0.63042946902273145</v>
      </c>
      <c r="O93" s="1">
        <v>-0.69920844327176779</v>
      </c>
      <c r="P93" s="1">
        <v>-0.74306930693069306</v>
      </c>
      <c r="Q93" s="1">
        <v>0.18000923125964405</v>
      </c>
      <c r="R93" s="1">
        <v>1.2404855975450209</v>
      </c>
      <c r="S93" s="5">
        <v>-0.246372940214034</v>
      </c>
      <c r="T93" s="2">
        <v>0.55649737302977231</v>
      </c>
      <c r="U93" s="2">
        <v>0.50900000000000001</v>
      </c>
      <c r="V93" s="2">
        <v>0.34399999999999997</v>
      </c>
      <c r="W93" s="2">
        <v>0.48899999999999999</v>
      </c>
      <c r="X93" s="2">
        <v>0.30299999999999999</v>
      </c>
      <c r="Y93" s="4">
        <v>0.54811950790861164</v>
      </c>
      <c r="Z93" s="2">
        <v>-0.28050262697022765</v>
      </c>
      <c r="AA93" s="2">
        <v>-0.31499999999999995</v>
      </c>
      <c r="AB93" s="2">
        <v>-0.23899999999999999</v>
      </c>
      <c r="AC93" s="2">
        <v>-0.29916047155478198</v>
      </c>
      <c r="AD93" s="2">
        <v>-0.13294300410752002</v>
      </c>
      <c r="AE93" s="4">
        <v>-0.24988049209138841</v>
      </c>
      <c r="AF93" s="1">
        <v>-0.33512858658330663</v>
      </c>
      <c r="AG93" s="1">
        <v>-0.38228155339805819</v>
      </c>
      <c r="AH93" s="1">
        <v>-0.40994854202401371</v>
      </c>
      <c r="AI93" s="1">
        <v>-0.37956797169063367</v>
      </c>
      <c r="AJ93" s="1">
        <v>-0.30495501213441023</v>
      </c>
      <c r="AK93" s="5">
        <v>-0.31313344873607568</v>
      </c>
      <c r="AL93" s="2">
        <v>0.99498391959798982</v>
      </c>
      <c r="AM93" s="2">
        <v>0.995</v>
      </c>
      <c r="AN93" s="2">
        <v>0.75</v>
      </c>
      <c r="AO93" s="2">
        <v>0.995</v>
      </c>
      <c r="AP93" s="2">
        <v>0.68400000000000005</v>
      </c>
      <c r="AQ93" s="4">
        <v>0.99498391959798982</v>
      </c>
      <c r="AR93" s="2">
        <v>0.93498391959798988</v>
      </c>
      <c r="AS93" s="2">
        <v>0.95799999999999996</v>
      </c>
      <c r="AT93" s="2">
        <v>0.746</v>
      </c>
      <c r="AU93" s="2">
        <v>0.995</v>
      </c>
      <c r="AV93" s="2">
        <v>0.68400000000000005</v>
      </c>
      <c r="AW93" s="4">
        <v>0.99498391959798982</v>
      </c>
      <c r="AX93" s="1">
        <v>15.583065326633164</v>
      </c>
      <c r="AY93" s="1">
        <v>25.891891891891891</v>
      </c>
      <c r="AZ93" s="1">
        <v>186.5</v>
      </c>
      <c r="BA93" s="1" t="e">
        <v>#DIV/0!</v>
      </c>
      <c r="BB93" s="1" t="e">
        <v>#DIV/0!</v>
      </c>
      <c r="BC93" s="5" t="e">
        <v>#DIV/0!</v>
      </c>
      <c r="BD93" s="3">
        <f>$BH$1*F93+$BH$2*X93</f>
        <v>0.14154</v>
      </c>
      <c r="BE93" s="3">
        <f>$BH$1*M93+$BH$2*AE93</f>
        <v>-0.12626482685141421</v>
      </c>
    </row>
    <row r="94" spans="1:57">
      <c r="A94" t="s">
        <v>77</v>
      </c>
      <c r="B94" s="2">
        <v>0.14099999999999999</v>
      </c>
      <c r="C94" s="2">
        <v>7.0999999999999994E-2</v>
      </c>
      <c r="D94" s="2">
        <v>3.3000000000000002E-2</v>
      </c>
      <c r="E94" s="2">
        <v>6.83E-2</v>
      </c>
      <c r="F94" s="2">
        <v>2.52E-2</v>
      </c>
      <c r="G94" s="4">
        <v>0.127</v>
      </c>
      <c r="H94" s="2">
        <v>-0.32999999999999996</v>
      </c>
      <c r="I94" s="2">
        <v>-0.308</v>
      </c>
      <c r="J94" s="2">
        <v>-0.16900000000000001</v>
      </c>
      <c r="K94" s="2">
        <v>-2.8858837835794987E-3</v>
      </c>
      <c r="L94" s="2">
        <v>1.00693515204269E-2</v>
      </c>
      <c r="M94" s="4">
        <v>-5.099999999999999E-2</v>
      </c>
      <c r="N94" s="1">
        <v>-0.70063694267515919</v>
      </c>
      <c r="O94" s="1">
        <v>-0.81266490765171506</v>
      </c>
      <c r="P94" s="1">
        <v>-0.8366336633663366</v>
      </c>
      <c r="Q94" s="1">
        <v>-4.0540113154360916E-2</v>
      </c>
      <c r="R94" s="1">
        <v>0.66549371852904216</v>
      </c>
      <c r="S94" s="5">
        <v>-0.28651685393258425</v>
      </c>
      <c r="T94" s="2">
        <v>0.65700000000000003</v>
      </c>
      <c r="U94" s="2">
        <v>0.61899999999999999</v>
      </c>
      <c r="V94" s="2">
        <v>0.36699999999999999</v>
      </c>
      <c r="W94" s="2">
        <v>0.56499999999999995</v>
      </c>
      <c r="X94" s="2">
        <v>0.316</v>
      </c>
      <c r="Y94" s="4">
        <v>0.628</v>
      </c>
      <c r="Z94" s="2">
        <v>-0.17999999999999994</v>
      </c>
      <c r="AA94" s="2">
        <v>-0.20499999999999996</v>
      </c>
      <c r="AB94" s="2">
        <v>-0.21599999999999997</v>
      </c>
      <c r="AC94" s="2">
        <v>-0.22316047155478203</v>
      </c>
      <c r="AD94" s="2">
        <v>-0.11994300410752001</v>
      </c>
      <c r="AE94" s="4">
        <v>-0.17000000000000004</v>
      </c>
      <c r="AF94" s="1">
        <v>-0.21505376344086016</v>
      </c>
      <c r="AG94" s="1">
        <v>-0.24878640776699026</v>
      </c>
      <c r="AH94" s="1">
        <v>-0.37049742710120065</v>
      </c>
      <c r="AI94" s="1">
        <v>-0.28314090798611058</v>
      </c>
      <c r="AJ94" s="1">
        <v>-0.27513460011377439</v>
      </c>
      <c r="AK94" s="5">
        <v>-0.21303258145363413</v>
      </c>
      <c r="AL94" s="2">
        <v>0.97299999999999998</v>
      </c>
      <c r="AM94" s="2">
        <v>0.99099999999999999</v>
      </c>
      <c r="AN94" s="2">
        <v>0.59899999999999998</v>
      </c>
      <c r="AO94" s="2">
        <v>0.99099999999999999</v>
      </c>
      <c r="AP94" s="2">
        <v>0.53800000000000003</v>
      </c>
      <c r="AQ94" s="4">
        <v>0.97299999999999998</v>
      </c>
      <c r="AR94" s="2">
        <v>0.91300000000000003</v>
      </c>
      <c r="AS94" s="2">
        <v>0.95399999999999996</v>
      </c>
      <c r="AT94" s="2">
        <v>0.59499999999999997</v>
      </c>
      <c r="AU94" s="2">
        <v>0.99099999999999999</v>
      </c>
      <c r="AV94" s="2">
        <v>0.53800000000000003</v>
      </c>
      <c r="AW94" s="4">
        <v>0.97299999999999998</v>
      </c>
      <c r="AX94" s="1">
        <v>15.216666666666669</v>
      </c>
      <c r="AY94" s="1">
        <v>25.783783783783782</v>
      </c>
      <c r="AZ94" s="1">
        <v>148.75</v>
      </c>
      <c r="BA94" s="1" t="e">
        <v>#DIV/0!</v>
      </c>
      <c r="BB94" s="1" t="e">
        <v>#DIV/0!</v>
      </c>
      <c r="BC94" s="5" t="e">
        <v>#DIV/0!</v>
      </c>
      <c r="BD94" s="3">
        <f>$BH$1*F94+$BH$2*X94</f>
        <v>0.14152000000000001</v>
      </c>
      <c r="BE94" s="3">
        <f>$BH$1*M94+$BH$2*AE94</f>
        <v>-9.8600000000000007E-2</v>
      </c>
    </row>
    <row r="95" spans="1:57">
      <c r="A95" t="s">
        <v>206</v>
      </c>
      <c r="B95" s="2">
        <v>0.24356785714285714</v>
      </c>
      <c r="C95" s="2">
        <v>0.16900000000000001</v>
      </c>
      <c r="D95" s="2">
        <v>7.7399999999999997E-2</v>
      </c>
      <c r="E95" s="2">
        <v>0.123</v>
      </c>
      <c r="F95" s="2">
        <v>3.6999999999999998E-2</v>
      </c>
      <c r="G95" s="4">
        <v>0.20805439330543934</v>
      </c>
      <c r="H95" s="2">
        <v>-0.22743214285714283</v>
      </c>
      <c r="I95" s="2">
        <v>-0.21</v>
      </c>
      <c r="J95" s="2">
        <v>-0.12460000000000002</v>
      </c>
      <c r="K95" s="2">
        <v>5.18141162164205E-2</v>
      </c>
      <c r="L95" s="2">
        <v>2.1869351520426898E-2</v>
      </c>
      <c r="M95" s="4">
        <v>3.0054393305439353E-2</v>
      </c>
      <c r="N95" s="1">
        <v>-0.4828707916287534</v>
      </c>
      <c r="O95" s="1">
        <v>-0.55408970976253291</v>
      </c>
      <c r="P95" s="1">
        <v>-0.61683168316831682</v>
      </c>
      <c r="Q95" s="1">
        <v>0.72787066005876433</v>
      </c>
      <c r="R95" s="1">
        <v>1.4453677613323237</v>
      </c>
      <c r="S95" s="5">
        <v>0.16884490621033346</v>
      </c>
      <c r="T95" s="2">
        <v>0.56301913043478269</v>
      </c>
      <c r="U95" s="2">
        <v>0.51300000000000001</v>
      </c>
      <c r="V95" s="2">
        <v>0.34499999999999997</v>
      </c>
      <c r="W95" s="2">
        <v>0.49199999999999999</v>
      </c>
      <c r="X95" s="2">
        <v>0.29699999999999999</v>
      </c>
      <c r="Y95" s="4">
        <v>0.55105683836589703</v>
      </c>
      <c r="Z95" s="2">
        <v>-0.27398086956521728</v>
      </c>
      <c r="AA95" s="2">
        <v>-0.31099999999999994</v>
      </c>
      <c r="AB95" s="2">
        <v>-0.23799999999999999</v>
      </c>
      <c r="AC95" s="2">
        <v>-0.29616047155478198</v>
      </c>
      <c r="AD95" s="2">
        <v>-0.13894300410752003</v>
      </c>
      <c r="AE95" s="4">
        <v>-0.24694316163410301</v>
      </c>
      <c r="AF95" s="1">
        <v>-0.32733676172666343</v>
      </c>
      <c r="AG95" s="1">
        <v>-0.37742718446601936</v>
      </c>
      <c r="AH95" s="1">
        <v>-0.40823327615780447</v>
      </c>
      <c r="AI95" s="1">
        <v>-0.37576164022861303</v>
      </c>
      <c r="AJ95" s="1">
        <v>-0.3187182792208576</v>
      </c>
      <c r="AK95" s="5">
        <v>-0.30945258350138222</v>
      </c>
      <c r="AL95" s="2">
        <v>0.99446958270487684</v>
      </c>
      <c r="AM95" s="2">
        <v>0.995</v>
      </c>
      <c r="AN95" s="2">
        <v>0.73499999999999999</v>
      </c>
      <c r="AO95" s="2">
        <v>0.995</v>
      </c>
      <c r="AP95" s="2">
        <v>0.63400000000000001</v>
      </c>
      <c r="AQ95" s="4">
        <v>0.99446958270487684</v>
      </c>
      <c r="AR95" s="2">
        <v>0.93446958270487679</v>
      </c>
      <c r="AS95" s="2">
        <v>0.95799999999999996</v>
      </c>
      <c r="AT95" s="2">
        <v>0.73099999999999998</v>
      </c>
      <c r="AU95" s="2">
        <v>0.995</v>
      </c>
      <c r="AV95" s="2">
        <v>0.63400000000000001</v>
      </c>
      <c r="AW95" s="4">
        <v>0.99446958270487684</v>
      </c>
      <c r="AX95" s="1">
        <v>15.57449304508128</v>
      </c>
      <c r="AY95" s="1">
        <v>25.891891891891891</v>
      </c>
      <c r="AZ95" s="1">
        <v>182.75</v>
      </c>
      <c r="BA95" s="1" t="e">
        <v>#DIV/0!</v>
      </c>
      <c r="BB95" s="1" t="e">
        <v>#DIV/0!</v>
      </c>
      <c r="BC95" s="5" t="e">
        <v>#DIV/0!</v>
      </c>
      <c r="BD95" s="3">
        <f>$BH$1*F95+$BH$2*X95</f>
        <v>0.14100000000000001</v>
      </c>
      <c r="BE95" s="3">
        <f>$BH$1*M95+$BH$2*AE95</f>
        <v>-8.0744628670377599E-2</v>
      </c>
    </row>
    <row r="96" spans="1:57">
      <c r="A96" t="s">
        <v>178</v>
      </c>
      <c r="B96" s="2">
        <v>0.13840248377081571</v>
      </c>
      <c r="C96" s="2">
        <v>8.9599999999999999E-2</v>
      </c>
      <c r="D96" s="2">
        <v>3.7499999999999999E-2</v>
      </c>
      <c r="E96" s="2">
        <v>8.6099999999999996E-2</v>
      </c>
      <c r="F96" s="2">
        <v>2.8799999999999999E-2</v>
      </c>
      <c r="G96" s="4">
        <v>0.12845093817286987</v>
      </c>
      <c r="H96" s="2">
        <v>-0.33259751622918426</v>
      </c>
      <c r="I96" s="2">
        <v>-0.28939999999999999</v>
      </c>
      <c r="J96" s="2">
        <v>-0.16450000000000001</v>
      </c>
      <c r="K96" s="2">
        <v>1.4914116216420498E-2</v>
      </c>
      <c r="L96" s="2">
        <v>1.3669351520426899E-2</v>
      </c>
      <c r="M96" s="4">
        <v>-4.954906182713012E-2</v>
      </c>
      <c r="N96" s="1">
        <v>-0.70615183912777979</v>
      </c>
      <c r="O96" s="1">
        <v>-0.76358839050131921</v>
      </c>
      <c r="P96" s="1">
        <v>-0.8143564356435643</v>
      </c>
      <c r="Q96" s="1">
        <v>0.20950946204113502</v>
      </c>
      <c r="R96" s="1">
        <v>0.90342139260461951</v>
      </c>
      <c r="S96" s="5">
        <v>-0.27836551588275349</v>
      </c>
      <c r="T96" s="2">
        <v>0.56476551724137924</v>
      </c>
      <c r="U96" s="2">
        <v>0.52</v>
      </c>
      <c r="V96" s="2">
        <v>0.34599999999999997</v>
      </c>
      <c r="W96" s="2">
        <v>0.5</v>
      </c>
      <c r="X96" s="2">
        <v>0.309</v>
      </c>
      <c r="Y96" s="4">
        <v>0.55375886524822693</v>
      </c>
      <c r="Z96" s="2">
        <v>-0.27223448275862072</v>
      </c>
      <c r="AA96" s="2">
        <v>-0.30399999999999994</v>
      </c>
      <c r="AB96" s="2">
        <v>-0.23699999999999999</v>
      </c>
      <c r="AC96" s="2">
        <v>-0.28816047155478197</v>
      </c>
      <c r="AD96" s="2">
        <v>-0.12694300410752002</v>
      </c>
      <c r="AE96" s="4">
        <v>-0.24424113475177311</v>
      </c>
      <c r="AF96" s="1">
        <v>-0.3252502780867631</v>
      </c>
      <c r="AG96" s="1">
        <v>-0.3689320388349514</v>
      </c>
      <c r="AH96" s="1">
        <v>-0.40651801029159518</v>
      </c>
      <c r="AI96" s="1">
        <v>-0.36561142299655797</v>
      </c>
      <c r="AJ96" s="1">
        <v>-0.29119174504796291</v>
      </c>
      <c r="AK96" s="5">
        <v>-0.30606658490197131</v>
      </c>
      <c r="AL96" s="2">
        <v>0.99448768225238826</v>
      </c>
      <c r="AM96" s="2">
        <v>0.995</v>
      </c>
      <c r="AN96" s="2">
        <v>0.77300000000000002</v>
      </c>
      <c r="AO96" s="2">
        <v>0.995</v>
      </c>
      <c r="AP96" s="2">
        <v>0.68</v>
      </c>
      <c r="AQ96" s="4">
        <v>0.99448768225238826</v>
      </c>
      <c r="AR96" s="2">
        <v>0.93448768225238821</v>
      </c>
      <c r="AS96" s="2">
        <v>0.95799999999999996</v>
      </c>
      <c r="AT96" s="2">
        <v>0.76900000000000002</v>
      </c>
      <c r="AU96" s="2">
        <v>0.995</v>
      </c>
      <c r="AV96" s="2">
        <v>0.68</v>
      </c>
      <c r="AW96" s="4">
        <v>0.99448768225238826</v>
      </c>
      <c r="AX96" s="1">
        <v>15.57479470420647</v>
      </c>
      <c r="AY96" s="1">
        <v>25.891891891891891</v>
      </c>
      <c r="AZ96" s="1">
        <v>192.25</v>
      </c>
      <c r="BA96" s="1" t="e">
        <v>#DIV/0!</v>
      </c>
      <c r="BB96" s="1" t="e">
        <v>#DIV/0!</v>
      </c>
      <c r="BC96" s="5" t="e">
        <v>#DIV/0!</v>
      </c>
      <c r="BD96" s="3">
        <f>$BH$1*F96+$BH$2*X96</f>
        <v>0.14088000000000001</v>
      </c>
      <c r="BE96" s="3">
        <f>$BH$1*M96+$BH$2*AE96</f>
        <v>-0.12742589099698731</v>
      </c>
    </row>
    <row r="97" spans="1:57">
      <c r="A97" t="s">
        <v>132</v>
      </c>
      <c r="B97" s="2">
        <v>0.15</v>
      </c>
      <c r="C97" s="2">
        <v>9.4E-2</v>
      </c>
      <c r="D97" s="2">
        <v>4.2999999999999997E-2</v>
      </c>
      <c r="E97" s="2">
        <v>7.7700000000000005E-2</v>
      </c>
      <c r="F97" s="2">
        <v>2.9700000000000001E-2</v>
      </c>
      <c r="G97" s="4">
        <v>0.13700000000000001</v>
      </c>
      <c r="H97" s="2">
        <v>-0.32099999999999995</v>
      </c>
      <c r="I97" s="2">
        <v>-0.28500000000000003</v>
      </c>
      <c r="J97" s="2">
        <v>-0.15900000000000003</v>
      </c>
      <c r="K97" s="2">
        <v>6.5141162164205069E-3</v>
      </c>
      <c r="L97" s="2">
        <v>1.4569351520426901E-2</v>
      </c>
      <c r="M97" s="4">
        <v>-4.0999999999999981E-2</v>
      </c>
      <c r="N97" s="1">
        <v>-0.68152866242038213</v>
      </c>
      <c r="O97" s="1">
        <v>-0.75197889182058053</v>
      </c>
      <c r="P97" s="1">
        <v>-0.78712871287128727</v>
      </c>
      <c r="Q97" s="1">
        <v>9.1508538915170745E-2</v>
      </c>
      <c r="R97" s="1">
        <v>0.96290331112351402</v>
      </c>
      <c r="S97" s="5">
        <v>-0.23033707865168529</v>
      </c>
      <c r="T97" s="2">
        <v>0.56299999999999994</v>
      </c>
      <c r="U97" s="2">
        <v>0.51100000000000001</v>
      </c>
      <c r="V97" s="2">
        <v>0.34399999999999997</v>
      </c>
      <c r="W97" s="2">
        <v>0.498</v>
      </c>
      <c r="X97" s="2">
        <v>0.30499999999999999</v>
      </c>
      <c r="Y97" s="4">
        <v>0.56000000000000005</v>
      </c>
      <c r="Z97" s="2">
        <v>-0.27400000000000002</v>
      </c>
      <c r="AA97" s="2">
        <v>-0.31299999999999994</v>
      </c>
      <c r="AB97" s="2">
        <v>-0.23899999999999999</v>
      </c>
      <c r="AC97" s="2">
        <v>-0.29016047155478197</v>
      </c>
      <c r="AD97" s="2">
        <v>-0.13094300410752002</v>
      </c>
      <c r="AE97" s="4">
        <v>-0.23799999999999999</v>
      </c>
      <c r="AF97" s="1">
        <v>-0.32735961768219835</v>
      </c>
      <c r="AG97" s="1">
        <v>-0.37985436893203878</v>
      </c>
      <c r="AH97" s="1">
        <v>-0.40994854202401371</v>
      </c>
      <c r="AI97" s="1">
        <v>-0.36814897730457175</v>
      </c>
      <c r="AJ97" s="1">
        <v>-0.30036725643892781</v>
      </c>
      <c r="AK97" s="5">
        <v>-0.2982456140350877</v>
      </c>
      <c r="AL97" s="2">
        <v>0.995</v>
      </c>
      <c r="AM97" s="2">
        <v>0.995</v>
      </c>
      <c r="AN97" s="2">
        <v>0.72699999999999998</v>
      </c>
      <c r="AO97" s="2">
        <v>0.995</v>
      </c>
      <c r="AP97" s="2">
        <v>0.66900000000000004</v>
      </c>
      <c r="AQ97" s="4">
        <v>0.995</v>
      </c>
      <c r="AR97" s="2">
        <v>0.93500000000000005</v>
      </c>
      <c r="AS97" s="2">
        <v>0.95799999999999996</v>
      </c>
      <c r="AT97" s="2">
        <v>0.72299999999999998</v>
      </c>
      <c r="AU97" s="2">
        <v>0.995</v>
      </c>
      <c r="AV97" s="2">
        <v>0.66900000000000004</v>
      </c>
      <c r="AW97" s="4">
        <v>0.995</v>
      </c>
      <c r="AX97" s="1">
        <v>15.583333333333334</v>
      </c>
      <c r="AY97" s="1">
        <v>25.891891891891891</v>
      </c>
      <c r="AZ97" s="1">
        <v>180.75</v>
      </c>
      <c r="BA97" s="1" t="e">
        <v>#DIV/0!</v>
      </c>
      <c r="BB97" s="1" t="e">
        <v>#DIV/0!</v>
      </c>
      <c r="BC97" s="5" t="e">
        <v>#DIV/0!</v>
      </c>
      <c r="BD97" s="3">
        <f>$BH$1*F97+$BH$2*X97</f>
        <v>0.13982</v>
      </c>
      <c r="BE97" s="3">
        <f>$BH$1*M97+$BH$2*AE97</f>
        <v>-0.11979999999999999</v>
      </c>
    </row>
    <row r="98" spans="1:57">
      <c r="A98" t="s">
        <v>31</v>
      </c>
      <c r="B98" s="2">
        <v>0.185</v>
      </c>
      <c r="C98" s="2">
        <v>0.14799999999999999</v>
      </c>
      <c r="D98" s="2">
        <v>6.2E-2</v>
      </c>
      <c r="E98" s="2">
        <v>0.14399999999999999</v>
      </c>
      <c r="F98" s="2">
        <v>4.9599999999999998E-2</v>
      </c>
      <c r="G98" s="4">
        <v>0.19800000000000001</v>
      </c>
      <c r="H98" s="2">
        <v>-0.28599999999999998</v>
      </c>
      <c r="I98" s="2">
        <v>-0.23100000000000001</v>
      </c>
      <c r="J98" s="2">
        <v>-0.14000000000000001</v>
      </c>
      <c r="K98" s="2">
        <v>7.2814116216420491E-2</v>
      </c>
      <c r="L98" s="2">
        <v>3.4469351520426898E-2</v>
      </c>
      <c r="M98" s="4">
        <v>2.0000000000000018E-2</v>
      </c>
      <c r="N98" s="1">
        <v>-0.60721868365180465</v>
      </c>
      <c r="O98" s="1">
        <v>-0.60949868073878632</v>
      </c>
      <c r="P98" s="1">
        <v>-0.69306930693069313</v>
      </c>
      <c r="Q98" s="1">
        <v>1.0228729678736752</v>
      </c>
      <c r="R98" s="1">
        <v>2.2781146205968446</v>
      </c>
      <c r="S98" s="5">
        <v>0.11235955056179786</v>
      </c>
      <c r="T98" s="2">
        <v>0.56799999999999995</v>
      </c>
      <c r="U98" s="2">
        <v>0.504</v>
      </c>
      <c r="V98" s="2">
        <v>0.32500000000000001</v>
      </c>
      <c r="W98" s="2">
        <v>0.47099999999999997</v>
      </c>
      <c r="X98" s="2">
        <v>0.27500000000000002</v>
      </c>
      <c r="Y98" s="4">
        <v>0.54200000000000004</v>
      </c>
      <c r="Z98" s="2">
        <v>-0.26900000000000002</v>
      </c>
      <c r="AA98" s="2">
        <v>-0.31999999999999995</v>
      </c>
      <c r="AB98" s="2">
        <v>-0.25799999999999995</v>
      </c>
      <c r="AC98" s="2">
        <v>-0.317160471554782</v>
      </c>
      <c r="AD98" s="2">
        <v>-0.16094300410751999</v>
      </c>
      <c r="AE98" s="4">
        <v>-0.25600000000000001</v>
      </c>
      <c r="AF98" s="1">
        <v>-0.32138590203106338</v>
      </c>
      <c r="AG98" s="1">
        <v>-0.38834951456310673</v>
      </c>
      <c r="AH98" s="1">
        <v>-0.44253859348198965</v>
      </c>
      <c r="AI98" s="1">
        <v>-0.40240596046275762</v>
      </c>
      <c r="AJ98" s="1">
        <v>-0.36918359187116434</v>
      </c>
      <c r="AK98" s="5">
        <v>-0.32080200501253131</v>
      </c>
      <c r="AL98" s="2">
        <v>0.995</v>
      </c>
      <c r="AM98" s="2">
        <v>0.995</v>
      </c>
      <c r="AN98" s="2">
        <v>0.79300000000000004</v>
      </c>
      <c r="AO98" s="2">
        <v>0.995</v>
      </c>
      <c r="AP98" s="2">
        <v>0.69599999999999995</v>
      </c>
      <c r="AQ98" s="4">
        <v>0.995</v>
      </c>
      <c r="AR98" s="2">
        <v>0.93500000000000005</v>
      </c>
      <c r="AS98" s="2">
        <v>0.95799999999999996</v>
      </c>
      <c r="AT98" s="2">
        <v>0.78900000000000003</v>
      </c>
      <c r="AU98" s="2">
        <v>0.995</v>
      </c>
      <c r="AV98" s="2">
        <v>0.69599999999999995</v>
      </c>
      <c r="AW98" s="4">
        <v>0.995</v>
      </c>
      <c r="AX98" s="1">
        <v>15.583333333333334</v>
      </c>
      <c r="AY98" s="1">
        <v>25.891891891891891</v>
      </c>
      <c r="AZ98" s="1">
        <v>197.25</v>
      </c>
      <c r="BA98" s="1" t="e">
        <v>#DIV/0!</v>
      </c>
      <c r="BB98" s="1" t="e">
        <v>#DIV/0!</v>
      </c>
      <c r="BC98" s="5" t="e">
        <v>#DIV/0!</v>
      </c>
      <c r="BD98" s="3">
        <f>$BH$1*F98+$BH$2*X98</f>
        <v>0.13976000000000002</v>
      </c>
      <c r="BE98" s="3">
        <f>$BH$1*M98+$BH$2*AE98</f>
        <v>-9.0399999999999994E-2</v>
      </c>
    </row>
    <row r="99" spans="1:57">
      <c r="A99" t="s">
        <v>97</v>
      </c>
      <c r="B99" s="2">
        <v>0.21</v>
      </c>
      <c r="C99" s="2">
        <v>0.124</v>
      </c>
      <c r="D99" s="2">
        <v>4.5999999999999999E-2</v>
      </c>
      <c r="E99" s="2">
        <v>0.114</v>
      </c>
      <c r="F99" s="2">
        <v>3.4599999999999999E-2</v>
      </c>
      <c r="G99" s="4">
        <v>0.184</v>
      </c>
      <c r="H99" s="2">
        <v>-0.26100000000000001</v>
      </c>
      <c r="I99" s="2">
        <v>-0.255</v>
      </c>
      <c r="J99" s="2">
        <v>-0.15600000000000003</v>
      </c>
      <c r="K99" s="2">
        <v>4.2814116216420506E-2</v>
      </c>
      <c r="L99" s="2">
        <v>1.9469351520426899E-2</v>
      </c>
      <c r="M99" s="4">
        <v>6.0000000000000053E-3</v>
      </c>
      <c r="N99" s="1">
        <v>-0.55414012738853513</v>
      </c>
      <c r="O99" s="1">
        <v>-0.67282321899736153</v>
      </c>
      <c r="P99" s="1">
        <v>-0.77227722772277241</v>
      </c>
      <c r="Q99" s="1">
        <v>0.6014410995666597</v>
      </c>
      <c r="R99" s="1">
        <v>1.2867493119486053</v>
      </c>
      <c r="S99" s="5">
        <v>3.370786516853936E-2</v>
      </c>
      <c r="T99" s="2">
        <v>0.63200000000000001</v>
      </c>
      <c r="U99" s="2">
        <v>0.58199999999999996</v>
      </c>
      <c r="V99" s="2">
        <v>0.34100000000000003</v>
      </c>
      <c r="W99" s="2">
        <v>0.53200000000000003</v>
      </c>
      <c r="X99" s="2">
        <v>0.29699999999999999</v>
      </c>
      <c r="Y99" s="4">
        <v>0.6</v>
      </c>
      <c r="Z99" s="2">
        <v>-0.20499999999999996</v>
      </c>
      <c r="AA99" s="2">
        <v>-0.24199999999999999</v>
      </c>
      <c r="AB99" s="2">
        <v>-0.24199999999999994</v>
      </c>
      <c r="AC99" s="2">
        <v>-0.25616047155478194</v>
      </c>
      <c r="AD99" s="2">
        <v>-0.13894300410752003</v>
      </c>
      <c r="AE99" s="4">
        <v>-0.19800000000000006</v>
      </c>
      <c r="AF99" s="1">
        <v>-0.24492234169653521</v>
      </c>
      <c r="AG99" s="1">
        <v>-0.2936893203883495</v>
      </c>
      <c r="AH99" s="1">
        <v>-0.41509433962264142</v>
      </c>
      <c r="AI99" s="1">
        <v>-0.32501055406833762</v>
      </c>
      <c r="AJ99" s="1">
        <v>-0.3187182792208576</v>
      </c>
      <c r="AK99" s="5">
        <v>-0.24812030075187977</v>
      </c>
      <c r="AL99" s="2">
        <v>0.95299999999999996</v>
      </c>
      <c r="AM99" s="2">
        <v>0.95499999999999996</v>
      </c>
      <c r="AN99" s="2">
        <v>0.60899999999999999</v>
      </c>
      <c r="AO99" s="2">
        <v>0.96799999999999997</v>
      </c>
      <c r="AP99" s="2">
        <v>0.53100000000000003</v>
      </c>
      <c r="AQ99" s="4">
        <v>0.96799999999999997</v>
      </c>
      <c r="AR99" s="2">
        <v>0.89300000000000002</v>
      </c>
      <c r="AS99" s="2">
        <v>0.91799999999999993</v>
      </c>
      <c r="AT99" s="2">
        <v>0.60499999999999998</v>
      </c>
      <c r="AU99" s="2">
        <v>0.96799999999999997</v>
      </c>
      <c r="AV99" s="2">
        <v>0.53100000000000003</v>
      </c>
      <c r="AW99" s="4">
        <v>0.96799999999999997</v>
      </c>
      <c r="AX99" s="1">
        <v>14.883333333333335</v>
      </c>
      <c r="AY99" s="1">
        <v>24.810810810810811</v>
      </c>
      <c r="AZ99" s="1">
        <v>151.25</v>
      </c>
      <c r="BA99" s="1" t="e">
        <v>#DIV/0!</v>
      </c>
      <c r="BB99" s="1" t="e">
        <v>#DIV/0!</v>
      </c>
      <c r="BC99" s="5" t="e">
        <v>#DIV/0!</v>
      </c>
      <c r="BD99" s="3">
        <f>$BH$1*F99+$BH$2*X99</f>
        <v>0.13955999999999999</v>
      </c>
      <c r="BE99" s="3">
        <f>$BH$1*M99+$BH$2*AE99</f>
        <v>-7.5600000000000028E-2</v>
      </c>
    </row>
    <row r="100" spans="1:57">
      <c r="A100" t="s">
        <v>185</v>
      </c>
      <c r="B100" s="2">
        <v>0.17213488372093022</v>
      </c>
      <c r="C100" s="2">
        <v>0.10199999999999999</v>
      </c>
      <c r="D100" s="2">
        <v>4.48E-2</v>
      </c>
      <c r="E100" s="2">
        <v>8.3699999999999997E-2</v>
      </c>
      <c r="F100" s="2">
        <v>3.39E-2</v>
      </c>
      <c r="G100" s="4">
        <v>0.13950967741935483</v>
      </c>
      <c r="H100" s="2">
        <v>-0.29886511627906975</v>
      </c>
      <c r="I100" s="2">
        <v>-0.27700000000000002</v>
      </c>
      <c r="J100" s="2">
        <v>-0.15720000000000001</v>
      </c>
      <c r="K100" s="2">
        <v>1.2514116216420498E-2</v>
      </c>
      <c r="L100" s="2">
        <v>1.87693515204269E-2</v>
      </c>
      <c r="M100" s="4">
        <v>-3.8490322580645164E-2</v>
      </c>
      <c r="N100" s="1">
        <v>-0.63453315558188916</v>
      </c>
      <c r="O100" s="1">
        <v>-0.7308707124010555</v>
      </c>
      <c r="P100" s="1">
        <v>-0.77821782178217824</v>
      </c>
      <c r="Q100" s="1">
        <v>0.17579491257657376</v>
      </c>
      <c r="R100" s="1">
        <v>1.2404855975450209</v>
      </c>
      <c r="S100" s="5">
        <v>-0.21623776730699532</v>
      </c>
      <c r="T100" s="2">
        <v>0.55491806167400881</v>
      </c>
      <c r="U100" s="2">
        <v>0.503</v>
      </c>
      <c r="V100" s="2">
        <v>0.33200000000000002</v>
      </c>
      <c r="W100" s="2">
        <v>0.48499999999999999</v>
      </c>
      <c r="X100" s="2">
        <v>0.29599999999999999</v>
      </c>
      <c r="Y100" s="4">
        <v>0.54876496872207325</v>
      </c>
      <c r="Z100" s="2">
        <v>-0.28208193832599116</v>
      </c>
      <c r="AA100" s="2">
        <v>-0.32099999999999995</v>
      </c>
      <c r="AB100" s="2">
        <v>-0.25099999999999995</v>
      </c>
      <c r="AC100" s="2">
        <v>-0.30316047155478199</v>
      </c>
      <c r="AD100" s="2">
        <v>-0.13994300410752003</v>
      </c>
      <c r="AE100" s="4">
        <v>-0.24923503127792679</v>
      </c>
      <c r="AF100" s="1">
        <v>-0.33701545797609456</v>
      </c>
      <c r="AG100" s="1">
        <v>-0.38956310679611644</v>
      </c>
      <c r="AH100" s="1">
        <v>-0.43053173241852483</v>
      </c>
      <c r="AI100" s="1">
        <v>-0.38464308030666122</v>
      </c>
      <c r="AJ100" s="1">
        <v>-0.32101215706859881</v>
      </c>
      <c r="AK100" s="5">
        <v>-0.31232460059890571</v>
      </c>
      <c r="AL100" s="2">
        <v>0.99498391959798982</v>
      </c>
      <c r="AM100" s="2">
        <v>0.995</v>
      </c>
      <c r="AN100" s="2">
        <v>0.74099999999999999</v>
      </c>
      <c r="AO100" s="2">
        <v>0.995</v>
      </c>
      <c r="AP100" s="2">
        <v>0.64400000000000002</v>
      </c>
      <c r="AQ100" s="4">
        <v>0.99498391959798982</v>
      </c>
      <c r="AR100" s="2">
        <v>0.93498391959798988</v>
      </c>
      <c r="AS100" s="2">
        <v>0.95799999999999996</v>
      </c>
      <c r="AT100" s="2">
        <v>0.73699999999999999</v>
      </c>
      <c r="AU100" s="2">
        <v>0.995</v>
      </c>
      <c r="AV100" s="2">
        <v>0.64400000000000002</v>
      </c>
      <c r="AW100" s="4">
        <v>0.99498391959798982</v>
      </c>
      <c r="AX100" s="1">
        <v>15.583065326633164</v>
      </c>
      <c r="AY100" s="1">
        <v>25.891891891891891</v>
      </c>
      <c r="AZ100" s="1">
        <v>184.25</v>
      </c>
      <c r="BA100" s="1" t="e">
        <v>#DIV/0!</v>
      </c>
      <c r="BB100" s="1" t="e">
        <v>#DIV/0!</v>
      </c>
      <c r="BC100" s="5" t="e">
        <v>#DIV/0!</v>
      </c>
      <c r="BD100" s="3">
        <f>$BH$1*F100+$BH$2*X100</f>
        <v>0.13874</v>
      </c>
      <c r="BE100" s="3">
        <f>$BH$1*M100+$BH$2*AE100</f>
        <v>-0.12278820605955781</v>
      </c>
    </row>
    <row r="101" spans="1:57">
      <c r="A101" t="s">
        <v>144</v>
      </c>
      <c r="B101" s="2">
        <v>0.17899999999999999</v>
      </c>
      <c r="C101" s="2">
        <v>0.121</v>
      </c>
      <c r="D101" s="2">
        <v>0.05</v>
      </c>
      <c r="E101" s="2">
        <v>8.2699999999999996E-2</v>
      </c>
      <c r="F101" s="2">
        <v>2.7699999999999999E-2</v>
      </c>
      <c r="G101" s="4">
        <v>0.14299999999999999</v>
      </c>
      <c r="H101" s="2">
        <v>-0.29199999999999998</v>
      </c>
      <c r="I101" s="2">
        <v>-0.25800000000000001</v>
      </c>
      <c r="J101" s="2">
        <v>-0.15200000000000002</v>
      </c>
      <c r="K101" s="2">
        <v>1.1514116216420497E-2</v>
      </c>
      <c r="L101" s="2">
        <v>1.2569351520426899E-2</v>
      </c>
      <c r="M101" s="4">
        <v>-3.5000000000000003E-2</v>
      </c>
      <c r="N101" s="1">
        <v>-0.61995753715498936</v>
      </c>
      <c r="O101" s="1">
        <v>-0.68073878627968343</v>
      </c>
      <c r="P101" s="1">
        <v>-0.75247524752475259</v>
      </c>
      <c r="Q101" s="1">
        <v>0.16174718363300658</v>
      </c>
      <c r="R101" s="1">
        <v>0.83072126997041529</v>
      </c>
      <c r="S101" s="5">
        <v>-0.1966292134831461</v>
      </c>
      <c r="T101" s="2">
        <v>0.56899999999999995</v>
      </c>
      <c r="U101" s="2">
        <v>0.52200000000000002</v>
      </c>
      <c r="V101" s="2">
        <v>0.34300000000000003</v>
      </c>
      <c r="W101" s="2">
        <v>0.499</v>
      </c>
      <c r="X101" s="2">
        <v>0.30399999999999999</v>
      </c>
      <c r="Y101" s="4">
        <v>0.55800000000000005</v>
      </c>
      <c r="Z101" s="2">
        <v>-0.26800000000000002</v>
      </c>
      <c r="AA101" s="2">
        <v>-0.30199999999999994</v>
      </c>
      <c r="AB101" s="2">
        <v>-0.23999999999999994</v>
      </c>
      <c r="AC101" s="2">
        <v>-0.28916047155478197</v>
      </c>
      <c r="AD101" s="2">
        <v>-0.13194300410752002</v>
      </c>
      <c r="AE101" s="4">
        <v>-0.24</v>
      </c>
      <c r="AF101" s="1">
        <v>-0.32019115890083633</v>
      </c>
      <c r="AG101" s="1">
        <v>-0.36650485436893199</v>
      </c>
      <c r="AH101" s="1">
        <v>-0.41166380789022289</v>
      </c>
      <c r="AI101" s="1">
        <v>-0.36688020015056483</v>
      </c>
      <c r="AJ101" s="1">
        <v>-0.30266113428666902</v>
      </c>
      <c r="AK101" s="5">
        <v>-0.3007518796992481</v>
      </c>
      <c r="AL101" s="2">
        <v>0.995</v>
      </c>
      <c r="AM101" s="2">
        <v>0.995</v>
      </c>
      <c r="AN101" s="2">
        <v>0.72899999999999998</v>
      </c>
      <c r="AO101" s="2">
        <v>0.995</v>
      </c>
      <c r="AP101" s="2">
        <v>0.63100000000000001</v>
      </c>
      <c r="AQ101" s="4">
        <v>0.995</v>
      </c>
      <c r="AR101" s="2">
        <v>0.93500000000000005</v>
      </c>
      <c r="AS101" s="2">
        <v>0.95799999999999996</v>
      </c>
      <c r="AT101" s="2">
        <v>0.72499999999999998</v>
      </c>
      <c r="AU101" s="2">
        <v>0.995</v>
      </c>
      <c r="AV101" s="2">
        <v>0.63100000000000001</v>
      </c>
      <c r="AW101" s="4">
        <v>0.995</v>
      </c>
      <c r="AX101" s="1">
        <v>15.583333333333334</v>
      </c>
      <c r="AY101" s="1">
        <v>25.891891891891891</v>
      </c>
      <c r="AZ101" s="1">
        <v>181.25</v>
      </c>
      <c r="BA101" s="1" t="e">
        <v>#DIV/0!</v>
      </c>
      <c r="BB101" s="1" t="e">
        <v>#DIV/0!</v>
      </c>
      <c r="BC101" s="5" t="e">
        <v>#DIV/0!</v>
      </c>
      <c r="BD101" s="3">
        <f>$BH$1*F101+$BH$2*X101</f>
        <v>0.13822000000000001</v>
      </c>
      <c r="BE101" s="3">
        <f>$BH$1*M101+$BH$2*AE101</f>
        <v>-0.11700000000000001</v>
      </c>
    </row>
    <row r="102" spans="1:57">
      <c r="A102" t="s">
        <v>37</v>
      </c>
      <c r="B102" s="2">
        <v>0.156</v>
      </c>
      <c r="C102" s="2">
        <v>0.114</v>
      </c>
      <c r="D102" s="2">
        <v>4.7E-2</v>
      </c>
      <c r="E102" s="2">
        <v>8.2699999999999996E-2</v>
      </c>
      <c r="F102" s="2">
        <v>3.2099999999999997E-2</v>
      </c>
      <c r="G102" s="4">
        <v>0.124</v>
      </c>
      <c r="H102" s="2">
        <v>-0.31499999999999995</v>
      </c>
      <c r="I102" s="2">
        <v>-0.26500000000000001</v>
      </c>
      <c r="J102" s="2">
        <v>-0.15500000000000003</v>
      </c>
      <c r="K102" s="2">
        <v>1.1514116216420497E-2</v>
      </c>
      <c r="L102" s="2">
        <v>1.6969351520426897E-2</v>
      </c>
      <c r="M102" s="4">
        <v>-5.3999999999999992E-2</v>
      </c>
      <c r="N102" s="1">
        <v>-0.66878980891719741</v>
      </c>
      <c r="O102" s="1">
        <v>-0.69920844327176779</v>
      </c>
      <c r="P102" s="1">
        <v>-0.76732673267326745</v>
      </c>
      <c r="Q102" s="1">
        <v>0.16174718363300658</v>
      </c>
      <c r="R102" s="1">
        <v>1.1215217605072321</v>
      </c>
      <c r="S102" s="5">
        <v>-0.3033707865168539</v>
      </c>
      <c r="T102" s="2">
        <v>0.57199999999999995</v>
      </c>
      <c r="U102" s="2">
        <v>0.51500000000000001</v>
      </c>
      <c r="V102" s="2">
        <v>0.34200000000000003</v>
      </c>
      <c r="W102" s="2">
        <v>0.48699999999999999</v>
      </c>
      <c r="X102" s="2">
        <v>0.29599999999999999</v>
      </c>
      <c r="Y102" s="4">
        <v>0.55400000000000005</v>
      </c>
      <c r="Z102" s="2">
        <v>-0.26500000000000001</v>
      </c>
      <c r="AA102" s="2">
        <v>-0.30899999999999994</v>
      </c>
      <c r="AB102" s="2">
        <v>-0.24099999999999994</v>
      </c>
      <c r="AC102" s="2">
        <v>-0.30116047155478198</v>
      </c>
      <c r="AD102" s="2">
        <v>-0.13994300410752003</v>
      </c>
      <c r="AE102" s="4">
        <v>-0.24399999999999999</v>
      </c>
      <c r="AF102" s="1">
        <v>-0.31660692951015534</v>
      </c>
      <c r="AG102" s="1">
        <v>-0.37499999999999994</v>
      </c>
      <c r="AH102" s="1">
        <v>-0.41337907375643218</v>
      </c>
      <c r="AI102" s="1">
        <v>-0.38210552599864744</v>
      </c>
      <c r="AJ102" s="1">
        <v>-0.32101215706859881</v>
      </c>
      <c r="AK102" s="5">
        <v>-0.30576441102756891</v>
      </c>
      <c r="AL102" s="2">
        <v>0.995</v>
      </c>
      <c r="AM102" s="2">
        <v>0.995</v>
      </c>
      <c r="AN102" s="2">
        <v>0.74399999999999999</v>
      </c>
      <c r="AO102" s="2">
        <v>0.995</v>
      </c>
      <c r="AP102" s="2">
        <v>0.68300000000000005</v>
      </c>
      <c r="AQ102" s="4">
        <v>0.995</v>
      </c>
      <c r="AR102" s="2">
        <v>0.93500000000000005</v>
      </c>
      <c r="AS102" s="2">
        <v>0.95799999999999996</v>
      </c>
      <c r="AT102" s="2">
        <v>0.74</v>
      </c>
      <c r="AU102" s="2">
        <v>0.995</v>
      </c>
      <c r="AV102" s="2">
        <v>0.68300000000000005</v>
      </c>
      <c r="AW102" s="4">
        <v>0.995</v>
      </c>
      <c r="AX102" s="1">
        <v>15.583333333333334</v>
      </c>
      <c r="AY102" s="1">
        <v>25.891891891891891</v>
      </c>
      <c r="AZ102" s="1">
        <v>185</v>
      </c>
      <c r="BA102" s="1" t="e">
        <v>#DIV/0!</v>
      </c>
      <c r="BB102" s="1" t="e">
        <v>#DIV/0!</v>
      </c>
      <c r="BC102" s="5" t="e">
        <v>#DIV/0!</v>
      </c>
      <c r="BD102" s="3">
        <f>$BH$1*F102+$BH$2*X102</f>
        <v>0.13766</v>
      </c>
      <c r="BE102" s="3">
        <f>$BH$1*M102+$BH$2*AE102</f>
        <v>-0.13</v>
      </c>
    </row>
    <row r="103" spans="1:57">
      <c r="A103" t="s">
        <v>213</v>
      </c>
      <c r="B103" s="2">
        <v>0.25833605220228384</v>
      </c>
      <c r="C103" s="2">
        <v>0.17499999999999999</v>
      </c>
      <c r="D103" s="2">
        <v>8.0199999999999994E-2</v>
      </c>
      <c r="E103" s="2">
        <v>0.114</v>
      </c>
      <c r="F103" s="2">
        <v>3.5200000000000002E-2</v>
      </c>
      <c r="G103" s="4">
        <v>0.21478458049886623</v>
      </c>
      <c r="H103" s="2">
        <v>-0.21266394779771614</v>
      </c>
      <c r="I103" s="2">
        <v>-0.20400000000000001</v>
      </c>
      <c r="J103" s="2">
        <v>-0.12180000000000002</v>
      </c>
      <c r="K103" s="2">
        <v>4.2814116216420506E-2</v>
      </c>
      <c r="L103" s="2">
        <v>2.0069351520426902E-2</v>
      </c>
      <c r="M103" s="4">
        <v>3.6784580498866237E-2</v>
      </c>
      <c r="N103" s="1">
        <v>-0.45151581273400454</v>
      </c>
      <c r="O103" s="1">
        <v>-0.53825857519788922</v>
      </c>
      <c r="P103" s="1">
        <v>-0.60297029702970306</v>
      </c>
      <c r="Q103" s="1">
        <v>0.6014410995666597</v>
      </c>
      <c r="R103" s="1">
        <v>1.3264039242945351</v>
      </c>
      <c r="S103" s="5">
        <v>0.20665494662284403</v>
      </c>
      <c r="T103" s="2">
        <v>0.56163461538461534</v>
      </c>
      <c r="U103" s="2">
        <v>0.50800000000000001</v>
      </c>
      <c r="V103" s="2">
        <v>0.33600000000000002</v>
      </c>
      <c r="W103" s="2">
        <v>0.47699999999999998</v>
      </c>
      <c r="X103" s="2">
        <v>0.28999999999999998</v>
      </c>
      <c r="Y103" s="4">
        <v>0.54479140555058192</v>
      </c>
      <c r="Z103" s="2">
        <v>-0.27536538461538462</v>
      </c>
      <c r="AA103" s="2">
        <v>-0.31599999999999995</v>
      </c>
      <c r="AB103" s="2">
        <v>-0.24699999999999994</v>
      </c>
      <c r="AC103" s="2">
        <v>-0.31116047155478199</v>
      </c>
      <c r="AD103" s="2">
        <v>-0.14594300410752004</v>
      </c>
      <c r="AE103" s="4">
        <v>-0.25320859444941812</v>
      </c>
      <c r="AF103" s="1">
        <v>-0.32899090157154676</v>
      </c>
      <c r="AG103" s="1">
        <v>-0.3834951456310679</v>
      </c>
      <c r="AH103" s="1">
        <v>-0.42367066895368777</v>
      </c>
      <c r="AI103" s="1">
        <v>-0.39479329753871634</v>
      </c>
      <c r="AJ103" s="1">
        <v>-0.33477542415504613</v>
      </c>
      <c r="AK103" s="5">
        <v>-0.31730400306944623</v>
      </c>
      <c r="AL103" s="2">
        <v>0.99547965846308406</v>
      </c>
      <c r="AM103" s="2">
        <v>0.995</v>
      </c>
      <c r="AN103" s="2">
        <v>0.73899999999999999</v>
      </c>
      <c r="AO103" s="2">
        <v>0.995</v>
      </c>
      <c r="AP103" s="2">
        <v>0.65100000000000002</v>
      </c>
      <c r="AQ103" s="4">
        <v>0.99547965846308406</v>
      </c>
      <c r="AR103" s="2">
        <v>0.93547965846308401</v>
      </c>
      <c r="AS103" s="2">
        <v>0.95799999999999996</v>
      </c>
      <c r="AT103" s="2">
        <v>0.73499999999999999</v>
      </c>
      <c r="AU103" s="2">
        <v>0.995</v>
      </c>
      <c r="AV103" s="2">
        <v>0.65100000000000002</v>
      </c>
      <c r="AW103" s="4">
        <v>0.99547965846308406</v>
      </c>
      <c r="AX103" s="1">
        <v>15.5913276410514</v>
      </c>
      <c r="AY103" s="1">
        <v>25.891891891891891</v>
      </c>
      <c r="AZ103" s="1">
        <v>183.75</v>
      </c>
      <c r="BA103" s="1" t="e">
        <v>#DIV/0!</v>
      </c>
      <c r="BB103" s="1" t="e">
        <v>#DIV/0!</v>
      </c>
      <c r="BC103" s="5" t="e">
        <v>#DIV/0!</v>
      </c>
      <c r="BD103" s="3">
        <f>$BH$1*F103+$BH$2*X103</f>
        <v>0.13711999999999999</v>
      </c>
      <c r="BE103" s="3">
        <f>$BH$1*M103+$BH$2*AE103</f>
        <v>-7.9212689480447518E-2</v>
      </c>
    </row>
    <row r="104" spans="1:57">
      <c r="A104" t="s">
        <v>29</v>
      </c>
      <c r="B104" s="2">
        <v>0.14699999999999999</v>
      </c>
      <c r="C104" s="2">
        <v>9.7000000000000003E-2</v>
      </c>
      <c r="D104" s="2">
        <v>3.5999999999999997E-2</v>
      </c>
      <c r="E104" s="2">
        <v>6.6799999999999998E-2</v>
      </c>
      <c r="F104" s="2">
        <v>2.1899999999999999E-2</v>
      </c>
      <c r="G104" s="4">
        <v>0.128</v>
      </c>
      <c r="H104" s="2">
        <v>-0.32399999999999995</v>
      </c>
      <c r="I104" s="2">
        <v>-0.28200000000000003</v>
      </c>
      <c r="J104" s="2">
        <v>-0.16600000000000001</v>
      </c>
      <c r="K104" s="2">
        <v>-4.3858837835795E-3</v>
      </c>
      <c r="L104" s="2">
        <v>6.7693515204268993E-3</v>
      </c>
      <c r="M104" s="4">
        <v>-4.9999999999999989E-2</v>
      </c>
      <c r="N104" s="1">
        <v>-0.68789808917197448</v>
      </c>
      <c r="O104" s="1">
        <v>-0.74406332453825863</v>
      </c>
      <c r="P104" s="1">
        <v>-0.82178217821782173</v>
      </c>
      <c r="Q104" s="1">
        <v>-6.1611706569711724E-2</v>
      </c>
      <c r="R104" s="1">
        <v>0.44739335062642943</v>
      </c>
      <c r="S104" s="5">
        <v>-0.28089887640449435</v>
      </c>
      <c r="T104" s="2">
        <v>0.56399999999999995</v>
      </c>
      <c r="U104" s="2">
        <v>0.52300000000000002</v>
      </c>
      <c r="V104" s="2">
        <v>0.35</v>
      </c>
      <c r="W104" s="2">
        <v>0.504</v>
      </c>
      <c r="X104" s="2">
        <v>0.309</v>
      </c>
      <c r="Y104" s="4">
        <v>0.55600000000000005</v>
      </c>
      <c r="Z104" s="2">
        <v>-0.27300000000000002</v>
      </c>
      <c r="AA104" s="2">
        <v>-0.30099999999999993</v>
      </c>
      <c r="AB104" s="2">
        <v>-0.23299999999999998</v>
      </c>
      <c r="AC104" s="2">
        <v>-0.28416047155478197</v>
      </c>
      <c r="AD104" s="2">
        <v>-0.12694300410752002</v>
      </c>
      <c r="AE104" s="4">
        <v>-0.24199999999999999</v>
      </c>
      <c r="AF104" s="1">
        <v>-0.32616487455197135</v>
      </c>
      <c r="AG104" s="1">
        <v>-0.36529126213592228</v>
      </c>
      <c r="AH104" s="1">
        <v>-0.39965694682675817</v>
      </c>
      <c r="AI104" s="1">
        <v>-0.36053631438053041</v>
      </c>
      <c r="AJ104" s="1">
        <v>-0.29119174504796291</v>
      </c>
      <c r="AK104" s="5">
        <v>-0.3032581453634085</v>
      </c>
      <c r="AL104" s="2">
        <v>0.995</v>
      </c>
      <c r="AM104" s="2">
        <v>0.995</v>
      </c>
      <c r="AN104" s="2">
        <v>0.70599999999999996</v>
      </c>
      <c r="AO104" s="2">
        <v>0.995</v>
      </c>
      <c r="AP104" s="2">
        <v>0.63600000000000001</v>
      </c>
      <c r="AQ104" s="4">
        <v>0.995</v>
      </c>
      <c r="AR104" s="2">
        <v>0.93500000000000005</v>
      </c>
      <c r="AS104" s="2">
        <v>0.95799999999999996</v>
      </c>
      <c r="AT104" s="2">
        <v>0.70199999999999996</v>
      </c>
      <c r="AU104" s="2">
        <v>0.995</v>
      </c>
      <c r="AV104" s="2">
        <v>0.63600000000000001</v>
      </c>
      <c r="AW104" s="4">
        <v>0.995</v>
      </c>
      <c r="AX104" s="1">
        <v>15.583333333333334</v>
      </c>
      <c r="AY104" s="1">
        <v>25.891891891891891</v>
      </c>
      <c r="AZ104" s="1">
        <v>175.49999999999997</v>
      </c>
      <c r="BA104" s="1" t="e">
        <v>#DIV/0!</v>
      </c>
      <c r="BB104" s="1" t="e">
        <v>#DIV/0!</v>
      </c>
      <c r="BC104" s="5" t="e">
        <v>#DIV/0!</v>
      </c>
      <c r="BD104" s="3">
        <f>$BH$1*F104+$BH$2*X104</f>
        <v>0.13674</v>
      </c>
      <c r="BE104" s="3">
        <f>$BH$1*M104+$BH$2*AE104</f>
        <v>-0.1268</v>
      </c>
    </row>
    <row r="105" spans="1:57">
      <c r="A105" t="s">
        <v>171</v>
      </c>
      <c r="B105" s="2">
        <v>0.18064794816414687</v>
      </c>
      <c r="C105" s="2">
        <v>0.11899999999999999</v>
      </c>
      <c r="D105" s="2">
        <v>4.87E-2</v>
      </c>
      <c r="E105" s="2">
        <v>8.4599999999999995E-2</v>
      </c>
      <c r="F105" s="2">
        <v>2.8500000000000001E-2</v>
      </c>
      <c r="G105" s="4">
        <v>0.13444608567208272</v>
      </c>
      <c r="H105" s="2">
        <v>-0.29035205183585311</v>
      </c>
      <c r="I105" s="2">
        <v>-0.26</v>
      </c>
      <c r="J105" s="2">
        <v>-0.15330000000000002</v>
      </c>
      <c r="K105" s="2">
        <v>1.3414116216420496E-2</v>
      </c>
      <c r="L105" s="2">
        <v>1.3369351520426901E-2</v>
      </c>
      <c r="M105" s="4">
        <v>-4.3553914327917276E-2</v>
      </c>
      <c r="N105" s="1">
        <v>-0.61645870878100451</v>
      </c>
      <c r="O105" s="1">
        <v>-0.68601583113456466</v>
      </c>
      <c r="P105" s="1">
        <v>-0.75891089108910892</v>
      </c>
      <c r="Q105" s="1">
        <v>0.18843786862578421</v>
      </c>
      <c r="R105" s="1">
        <v>0.88359408643165482</v>
      </c>
      <c r="S105" s="5">
        <v>-0.24468491195459144</v>
      </c>
      <c r="T105" s="2">
        <v>0.56055077452667812</v>
      </c>
      <c r="U105" s="2">
        <v>0.52200000000000002</v>
      </c>
      <c r="V105" s="2">
        <v>0.34100000000000003</v>
      </c>
      <c r="W105" s="2">
        <v>0.496</v>
      </c>
      <c r="X105" s="2">
        <v>0.29899999999999999</v>
      </c>
      <c r="Y105" s="4">
        <v>0.54925307557117753</v>
      </c>
      <c r="Z105" s="2">
        <v>-0.27644922547332185</v>
      </c>
      <c r="AA105" s="2">
        <v>-0.30199999999999994</v>
      </c>
      <c r="AB105" s="2">
        <v>-0.24199999999999994</v>
      </c>
      <c r="AC105" s="2">
        <v>-0.29216047155478198</v>
      </c>
      <c r="AD105" s="2">
        <v>-0.13694300410752003</v>
      </c>
      <c r="AE105" s="4">
        <v>-0.24874692442882251</v>
      </c>
      <c r="AF105" s="1">
        <v>-0.3302858129908266</v>
      </c>
      <c r="AG105" s="1">
        <v>-0.36650485436893199</v>
      </c>
      <c r="AH105" s="1">
        <v>-0.41509433962264142</v>
      </c>
      <c r="AI105" s="1">
        <v>-0.37068653161258547</v>
      </c>
      <c r="AJ105" s="1">
        <v>-0.31413052352537513</v>
      </c>
      <c r="AK105" s="5">
        <v>-0.31171293788072996</v>
      </c>
      <c r="AL105" s="2">
        <v>0.99498391959798982</v>
      </c>
      <c r="AM105" s="2">
        <v>0.995</v>
      </c>
      <c r="AN105" s="2">
        <v>0.71899999999999997</v>
      </c>
      <c r="AO105" s="2">
        <v>0.995</v>
      </c>
      <c r="AP105" s="2">
        <v>0.628</v>
      </c>
      <c r="AQ105" s="4">
        <v>0.99498391959798982</v>
      </c>
      <c r="AR105" s="2">
        <v>0.93498391959798988</v>
      </c>
      <c r="AS105" s="2">
        <v>0.95799999999999996</v>
      </c>
      <c r="AT105" s="2">
        <v>0.71499999999999997</v>
      </c>
      <c r="AU105" s="2">
        <v>0.995</v>
      </c>
      <c r="AV105" s="2">
        <v>0.628</v>
      </c>
      <c r="AW105" s="4">
        <v>0.99498391959798982</v>
      </c>
      <c r="AX105" s="1">
        <v>15.583065326633164</v>
      </c>
      <c r="AY105" s="1">
        <v>25.891891891891891</v>
      </c>
      <c r="AZ105" s="1">
        <v>178.75</v>
      </c>
      <c r="BA105" s="1" t="e">
        <v>#DIV/0!</v>
      </c>
      <c r="BB105" s="1" t="e">
        <v>#DIV/0!</v>
      </c>
      <c r="BC105" s="5" t="e">
        <v>#DIV/0!</v>
      </c>
      <c r="BD105" s="3">
        <f>$BH$1*F105+$BH$2*X105</f>
        <v>0.13669999999999999</v>
      </c>
      <c r="BE105" s="3">
        <f>$BH$1*M105+$BH$2*AE105</f>
        <v>-0.12563111836827937</v>
      </c>
    </row>
    <row r="106" spans="1:57">
      <c r="A106" t="s">
        <v>138</v>
      </c>
      <c r="B106" s="2">
        <v>0.18099999999999999</v>
      </c>
      <c r="C106" s="2">
        <v>0.11899999999999999</v>
      </c>
      <c r="D106" s="2">
        <v>4.9000000000000002E-2</v>
      </c>
      <c r="E106" s="2">
        <v>8.4599999999999995E-2</v>
      </c>
      <c r="F106" s="2">
        <v>2.8500000000000001E-2</v>
      </c>
      <c r="G106" s="4">
        <v>0.13400000000000001</v>
      </c>
      <c r="H106" s="2">
        <v>-0.28999999999999998</v>
      </c>
      <c r="I106" s="2">
        <v>-0.26</v>
      </c>
      <c r="J106" s="2">
        <v>-0.15300000000000002</v>
      </c>
      <c r="K106" s="2">
        <v>1.3414116216420496E-2</v>
      </c>
      <c r="L106" s="2">
        <v>1.3369351520426901E-2</v>
      </c>
      <c r="M106" s="4">
        <v>-4.3999999999999984E-2</v>
      </c>
      <c r="N106" s="1">
        <v>-0.61571125265392779</v>
      </c>
      <c r="O106" s="1">
        <v>-0.68601583113456466</v>
      </c>
      <c r="P106" s="1">
        <v>-0.75742574257425754</v>
      </c>
      <c r="Q106" s="1">
        <v>0.18843786862578421</v>
      </c>
      <c r="R106" s="1">
        <v>0.88359408643165482</v>
      </c>
      <c r="S106" s="5">
        <v>-0.24719101123595497</v>
      </c>
      <c r="T106" s="2">
        <v>0.56100000000000005</v>
      </c>
      <c r="U106" s="2">
        <v>0.52200000000000002</v>
      </c>
      <c r="V106" s="2">
        <v>0.34100000000000003</v>
      </c>
      <c r="W106" s="2">
        <v>0.496</v>
      </c>
      <c r="X106" s="2">
        <v>0.29899999999999999</v>
      </c>
      <c r="Y106" s="4">
        <v>0.54900000000000004</v>
      </c>
      <c r="Z106" s="2">
        <v>-0.27599999999999991</v>
      </c>
      <c r="AA106" s="2">
        <v>-0.30199999999999994</v>
      </c>
      <c r="AB106" s="2">
        <v>-0.24199999999999994</v>
      </c>
      <c r="AC106" s="2">
        <v>-0.29216047155478198</v>
      </c>
      <c r="AD106" s="2">
        <v>-0.13694300410752003</v>
      </c>
      <c r="AE106" s="4">
        <v>-0.249</v>
      </c>
      <c r="AF106" s="1">
        <v>-0.32974910394265222</v>
      </c>
      <c r="AG106" s="1">
        <v>-0.36650485436893199</v>
      </c>
      <c r="AH106" s="1">
        <v>-0.41509433962264142</v>
      </c>
      <c r="AI106" s="1">
        <v>-0.37068653161258547</v>
      </c>
      <c r="AJ106" s="1">
        <v>-0.31413052352537513</v>
      </c>
      <c r="AK106" s="5">
        <v>-0.31203007518796988</v>
      </c>
      <c r="AL106" s="2">
        <v>0.995</v>
      </c>
      <c r="AM106" s="2">
        <v>0.995</v>
      </c>
      <c r="AN106" s="2">
        <v>0.71899999999999997</v>
      </c>
      <c r="AO106" s="2">
        <v>0.995</v>
      </c>
      <c r="AP106" s="2">
        <v>0.628</v>
      </c>
      <c r="AQ106" s="4">
        <v>0.995</v>
      </c>
      <c r="AR106" s="2">
        <v>0.93500000000000005</v>
      </c>
      <c r="AS106" s="2">
        <v>0.95799999999999996</v>
      </c>
      <c r="AT106" s="2">
        <v>0.71499999999999997</v>
      </c>
      <c r="AU106" s="2">
        <v>0.995</v>
      </c>
      <c r="AV106" s="2">
        <v>0.628</v>
      </c>
      <c r="AW106" s="4">
        <v>0.995</v>
      </c>
      <c r="AX106" s="1">
        <v>15.583333333333334</v>
      </c>
      <c r="AY106" s="1">
        <v>25.891891891891891</v>
      </c>
      <c r="AZ106" s="1">
        <v>178.75</v>
      </c>
      <c r="BA106" s="1" t="e">
        <v>#DIV/0!</v>
      </c>
      <c r="BB106" s="1" t="e">
        <v>#DIV/0!</v>
      </c>
      <c r="BC106" s="5" t="e">
        <v>#DIV/0!</v>
      </c>
      <c r="BD106" s="3">
        <f>$BH$1*F106+$BH$2*X106</f>
        <v>0.13669999999999999</v>
      </c>
      <c r="BE106" s="3">
        <f>$BH$1*M106+$BH$2*AE106</f>
        <v>-0.126</v>
      </c>
    </row>
    <row r="107" spans="1:57">
      <c r="A107" t="s">
        <v>126</v>
      </c>
      <c r="B107" s="2">
        <v>0.16900000000000001</v>
      </c>
      <c r="C107" s="2">
        <v>9.7000000000000003E-2</v>
      </c>
      <c r="D107" s="2">
        <v>4.2000000000000003E-2</v>
      </c>
      <c r="E107" s="2">
        <v>5.8500000000000003E-2</v>
      </c>
      <c r="F107" s="2">
        <v>2.18E-2</v>
      </c>
      <c r="G107" s="4">
        <v>0.128</v>
      </c>
      <c r="H107" s="2">
        <v>-0.30199999999999994</v>
      </c>
      <c r="I107" s="2">
        <v>-0.28200000000000003</v>
      </c>
      <c r="J107" s="2">
        <v>-0.16</v>
      </c>
      <c r="K107" s="2">
        <v>-1.2685883783579495E-2</v>
      </c>
      <c r="L107" s="2">
        <v>6.6693515204268999E-3</v>
      </c>
      <c r="M107" s="4">
        <v>-4.9999999999999989E-2</v>
      </c>
      <c r="N107" s="1">
        <v>-0.6411889596602971</v>
      </c>
      <c r="O107" s="1">
        <v>-0.74406332453825863</v>
      </c>
      <c r="P107" s="1">
        <v>-0.79207920792079201</v>
      </c>
      <c r="Q107" s="1">
        <v>-0.17820785680131931</v>
      </c>
      <c r="R107" s="1">
        <v>0.44078424856877452</v>
      </c>
      <c r="S107" s="5">
        <v>-0.28089887640449435</v>
      </c>
      <c r="T107" s="2">
        <v>0.56399999999999995</v>
      </c>
      <c r="U107" s="2">
        <v>0.51500000000000001</v>
      </c>
      <c r="V107" s="2">
        <v>0.34599999999999997</v>
      </c>
      <c r="W107" s="2">
        <v>0.495</v>
      </c>
      <c r="X107" s="2">
        <v>0.309</v>
      </c>
      <c r="Y107" s="4">
        <v>0.55900000000000005</v>
      </c>
      <c r="Z107" s="2">
        <v>-0.27300000000000002</v>
      </c>
      <c r="AA107" s="2">
        <v>-0.30899999999999994</v>
      </c>
      <c r="AB107" s="2">
        <v>-0.23699999999999999</v>
      </c>
      <c r="AC107" s="2">
        <v>-0.29316047155478198</v>
      </c>
      <c r="AD107" s="2">
        <v>-0.12694300410752002</v>
      </c>
      <c r="AE107" s="4">
        <v>-0.23899999999999999</v>
      </c>
      <c r="AF107" s="1">
        <v>-0.32616487455197135</v>
      </c>
      <c r="AG107" s="1">
        <v>-0.37499999999999994</v>
      </c>
      <c r="AH107" s="1">
        <v>-0.40651801029159518</v>
      </c>
      <c r="AI107" s="1">
        <v>-0.37195530876659239</v>
      </c>
      <c r="AJ107" s="1">
        <v>-0.29119174504796291</v>
      </c>
      <c r="AK107" s="5">
        <v>-0.29949874686716788</v>
      </c>
      <c r="AL107" s="2">
        <v>0.995</v>
      </c>
      <c r="AM107" s="2">
        <v>0.995</v>
      </c>
      <c r="AN107" s="2">
        <v>0.71799999999999997</v>
      </c>
      <c r="AO107" s="2">
        <v>0.995</v>
      </c>
      <c r="AP107" s="2">
        <v>0.67</v>
      </c>
      <c r="AQ107" s="4">
        <v>0.995</v>
      </c>
      <c r="AR107" s="2">
        <v>0.93500000000000005</v>
      </c>
      <c r="AS107" s="2">
        <v>0.95799999999999996</v>
      </c>
      <c r="AT107" s="2">
        <v>0.71399999999999997</v>
      </c>
      <c r="AU107" s="2">
        <v>0.995</v>
      </c>
      <c r="AV107" s="2">
        <v>0.67</v>
      </c>
      <c r="AW107" s="4">
        <v>0.995</v>
      </c>
      <c r="AX107" s="1">
        <v>15.583333333333334</v>
      </c>
      <c r="AY107" s="1">
        <v>25.891891891891891</v>
      </c>
      <c r="AZ107" s="1">
        <v>178.5</v>
      </c>
      <c r="BA107" s="1" t="e">
        <v>#DIV/0!</v>
      </c>
      <c r="BB107" s="1" t="e">
        <v>#DIV/0!</v>
      </c>
      <c r="BC107" s="5" t="e">
        <v>#DIV/0!</v>
      </c>
      <c r="BD107" s="3">
        <f>$BH$1*F107+$BH$2*X107</f>
        <v>0.13668</v>
      </c>
      <c r="BE107" s="3">
        <f>$BH$1*M107+$BH$2*AE107</f>
        <v>-0.12559999999999999</v>
      </c>
    </row>
    <row r="108" spans="1:57">
      <c r="A108" t="s">
        <v>116</v>
      </c>
      <c r="B108" s="2">
        <v>0.129</v>
      </c>
      <c r="C108" s="2">
        <v>0.11</v>
      </c>
      <c r="D108" s="2">
        <v>0.04</v>
      </c>
      <c r="E108" s="2">
        <v>0.104</v>
      </c>
      <c r="F108" s="2">
        <v>4.1099999999999998E-2</v>
      </c>
      <c r="G108" s="4">
        <v>0.129</v>
      </c>
      <c r="H108" s="2">
        <v>-0.34199999999999997</v>
      </c>
      <c r="I108" s="2">
        <v>-0.26900000000000002</v>
      </c>
      <c r="J108" s="2">
        <v>-0.16200000000000001</v>
      </c>
      <c r="K108" s="2">
        <v>3.2814116216420497E-2</v>
      </c>
      <c r="L108" s="2">
        <v>2.5969351520426898E-2</v>
      </c>
      <c r="M108" s="4">
        <v>-4.8999999999999988E-2</v>
      </c>
      <c r="N108" s="1">
        <v>-0.72611464968152861</v>
      </c>
      <c r="O108" s="1">
        <v>-0.70976253298153036</v>
      </c>
      <c r="P108" s="1">
        <v>-0.80198019801980192</v>
      </c>
      <c r="Q108" s="1">
        <v>0.46096381013098769</v>
      </c>
      <c r="R108" s="1">
        <v>1.7163409456961758</v>
      </c>
      <c r="S108" s="5">
        <v>-0.27528089887640445</v>
      </c>
      <c r="T108" s="2">
        <v>0.56399999999999995</v>
      </c>
      <c r="U108" s="2">
        <v>0.51200000000000001</v>
      </c>
      <c r="V108" s="2">
        <v>0.32700000000000001</v>
      </c>
      <c r="W108" s="2">
        <v>0.47199999999999998</v>
      </c>
      <c r="X108" s="2">
        <v>0.27800000000000002</v>
      </c>
      <c r="Y108" s="4">
        <v>0.54</v>
      </c>
      <c r="Z108" s="2">
        <v>-0.27300000000000002</v>
      </c>
      <c r="AA108" s="2">
        <v>-0.31199999999999994</v>
      </c>
      <c r="AB108" s="2">
        <v>-0.25599999999999995</v>
      </c>
      <c r="AC108" s="2">
        <v>-0.316160471554782</v>
      </c>
      <c r="AD108" s="2">
        <v>-0.15794300410751999</v>
      </c>
      <c r="AE108" s="4">
        <v>-0.25800000000000001</v>
      </c>
      <c r="AF108" s="1">
        <v>-0.32616487455197135</v>
      </c>
      <c r="AG108" s="1">
        <v>-0.37864077669902907</v>
      </c>
      <c r="AH108" s="1">
        <v>-0.43910806174957112</v>
      </c>
      <c r="AI108" s="1">
        <v>-0.40113718330875076</v>
      </c>
      <c r="AJ108" s="1">
        <v>-0.36230195832794071</v>
      </c>
      <c r="AK108" s="5">
        <v>-0.32330827067669171</v>
      </c>
      <c r="AL108" s="2">
        <v>0.99</v>
      </c>
      <c r="AM108" s="2">
        <v>0.995</v>
      </c>
      <c r="AN108" s="2">
        <v>0.69899999999999995</v>
      </c>
      <c r="AO108" s="2">
        <v>0.995</v>
      </c>
      <c r="AP108" s="2">
        <v>0.66200000000000003</v>
      </c>
      <c r="AQ108" s="4">
        <v>0.99</v>
      </c>
      <c r="AR108" s="2">
        <v>0.92999999999999994</v>
      </c>
      <c r="AS108" s="2">
        <v>0.95799999999999996</v>
      </c>
      <c r="AT108" s="2">
        <v>0.69499999999999995</v>
      </c>
      <c r="AU108" s="2">
        <v>0.995</v>
      </c>
      <c r="AV108" s="2">
        <v>0.66200000000000003</v>
      </c>
      <c r="AW108" s="4">
        <v>0.99</v>
      </c>
      <c r="AX108" s="1">
        <v>15.5</v>
      </c>
      <c r="AY108" s="1">
        <v>25.891891891891891</v>
      </c>
      <c r="AZ108" s="1">
        <v>173.74999999999997</v>
      </c>
      <c r="BA108" s="1" t="e">
        <v>#DIV/0!</v>
      </c>
      <c r="BB108" s="1" t="e">
        <v>#DIV/0!</v>
      </c>
      <c r="BC108" s="5" t="e">
        <v>#DIV/0!</v>
      </c>
      <c r="BD108" s="3">
        <f>$BH$1*F108+$BH$2*X108</f>
        <v>0.13586000000000001</v>
      </c>
      <c r="BE108" s="3">
        <f>$BH$1*M108+$BH$2*AE108</f>
        <v>-0.1326</v>
      </c>
    </row>
    <row r="109" spans="1:57">
      <c r="A109" t="s">
        <v>195</v>
      </c>
      <c r="B109" s="2">
        <v>0.15775609756097561</v>
      </c>
      <c r="C109" s="2">
        <v>0.121</v>
      </c>
      <c r="D109" s="2">
        <v>5.28E-2</v>
      </c>
      <c r="E109" s="2">
        <v>0.127</v>
      </c>
      <c r="F109" s="2">
        <v>4.5600000000000002E-2</v>
      </c>
      <c r="G109" s="4">
        <v>0.16165374677002586</v>
      </c>
      <c r="H109" s="2">
        <v>-0.31324390243902434</v>
      </c>
      <c r="I109" s="2">
        <v>-0.25800000000000001</v>
      </c>
      <c r="J109" s="2">
        <v>-0.1492</v>
      </c>
      <c r="K109" s="2">
        <v>5.5814116216420503E-2</v>
      </c>
      <c r="L109" s="2">
        <v>3.0469351520426902E-2</v>
      </c>
      <c r="M109" s="4">
        <v>-1.6346253229974128E-2</v>
      </c>
      <c r="N109" s="1">
        <v>-0.66506136398943594</v>
      </c>
      <c r="O109" s="1">
        <v>-0.68073878627968343</v>
      </c>
      <c r="P109" s="1">
        <v>-0.7386138613861386</v>
      </c>
      <c r="Q109" s="1">
        <v>0.78406157583303315</v>
      </c>
      <c r="R109" s="1">
        <v>2.013750538290648</v>
      </c>
      <c r="S109" s="5">
        <v>-9.1832883314461392E-2</v>
      </c>
      <c r="T109" s="2">
        <v>0.55820350877192981</v>
      </c>
      <c r="U109" s="2">
        <v>0.50600000000000001</v>
      </c>
      <c r="V109" s="2">
        <v>0.318</v>
      </c>
      <c r="W109" s="2">
        <v>0.47099999999999997</v>
      </c>
      <c r="X109" s="2">
        <v>0.26800000000000002</v>
      </c>
      <c r="Y109" s="4">
        <v>0.52800000000000002</v>
      </c>
      <c r="Z109" s="2">
        <v>-0.27879649122807015</v>
      </c>
      <c r="AA109" s="2">
        <v>-0.31799999999999995</v>
      </c>
      <c r="AB109" s="2">
        <v>-0.26499999999999996</v>
      </c>
      <c r="AC109" s="2">
        <v>-0.317160471554782</v>
      </c>
      <c r="AD109" s="2">
        <v>-0.16794300410752</v>
      </c>
      <c r="AE109" s="4">
        <v>-0.27</v>
      </c>
      <c r="AF109" s="1">
        <v>-0.33309019262612921</v>
      </c>
      <c r="AG109" s="1">
        <v>-0.38592233009708732</v>
      </c>
      <c r="AH109" s="1">
        <v>-0.45454545454545447</v>
      </c>
      <c r="AI109" s="1">
        <v>-0.40240596046275762</v>
      </c>
      <c r="AJ109" s="1">
        <v>-0.38524073680535292</v>
      </c>
      <c r="AK109" s="5">
        <v>-0.33834586466165412</v>
      </c>
      <c r="AL109" s="2">
        <v>0.99498391959798982</v>
      </c>
      <c r="AM109" s="2">
        <v>0.995</v>
      </c>
      <c r="AN109" s="2">
        <v>0.84</v>
      </c>
      <c r="AO109" s="2">
        <v>0.995</v>
      </c>
      <c r="AP109" s="2">
        <v>0.74199999999999999</v>
      </c>
      <c r="AQ109" s="4">
        <v>0.99498391959798982</v>
      </c>
      <c r="AR109" s="2">
        <v>0.93498391959798988</v>
      </c>
      <c r="AS109" s="2">
        <v>0.95799999999999996</v>
      </c>
      <c r="AT109" s="2">
        <v>0.83599999999999997</v>
      </c>
      <c r="AU109" s="2">
        <v>0.995</v>
      </c>
      <c r="AV109" s="2">
        <v>0.74199999999999999</v>
      </c>
      <c r="AW109" s="4">
        <v>0.99498391959798982</v>
      </c>
      <c r="AX109" s="1">
        <v>15.583065326633164</v>
      </c>
      <c r="AY109" s="1">
        <v>25.891891891891891</v>
      </c>
      <c r="AZ109" s="1">
        <v>209</v>
      </c>
      <c r="BA109" s="1" t="e">
        <v>#DIV/0!</v>
      </c>
      <c r="BB109" s="1" t="e">
        <v>#DIV/0!</v>
      </c>
      <c r="BC109" s="5" t="e">
        <v>#DIV/0!</v>
      </c>
      <c r="BD109" s="3">
        <f>$BH$1*F109+$BH$2*X109</f>
        <v>0.13456000000000001</v>
      </c>
      <c r="BE109" s="3">
        <f>$BH$1*M109+$BH$2*AE109</f>
        <v>-0.11780775193798448</v>
      </c>
    </row>
    <row r="110" spans="1:57">
      <c r="A110" t="s">
        <v>56</v>
      </c>
      <c r="B110" s="2">
        <v>0.19400000000000001</v>
      </c>
      <c r="C110" s="2">
        <v>0.13200000000000001</v>
      </c>
      <c r="D110" s="2">
        <v>0.06</v>
      </c>
      <c r="E110" s="2">
        <v>0.114635534554834</v>
      </c>
      <c r="F110" s="2">
        <v>3.4955244147572298E-2</v>
      </c>
      <c r="G110" s="4">
        <v>0.158</v>
      </c>
      <c r="H110" s="2">
        <v>-0.27699999999999997</v>
      </c>
      <c r="I110" s="2">
        <v>-0.247</v>
      </c>
      <c r="J110" s="2">
        <v>-0.14200000000000002</v>
      </c>
      <c r="K110" s="2">
        <v>4.3449650771254497E-2</v>
      </c>
      <c r="L110" s="2">
        <v>1.9824595667999198E-2</v>
      </c>
      <c r="M110" s="4">
        <v>-1.999999999999999E-2</v>
      </c>
      <c r="N110" s="1">
        <v>-0.58811040339702758</v>
      </c>
      <c r="O110" s="1">
        <v>-0.65171503957783639</v>
      </c>
      <c r="P110" s="1">
        <v>-0.70297029702970304</v>
      </c>
      <c r="Q110" s="1">
        <v>0.61036891672723825</v>
      </c>
      <c r="R110" s="1">
        <v>1.310227760215505</v>
      </c>
      <c r="S110" s="5">
        <v>-0.11235955056179771</v>
      </c>
      <c r="T110" s="2">
        <v>0.54500000000000004</v>
      </c>
      <c r="U110" s="2">
        <v>0.497</v>
      </c>
      <c r="V110" s="2">
        <v>0.32900000000000001</v>
      </c>
      <c r="W110" s="2">
        <v>0.47481729674536</v>
      </c>
      <c r="X110" s="2">
        <v>0.28356003792372803</v>
      </c>
      <c r="Y110" s="4">
        <v>0.53300000000000003</v>
      </c>
      <c r="Z110" s="2">
        <v>-0.29199999999999993</v>
      </c>
      <c r="AA110" s="2">
        <v>-0.32699999999999996</v>
      </c>
      <c r="AB110" s="2">
        <v>-0.25399999999999995</v>
      </c>
      <c r="AC110" s="2">
        <v>-0.31334317480942198</v>
      </c>
      <c r="AD110" s="2">
        <v>-0.15238296618379199</v>
      </c>
      <c r="AE110" s="4">
        <v>-0.26500000000000001</v>
      </c>
      <c r="AF110" s="1">
        <v>-0.34886499402628429</v>
      </c>
      <c r="AG110" s="1">
        <v>-0.39684466019417475</v>
      </c>
      <c r="AH110" s="1">
        <v>-0.43567753001715259</v>
      </c>
      <c r="AI110" s="1">
        <v>-0.39756266156218001</v>
      </c>
      <c r="AJ110" s="1">
        <v>-0.34954791050209993</v>
      </c>
      <c r="AK110" s="5">
        <v>-0.33208020050125314</v>
      </c>
      <c r="AL110" s="2">
        <v>0.99399999999999999</v>
      </c>
      <c r="AM110" s="2">
        <v>0.995</v>
      </c>
      <c r="AN110" s="2">
        <v>0.629</v>
      </c>
      <c r="AO110" s="2">
        <v>0.995</v>
      </c>
      <c r="AP110" s="2">
        <v>0.49970665437741801</v>
      </c>
      <c r="AQ110" s="4">
        <v>0.99399999999999999</v>
      </c>
      <c r="AR110" s="2">
        <v>0.93399999999999994</v>
      </c>
      <c r="AS110" s="2">
        <v>0.95799999999999996</v>
      </c>
      <c r="AT110" s="2">
        <v>0.625</v>
      </c>
      <c r="AU110" s="2">
        <v>0.995</v>
      </c>
      <c r="AV110" s="2">
        <v>0.49970665437741801</v>
      </c>
      <c r="AW110" s="4">
        <v>0.99399999999999999</v>
      </c>
      <c r="AX110" s="1">
        <v>15.566666666666666</v>
      </c>
      <c r="AY110" s="1">
        <v>25.891891891891891</v>
      </c>
      <c r="AZ110" s="1">
        <v>156.25</v>
      </c>
      <c r="BA110" s="1" t="e">
        <v>#DIV/0!</v>
      </c>
      <c r="BB110" s="1" t="e">
        <v>#DIV/0!</v>
      </c>
      <c r="BC110" s="5" t="e">
        <v>#DIV/0!</v>
      </c>
      <c r="BD110" s="3">
        <f>$BH$1*F110+$BH$2*X110</f>
        <v>0.13439716165803459</v>
      </c>
      <c r="BE110" s="3">
        <f>$BH$1*M110+$BH$2*AE110</f>
        <v>-0.11800000000000001</v>
      </c>
    </row>
    <row r="111" spans="1:57">
      <c r="A111" t="s">
        <v>48</v>
      </c>
      <c r="B111" s="2">
        <v>0.13800000000000001</v>
      </c>
      <c r="C111" s="2">
        <v>8.5999999999999993E-2</v>
      </c>
      <c r="D111" s="2">
        <v>3.9E-2</v>
      </c>
      <c r="E111" s="2">
        <v>6.8900000000000003E-2</v>
      </c>
      <c r="F111" s="2">
        <v>2.3400000000000001E-2</v>
      </c>
      <c r="G111" s="4">
        <v>0.107</v>
      </c>
      <c r="H111" s="2">
        <v>-0.33299999999999996</v>
      </c>
      <c r="I111" s="2">
        <v>-0.29300000000000004</v>
      </c>
      <c r="J111" s="2">
        <v>-0.16300000000000001</v>
      </c>
      <c r="K111" s="2">
        <v>-2.2858837835794954E-3</v>
      </c>
      <c r="L111" s="2">
        <v>8.2693515204269007E-3</v>
      </c>
      <c r="M111" s="4">
        <v>-7.0999999999999994E-2</v>
      </c>
      <c r="N111" s="1">
        <v>-0.70700636942675155</v>
      </c>
      <c r="O111" s="1">
        <v>-0.77308707124010567</v>
      </c>
      <c r="P111" s="1">
        <v>-0.80693069306930687</v>
      </c>
      <c r="Q111" s="1">
        <v>-3.2111475788220559E-2</v>
      </c>
      <c r="R111" s="1">
        <v>0.54652988149125348</v>
      </c>
      <c r="S111" s="5">
        <v>-0.398876404494382</v>
      </c>
      <c r="T111" s="2">
        <v>0.55200000000000005</v>
      </c>
      <c r="U111" s="2">
        <v>0.5</v>
      </c>
      <c r="V111" s="2">
        <v>0.33300000000000002</v>
      </c>
      <c r="W111" s="2">
        <v>0.49299999999999999</v>
      </c>
      <c r="X111" s="2">
        <v>0.29899999999999999</v>
      </c>
      <c r="Y111" s="4">
        <v>0.54900000000000004</v>
      </c>
      <c r="Z111" s="2">
        <v>-0.28499999999999992</v>
      </c>
      <c r="AA111" s="2">
        <v>-0.32399999999999995</v>
      </c>
      <c r="AB111" s="2">
        <v>-0.24999999999999994</v>
      </c>
      <c r="AC111" s="2">
        <v>-0.29516047155478198</v>
      </c>
      <c r="AD111" s="2">
        <v>-0.13694300410752003</v>
      </c>
      <c r="AE111" s="4">
        <v>-0.249</v>
      </c>
      <c r="AF111" s="1">
        <v>-0.34050179211469528</v>
      </c>
      <c r="AG111" s="1">
        <v>-0.39320388349514562</v>
      </c>
      <c r="AH111" s="1">
        <v>-0.42881646655231553</v>
      </c>
      <c r="AI111" s="1">
        <v>-0.37449286307460616</v>
      </c>
      <c r="AJ111" s="1">
        <v>-0.31413052352537513</v>
      </c>
      <c r="AK111" s="5">
        <v>-0.31203007518796988</v>
      </c>
      <c r="AL111" s="2">
        <v>0.995</v>
      </c>
      <c r="AM111" s="2">
        <v>0.995</v>
      </c>
      <c r="AN111" s="2">
        <v>0.71299999999999997</v>
      </c>
      <c r="AO111" s="2">
        <v>0.995</v>
      </c>
      <c r="AP111" s="2">
        <v>0.63300000000000001</v>
      </c>
      <c r="AQ111" s="4">
        <v>0.995</v>
      </c>
      <c r="AR111" s="2">
        <v>0.93500000000000005</v>
      </c>
      <c r="AS111" s="2">
        <v>0.95799999999999996</v>
      </c>
      <c r="AT111" s="2">
        <v>0.70899999999999996</v>
      </c>
      <c r="AU111" s="2">
        <v>0.995</v>
      </c>
      <c r="AV111" s="2">
        <v>0.63300000000000001</v>
      </c>
      <c r="AW111" s="4">
        <v>0.995</v>
      </c>
      <c r="AX111" s="1">
        <v>15.583333333333334</v>
      </c>
      <c r="AY111" s="1">
        <v>25.891891891891891</v>
      </c>
      <c r="AZ111" s="1">
        <v>177.25</v>
      </c>
      <c r="BA111" s="1" t="e">
        <v>#DIV/0!</v>
      </c>
      <c r="BB111" s="1" t="e">
        <v>#DIV/0!</v>
      </c>
      <c r="BC111" s="5" t="e">
        <v>#DIV/0!</v>
      </c>
      <c r="BD111" s="3">
        <f>$BH$1*F111+$BH$2*X111</f>
        <v>0.13364000000000001</v>
      </c>
      <c r="BE111" s="3">
        <f>$BH$1*M111+$BH$2*AE111</f>
        <v>-0.14219999999999999</v>
      </c>
    </row>
    <row r="112" spans="1:57">
      <c r="A112" t="s">
        <v>110</v>
      </c>
      <c r="B112" s="2">
        <v>0.13900000000000001</v>
      </c>
      <c r="C112" s="2">
        <v>9.1999999999999998E-2</v>
      </c>
      <c r="D112" s="2">
        <v>4.2000000000000003E-2</v>
      </c>
      <c r="E112" s="2">
        <v>8.4895440824983001E-2</v>
      </c>
      <c r="F112" s="2">
        <v>3.0441016636774398E-2</v>
      </c>
      <c r="G112" s="4">
        <v>0.14199999999999999</v>
      </c>
      <c r="H112" s="2">
        <v>-0.33199999999999996</v>
      </c>
      <c r="I112" s="2">
        <v>-0.28700000000000003</v>
      </c>
      <c r="J112" s="2">
        <v>-0.16</v>
      </c>
      <c r="K112" s="2">
        <v>1.3709557041403503E-2</v>
      </c>
      <c r="L112" s="2">
        <v>1.5310368157201298E-2</v>
      </c>
      <c r="M112" s="4">
        <v>-3.6000000000000004E-2</v>
      </c>
      <c r="N112" s="1">
        <v>-0.70488322717622076</v>
      </c>
      <c r="O112" s="1">
        <v>-0.75725593667546187</v>
      </c>
      <c r="P112" s="1">
        <v>-0.79207920792079201</v>
      </c>
      <c r="Q112" s="1">
        <v>0.19258814125400936</v>
      </c>
      <c r="R112" s="1">
        <v>1.0118778569121361</v>
      </c>
      <c r="S112" s="5">
        <v>-0.20224719101123598</v>
      </c>
      <c r="T112" s="2">
        <v>0.56100000000000005</v>
      </c>
      <c r="U112" s="2">
        <v>0.51400000000000001</v>
      </c>
      <c r="V112" s="2">
        <v>0.33200000000000002</v>
      </c>
      <c r="W112" s="2">
        <v>0.48222214974315603</v>
      </c>
      <c r="X112" s="2">
        <v>0.28397512740748998</v>
      </c>
      <c r="Y112" s="4">
        <v>0.53900000000000003</v>
      </c>
      <c r="Z112" s="2">
        <v>-0.27599999999999991</v>
      </c>
      <c r="AA112" s="2">
        <v>-0.30999999999999994</v>
      </c>
      <c r="AB112" s="2">
        <v>-0.25099999999999995</v>
      </c>
      <c r="AC112" s="2">
        <v>-0.30593832181162595</v>
      </c>
      <c r="AD112" s="2">
        <v>-0.15196787670003004</v>
      </c>
      <c r="AE112" s="4">
        <v>-0.25900000000000001</v>
      </c>
      <c r="AF112" s="1">
        <v>-0.32974910394265222</v>
      </c>
      <c r="AG112" s="1">
        <v>-0.37621359223300965</v>
      </c>
      <c r="AH112" s="1">
        <v>-0.43053173241852483</v>
      </c>
      <c r="AI112" s="1">
        <v>-0.38816755324979701</v>
      </c>
      <c r="AJ112" s="1">
        <v>-0.34859574593046805</v>
      </c>
      <c r="AK112" s="5">
        <v>-0.32456140350877194</v>
      </c>
      <c r="AL112" s="2">
        <v>0.996</v>
      </c>
      <c r="AM112" s="2">
        <v>0.995</v>
      </c>
      <c r="AN112" s="2">
        <v>0.755</v>
      </c>
      <c r="AO112" s="2">
        <v>0.995</v>
      </c>
      <c r="AP112" s="2">
        <v>0.68981263380585001</v>
      </c>
      <c r="AQ112" s="4">
        <v>0.996</v>
      </c>
      <c r="AR112" s="2">
        <v>0.93599999999999994</v>
      </c>
      <c r="AS112" s="2">
        <v>0.95799999999999996</v>
      </c>
      <c r="AT112" s="2">
        <v>0.751</v>
      </c>
      <c r="AU112" s="2">
        <v>0.995</v>
      </c>
      <c r="AV112" s="2">
        <v>0.68981263380585001</v>
      </c>
      <c r="AW112" s="4">
        <v>0.996</v>
      </c>
      <c r="AX112" s="1">
        <v>15.6</v>
      </c>
      <c r="AY112" s="1">
        <v>25.891891891891891</v>
      </c>
      <c r="AZ112" s="1">
        <v>187.75</v>
      </c>
      <c r="BA112" s="1" t="e">
        <v>#DIV/0!</v>
      </c>
      <c r="BB112" s="1" t="e">
        <v>#DIV/0!</v>
      </c>
      <c r="BC112" s="5" t="e">
        <v>#DIV/0!</v>
      </c>
      <c r="BD112" s="3">
        <f>$BH$1*F112+$BH$2*X112</f>
        <v>0.13185466094506065</v>
      </c>
      <c r="BE112" s="3">
        <f>$BH$1*M112+$BH$2*AE112</f>
        <v>-0.12520000000000001</v>
      </c>
    </row>
    <row r="113" spans="1:57">
      <c r="A113" t="s">
        <v>50</v>
      </c>
      <c r="B113" s="2">
        <v>0.18099999999999999</v>
      </c>
      <c r="C113" s="2">
        <v>0.126</v>
      </c>
      <c r="D113" s="2">
        <v>5.0999999999999997E-2</v>
      </c>
      <c r="E113" s="2">
        <v>0.111</v>
      </c>
      <c r="F113" s="2">
        <v>3.7600000000000001E-2</v>
      </c>
      <c r="G113" s="4">
        <v>0.17</v>
      </c>
      <c r="H113" s="2">
        <v>-0.28999999999999998</v>
      </c>
      <c r="I113" s="2">
        <v>-0.253</v>
      </c>
      <c r="J113" s="2">
        <v>-0.15100000000000002</v>
      </c>
      <c r="K113" s="2">
        <v>3.9814116216420503E-2</v>
      </c>
      <c r="L113" s="2">
        <v>2.2469351520426901E-2</v>
      </c>
      <c r="M113" s="4">
        <v>-7.9999999999999793E-3</v>
      </c>
      <c r="N113" s="1">
        <v>-0.61571125265392779</v>
      </c>
      <c r="O113" s="1">
        <v>-0.66754617414248019</v>
      </c>
      <c r="P113" s="1">
        <v>-0.74752475247524763</v>
      </c>
      <c r="Q113" s="1">
        <v>0.55929791273595808</v>
      </c>
      <c r="R113" s="1">
        <v>1.4850223736782535</v>
      </c>
      <c r="S113" s="5">
        <v>-4.4943820224718989E-2</v>
      </c>
      <c r="T113" s="2">
        <v>0.55800000000000005</v>
      </c>
      <c r="U113" s="2">
        <v>0.50900000000000001</v>
      </c>
      <c r="V113" s="2">
        <v>0.32900000000000001</v>
      </c>
      <c r="W113" s="2">
        <v>0.47199999999999998</v>
      </c>
      <c r="X113" s="2">
        <v>0.27300000000000002</v>
      </c>
      <c r="Y113" s="4">
        <v>0.53100000000000003</v>
      </c>
      <c r="Z113" s="2">
        <v>-0.27899999999999991</v>
      </c>
      <c r="AA113" s="2">
        <v>-0.31499999999999995</v>
      </c>
      <c r="AB113" s="2">
        <v>-0.25399999999999995</v>
      </c>
      <c r="AC113" s="2">
        <v>-0.316160471554782</v>
      </c>
      <c r="AD113" s="2">
        <v>-0.16294300410752</v>
      </c>
      <c r="AE113" s="4">
        <v>-0.26700000000000002</v>
      </c>
      <c r="AF113" s="1">
        <v>-0.33333333333333326</v>
      </c>
      <c r="AG113" s="1">
        <v>-0.38228155339805819</v>
      </c>
      <c r="AH113" s="1">
        <v>-0.43567753001715259</v>
      </c>
      <c r="AI113" s="1">
        <v>-0.40113718330875076</v>
      </c>
      <c r="AJ113" s="1">
        <v>-0.37377134756664682</v>
      </c>
      <c r="AK113" s="5">
        <v>-0.33458646616541354</v>
      </c>
      <c r="AL113" s="2">
        <v>0.995</v>
      </c>
      <c r="AM113" s="2">
        <v>0.995</v>
      </c>
      <c r="AN113" s="2">
        <v>0.81200000000000006</v>
      </c>
      <c r="AO113" s="2">
        <v>0.995</v>
      </c>
      <c r="AP113" s="2">
        <v>0.753</v>
      </c>
      <c r="AQ113" s="4">
        <v>0.995</v>
      </c>
      <c r="AR113" s="2">
        <v>0.93500000000000005</v>
      </c>
      <c r="AS113" s="2">
        <v>0.95799999999999996</v>
      </c>
      <c r="AT113" s="2">
        <v>0.80800000000000005</v>
      </c>
      <c r="AU113" s="2">
        <v>0.995</v>
      </c>
      <c r="AV113" s="2">
        <v>0.753</v>
      </c>
      <c r="AW113" s="4">
        <v>0.995</v>
      </c>
      <c r="AX113" s="1">
        <v>15.583333333333334</v>
      </c>
      <c r="AY113" s="1">
        <v>25.891891891891891</v>
      </c>
      <c r="AZ113" s="1">
        <v>202</v>
      </c>
      <c r="BA113" s="1" t="e">
        <v>#DIV/0!</v>
      </c>
      <c r="BB113" s="1" t="e">
        <v>#DIV/0!</v>
      </c>
      <c r="BC113" s="5" t="e">
        <v>#DIV/0!</v>
      </c>
      <c r="BD113" s="3">
        <f>$BH$1*F113+$BH$2*X113</f>
        <v>0.13176000000000002</v>
      </c>
      <c r="BE113" s="3">
        <f>$BH$1*M113+$BH$2*AE113</f>
        <v>-0.11159999999999999</v>
      </c>
    </row>
    <row r="114" spans="1:57">
      <c r="A114" t="s">
        <v>72</v>
      </c>
      <c r="B114" s="2">
        <v>0.214</v>
      </c>
      <c r="C114" s="2">
        <v>0.13300000000000001</v>
      </c>
      <c r="D114" s="2">
        <v>5.7000000000000002E-2</v>
      </c>
      <c r="E114" s="2">
        <v>0.11810183343353001</v>
      </c>
      <c r="F114" s="2">
        <v>3.2479432878081201E-2</v>
      </c>
      <c r="G114" s="4">
        <v>0.19</v>
      </c>
      <c r="H114" s="2">
        <v>-0.25700000000000001</v>
      </c>
      <c r="I114" s="2">
        <v>-0.246</v>
      </c>
      <c r="J114" s="2">
        <v>-0.14500000000000002</v>
      </c>
      <c r="K114" s="2">
        <v>4.6915949649950509E-2</v>
      </c>
      <c r="L114" s="2">
        <v>1.7348784398508101E-2</v>
      </c>
      <c r="M114" s="4">
        <v>1.2000000000000011E-2</v>
      </c>
      <c r="N114" s="1">
        <v>-0.54564755838641188</v>
      </c>
      <c r="O114" s="1">
        <v>-0.64907651715039572</v>
      </c>
      <c r="P114" s="1">
        <v>-0.7178217821782179</v>
      </c>
      <c r="Q114" s="1">
        <v>0.65906254381255069</v>
      </c>
      <c r="R114" s="1">
        <v>1.1465988666599163</v>
      </c>
      <c r="S114" s="5">
        <v>6.7415730337078719E-2</v>
      </c>
      <c r="T114" s="2">
        <v>0.52500000000000002</v>
      </c>
      <c r="U114" s="2">
        <v>0.48199999999999998</v>
      </c>
      <c r="V114" s="2">
        <v>0.31900000000000001</v>
      </c>
      <c r="W114" s="2">
        <v>0.45741742104883198</v>
      </c>
      <c r="X114" s="2">
        <v>0.27325537357125201</v>
      </c>
      <c r="Y114" s="4">
        <v>0.51200000000000001</v>
      </c>
      <c r="Z114" s="2">
        <v>-0.31199999999999994</v>
      </c>
      <c r="AA114" s="2">
        <v>-0.34199999999999997</v>
      </c>
      <c r="AB114" s="2">
        <v>-0.26399999999999996</v>
      </c>
      <c r="AC114" s="2">
        <v>-0.33074305050594999</v>
      </c>
      <c r="AD114" s="2">
        <v>-0.162687630536268</v>
      </c>
      <c r="AE114" s="4">
        <v>-0.28600000000000003</v>
      </c>
      <c r="AF114" s="1">
        <v>-0.37275985663082434</v>
      </c>
      <c r="AG114" s="1">
        <v>-0.41504854368932037</v>
      </c>
      <c r="AH114" s="1">
        <v>-0.45283018867924524</v>
      </c>
      <c r="AI114" s="1">
        <v>-0.41963922632849437</v>
      </c>
      <c r="AJ114" s="1">
        <v>-0.37318555178865326</v>
      </c>
      <c r="AK114" s="5">
        <v>-0.35839598997493738</v>
      </c>
      <c r="AL114" s="2">
        <v>0.98499999999999999</v>
      </c>
      <c r="AM114" s="2">
        <v>0.98299999999999998</v>
      </c>
      <c r="AN114" s="2">
        <v>0.61699999999999999</v>
      </c>
      <c r="AO114" s="2">
        <v>0.995</v>
      </c>
      <c r="AP114" s="2">
        <v>0.49202024462317701</v>
      </c>
      <c r="AQ114" s="4">
        <v>0.99399999999999999</v>
      </c>
      <c r="AR114" s="2">
        <v>0.92500000000000004</v>
      </c>
      <c r="AS114" s="2">
        <v>0.94599999999999995</v>
      </c>
      <c r="AT114" s="2">
        <v>0.61299999999999999</v>
      </c>
      <c r="AU114" s="2">
        <v>0.995</v>
      </c>
      <c r="AV114" s="2">
        <v>0.49202024462317701</v>
      </c>
      <c r="AW114" s="4">
        <v>0.99399999999999999</v>
      </c>
      <c r="AX114" s="1">
        <v>15.416666666666668</v>
      </c>
      <c r="AY114" s="1">
        <v>25.567567567567568</v>
      </c>
      <c r="AZ114" s="1">
        <v>153.25</v>
      </c>
      <c r="BA114" s="1" t="e">
        <v>#DIV/0!</v>
      </c>
      <c r="BB114" s="1" t="e">
        <v>#DIV/0!</v>
      </c>
      <c r="BC114" s="5" t="e">
        <v>#DIV/0!</v>
      </c>
      <c r="BD114" s="3">
        <f>$BH$1*F114+$BH$2*X114</f>
        <v>0.12878980915534952</v>
      </c>
      <c r="BE114" s="3">
        <f>$BH$1*M114+$BH$2*AE114</f>
        <v>-0.1072</v>
      </c>
    </row>
    <row r="115" spans="1:57">
      <c r="A115" t="s">
        <v>188</v>
      </c>
      <c r="B115" s="2">
        <v>0.18236404494382022</v>
      </c>
      <c r="C115" s="2">
        <v>9.11E-2</v>
      </c>
      <c r="D115" s="2">
        <v>3.8699999999999998E-2</v>
      </c>
      <c r="E115" s="2">
        <v>6.9400000000000003E-2</v>
      </c>
      <c r="F115" s="2">
        <v>2.1999999999999999E-2</v>
      </c>
      <c r="G115" s="4">
        <v>0.15159139784946235</v>
      </c>
      <c r="H115" s="2">
        <v>-0.28863595505617978</v>
      </c>
      <c r="I115" s="2">
        <v>-0.28789999999999999</v>
      </c>
      <c r="J115" s="2">
        <v>-0.1633</v>
      </c>
      <c r="K115" s="2">
        <v>-1.785883783579495E-3</v>
      </c>
      <c r="L115" s="2">
        <v>6.8693515204268987E-3</v>
      </c>
      <c r="M115" s="4">
        <v>-2.6408602150537641E-2</v>
      </c>
      <c r="N115" s="1">
        <v>-0.61281519120208028</v>
      </c>
      <c r="O115" s="1">
        <v>-0.75963060686015826</v>
      </c>
      <c r="P115" s="1">
        <v>-0.80841584158415836</v>
      </c>
      <c r="Q115" s="1">
        <v>-2.5087611316436956E-2</v>
      </c>
      <c r="R115" s="1">
        <v>0.45400245268408435</v>
      </c>
      <c r="S115" s="5">
        <v>-0.14836293342998674</v>
      </c>
      <c r="T115" s="2">
        <v>0.56030929626411818</v>
      </c>
      <c r="U115" s="2">
        <v>0.5</v>
      </c>
      <c r="V115" s="2">
        <v>0.32700000000000001</v>
      </c>
      <c r="W115" s="2">
        <v>0.48</v>
      </c>
      <c r="X115" s="2">
        <v>0.28799999999999998</v>
      </c>
      <c r="Y115" s="4">
        <v>0.54934278122232061</v>
      </c>
      <c r="Z115" s="2">
        <v>-0.27669070373588178</v>
      </c>
      <c r="AA115" s="2">
        <v>-0.32399999999999995</v>
      </c>
      <c r="AB115" s="2">
        <v>-0.25599999999999995</v>
      </c>
      <c r="AC115" s="2">
        <v>-0.30816047155478199</v>
      </c>
      <c r="AD115" s="2">
        <v>-0.14794300410752004</v>
      </c>
      <c r="AE115" s="4">
        <v>-0.24865721877767943</v>
      </c>
      <c r="AF115" s="1">
        <v>-0.33057431748611921</v>
      </c>
      <c r="AG115" s="1">
        <v>-0.39320388349514562</v>
      </c>
      <c r="AH115" s="1">
        <v>-0.43910806174957112</v>
      </c>
      <c r="AI115" s="1">
        <v>-0.39098696607669564</v>
      </c>
      <c r="AJ115" s="1">
        <v>-0.33936317985052861</v>
      </c>
      <c r="AK115" s="5">
        <v>-0.31160052478405942</v>
      </c>
      <c r="AL115" s="2">
        <v>0.99498391959798982</v>
      </c>
      <c r="AM115" s="2">
        <v>0.995</v>
      </c>
      <c r="AN115" s="2">
        <v>0.72899999999999998</v>
      </c>
      <c r="AO115" s="2">
        <v>0.995</v>
      </c>
      <c r="AP115" s="2">
        <v>0.65800000000000003</v>
      </c>
      <c r="AQ115" s="4">
        <v>0.99498391959798982</v>
      </c>
      <c r="AR115" s="2">
        <v>0.93498391959798988</v>
      </c>
      <c r="AS115" s="2">
        <v>0.95799999999999996</v>
      </c>
      <c r="AT115" s="2">
        <v>0.72499999999999998</v>
      </c>
      <c r="AU115" s="2">
        <v>0.995</v>
      </c>
      <c r="AV115" s="2">
        <v>0.65800000000000003</v>
      </c>
      <c r="AW115" s="4">
        <v>0.99498391959798982</v>
      </c>
      <c r="AX115" s="1">
        <v>15.583065326633164</v>
      </c>
      <c r="AY115" s="1">
        <v>25.891891891891891</v>
      </c>
      <c r="AZ115" s="1">
        <v>181.25</v>
      </c>
      <c r="BA115" s="1" t="e">
        <v>#DIV/0!</v>
      </c>
      <c r="BB115" s="1" t="e">
        <v>#DIV/0!</v>
      </c>
      <c r="BC115" s="5" t="e">
        <v>#DIV/0!</v>
      </c>
      <c r="BD115" s="3">
        <f>$BH$1*F115+$BH$2*X115</f>
        <v>0.12839999999999999</v>
      </c>
      <c r="BE115" s="3">
        <f>$BH$1*M115+$BH$2*AE115</f>
        <v>-0.11530804880139436</v>
      </c>
    </row>
    <row r="116" spans="1:57">
      <c r="A116" t="s">
        <v>46</v>
      </c>
      <c r="B116" s="2">
        <v>0.216</v>
      </c>
      <c r="C116" s="2">
        <v>0.13</v>
      </c>
      <c r="D116" s="2">
        <v>5.6000000000000001E-2</v>
      </c>
      <c r="E116" s="2">
        <v>0.108</v>
      </c>
      <c r="F116" s="2">
        <v>3.1300000000000001E-2</v>
      </c>
      <c r="G116" s="4">
        <v>0.21</v>
      </c>
      <c r="H116" s="2">
        <v>-0.255</v>
      </c>
      <c r="I116" s="2">
        <v>-0.249</v>
      </c>
      <c r="J116" s="2">
        <v>-0.14600000000000002</v>
      </c>
      <c r="K116" s="2">
        <v>3.68141162164205E-2</v>
      </c>
      <c r="L116" s="2">
        <v>1.6169351520426901E-2</v>
      </c>
      <c r="M116" s="4">
        <v>3.2000000000000001E-2</v>
      </c>
      <c r="N116" s="1">
        <v>-0.54140127388535031</v>
      </c>
      <c r="O116" s="1">
        <v>-0.65699208443271762</v>
      </c>
      <c r="P116" s="1">
        <v>-0.72277227722772286</v>
      </c>
      <c r="Q116" s="1">
        <v>0.51715472590525657</v>
      </c>
      <c r="R116" s="1">
        <v>1.068648944045993</v>
      </c>
      <c r="S116" s="5">
        <v>0.17977528089887643</v>
      </c>
      <c r="T116" s="2">
        <v>0.55500000000000005</v>
      </c>
      <c r="U116" s="2">
        <v>0.50600000000000001</v>
      </c>
      <c r="V116" s="2">
        <v>0.32200000000000001</v>
      </c>
      <c r="W116" s="2">
        <v>0.47</v>
      </c>
      <c r="X116" s="2">
        <v>0.27400000000000002</v>
      </c>
      <c r="Y116" s="4">
        <v>0.53100000000000003</v>
      </c>
      <c r="Z116" s="2">
        <v>-0.28199999999999992</v>
      </c>
      <c r="AA116" s="2">
        <v>-0.31799999999999995</v>
      </c>
      <c r="AB116" s="2">
        <v>-0.26099999999999995</v>
      </c>
      <c r="AC116" s="2">
        <v>-0.318160471554782</v>
      </c>
      <c r="AD116" s="2">
        <v>-0.16194300410751999</v>
      </c>
      <c r="AE116" s="4">
        <v>-0.26700000000000002</v>
      </c>
      <c r="AF116" s="1">
        <v>-0.33691756272401424</v>
      </c>
      <c r="AG116" s="1">
        <v>-0.38592233009708732</v>
      </c>
      <c r="AH116" s="1">
        <v>-0.44768439108061747</v>
      </c>
      <c r="AI116" s="1">
        <v>-0.40367473761676453</v>
      </c>
      <c r="AJ116" s="1">
        <v>-0.37147746971890555</v>
      </c>
      <c r="AK116" s="5">
        <v>-0.33458646616541354</v>
      </c>
      <c r="AL116" s="2">
        <v>0.99099999999999999</v>
      </c>
      <c r="AM116" s="2">
        <v>0.995</v>
      </c>
      <c r="AN116" s="2">
        <v>0.84699999999999998</v>
      </c>
      <c r="AO116" s="2">
        <v>0.995</v>
      </c>
      <c r="AP116" s="2">
        <v>0.76900000000000002</v>
      </c>
      <c r="AQ116" s="4">
        <v>0.99099999999999999</v>
      </c>
      <c r="AR116" s="2">
        <v>0.93100000000000005</v>
      </c>
      <c r="AS116" s="2">
        <v>0.95799999999999996</v>
      </c>
      <c r="AT116" s="2">
        <v>0.84299999999999997</v>
      </c>
      <c r="AU116" s="2">
        <v>0.995</v>
      </c>
      <c r="AV116" s="2">
        <v>0.76900000000000002</v>
      </c>
      <c r="AW116" s="4">
        <v>0.99099999999999999</v>
      </c>
      <c r="AX116" s="1">
        <v>15.516666666666667</v>
      </c>
      <c r="AY116" s="1">
        <v>25.891891891891891</v>
      </c>
      <c r="AZ116" s="1">
        <v>210.75</v>
      </c>
      <c r="BA116" s="1" t="e">
        <v>#DIV/0!</v>
      </c>
      <c r="BB116" s="1" t="e">
        <v>#DIV/0!</v>
      </c>
      <c r="BC116" s="5" t="e">
        <v>#DIV/0!</v>
      </c>
      <c r="BD116" s="3">
        <f>$BH$1*F116+$BH$2*X116</f>
        <v>0.12838000000000002</v>
      </c>
      <c r="BE116" s="3">
        <f>$BH$1*M116+$BH$2*AE116</f>
        <v>-8.7600000000000011E-2</v>
      </c>
    </row>
    <row r="117" spans="1:57">
      <c r="A117" t="s">
        <v>25</v>
      </c>
      <c r="B117" s="2">
        <v>0.192</v>
      </c>
      <c r="C117" s="2">
        <v>0.13200000000000001</v>
      </c>
      <c r="D117" s="2">
        <v>5.5E-2</v>
      </c>
      <c r="E117" s="2">
        <v>0.14399999999999999</v>
      </c>
      <c r="F117" s="2">
        <v>4.4400000000000002E-2</v>
      </c>
      <c r="G117" s="4">
        <v>0.186</v>
      </c>
      <c r="H117" s="2">
        <v>-0.27899999999999997</v>
      </c>
      <c r="I117" s="2">
        <v>-0.247</v>
      </c>
      <c r="J117" s="2">
        <v>-0.14700000000000002</v>
      </c>
      <c r="K117" s="2">
        <v>7.2814116216420491E-2</v>
      </c>
      <c r="L117" s="2">
        <v>2.9269351520426902E-2</v>
      </c>
      <c r="M117" s="4">
        <v>8.0000000000000071E-3</v>
      </c>
      <c r="N117" s="1">
        <v>-0.59235668789808915</v>
      </c>
      <c r="O117" s="1">
        <v>-0.65171503957783639</v>
      </c>
      <c r="P117" s="1">
        <v>-0.72772277227722781</v>
      </c>
      <c r="Q117" s="1">
        <v>1.0228729678736752</v>
      </c>
      <c r="R117" s="1">
        <v>1.9344413135987886</v>
      </c>
      <c r="S117" s="5">
        <v>4.4943820224719142E-2</v>
      </c>
      <c r="T117" s="2">
        <v>0.53700000000000003</v>
      </c>
      <c r="U117" s="2">
        <v>0.49299999999999999</v>
      </c>
      <c r="V117" s="2">
        <v>0.30399999999999999</v>
      </c>
      <c r="W117" s="2">
        <v>0.44700000000000001</v>
      </c>
      <c r="X117" s="2">
        <v>0.254</v>
      </c>
      <c r="Y117" s="4">
        <v>0.51100000000000001</v>
      </c>
      <c r="Z117" s="2">
        <v>-0.29999999999999993</v>
      </c>
      <c r="AA117" s="2">
        <v>-0.33099999999999996</v>
      </c>
      <c r="AB117" s="2">
        <v>-0.27899999999999997</v>
      </c>
      <c r="AC117" s="2">
        <v>-0.34116047155478196</v>
      </c>
      <c r="AD117" s="2">
        <v>-0.18194300410752001</v>
      </c>
      <c r="AE117" s="4">
        <v>-0.28700000000000003</v>
      </c>
      <c r="AF117" s="1">
        <v>-0.3584229390681003</v>
      </c>
      <c r="AG117" s="1">
        <v>-0.40169902912621358</v>
      </c>
      <c r="AH117" s="1">
        <v>-0.47855917667238418</v>
      </c>
      <c r="AI117" s="1">
        <v>-0.43285661215892279</v>
      </c>
      <c r="AJ117" s="1">
        <v>-0.41735502667373003</v>
      </c>
      <c r="AK117" s="5">
        <v>-0.35964912280701755</v>
      </c>
      <c r="AL117" s="2">
        <v>0.99099999999999999</v>
      </c>
      <c r="AM117" s="2">
        <v>0.995</v>
      </c>
      <c r="AN117" s="2">
        <v>0.77300000000000002</v>
      </c>
      <c r="AO117" s="2">
        <v>0.995</v>
      </c>
      <c r="AP117" s="2">
        <v>0.7</v>
      </c>
      <c r="AQ117" s="4">
        <v>0.99099999999999999</v>
      </c>
      <c r="AR117" s="2">
        <v>0.93100000000000005</v>
      </c>
      <c r="AS117" s="2">
        <v>0.95799999999999996</v>
      </c>
      <c r="AT117" s="2">
        <v>0.76900000000000002</v>
      </c>
      <c r="AU117" s="2">
        <v>0.995</v>
      </c>
      <c r="AV117" s="2">
        <v>0.7</v>
      </c>
      <c r="AW117" s="4">
        <v>0.99099999999999999</v>
      </c>
      <c r="AX117" s="1">
        <v>15.516666666666667</v>
      </c>
      <c r="AY117" s="1">
        <v>25.891891891891891</v>
      </c>
      <c r="AZ117" s="1">
        <v>192.25</v>
      </c>
      <c r="BA117" s="1" t="e">
        <v>#DIV/0!</v>
      </c>
      <c r="BB117" s="1" t="e">
        <v>#DIV/0!</v>
      </c>
      <c r="BC117" s="5" t="e">
        <v>#DIV/0!</v>
      </c>
      <c r="BD117" s="3">
        <f>$BH$1*F117+$BH$2*X117</f>
        <v>0.12824000000000002</v>
      </c>
      <c r="BE117" s="3">
        <f>$BH$1*M117+$BH$2*AE117</f>
        <v>-0.11000000000000001</v>
      </c>
    </row>
    <row r="118" spans="1:57">
      <c r="A118" t="s">
        <v>192</v>
      </c>
      <c r="B118" s="2">
        <v>0.1979591836734694</v>
      </c>
      <c r="C118" s="2">
        <v>0.125</v>
      </c>
      <c r="D118" s="2">
        <v>5.3699999999999998E-2</v>
      </c>
      <c r="E118" s="2">
        <v>0.11700000000000001</v>
      </c>
      <c r="F118" s="2">
        <v>3.2800000000000003E-2</v>
      </c>
      <c r="G118" s="4">
        <v>0.19995444191343961</v>
      </c>
      <c r="H118" s="2">
        <v>-0.27304081632653054</v>
      </c>
      <c r="I118" s="2">
        <v>-0.254</v>
      </c>
      <c r="J118" s="2">
        <v>-0.14830000000000002</v>
      </c>
      <c r="K118" s="2">
        <v>4.5814116216420508E-2</v>
      </c>
      <c r="L118" s="2">
        <v>1.7669351520426903E-2</v>
      </c>
      <c r="M118" s="4">
        <v>2.1954441913439621E-2</v>
      </c>
      <c r="N118" s="1">
        <v>-0.57970449326227291</v>
      </c>
      <c r="O118" s="1">
        <v>-0.67018469656992086</v>
      </c>
      <c r="P118" s="1">
        <v>-0.73415841584158414</v>
      </c>
      <c r="Q118" s="1">
        <v>0.64358428639736132</v>
      </c>
      <c r="R118" s="1">
        <v>1.167785474910817</v>
      </c>
      <c r="S118" s="5">
        <v>0.12333956131145855</v>
      </c>
      <c r="T118" s="2">
        <v>0.52227488151658774</v>
      </c>
      <c r="U118" s="2">
        <v>0.48</v>
      </c>
      <c r="V118" s="2">
        <v>0.317</v>
      </c>
      <c r="W118" s="2">
        <v>0.45600000000000002</v>
      </c>
      <c r="X118" s="2">
        <v>0.27100000000000002</v>
      </c>
      <c r="Y118" s="4">
        <v>0.50490000000000002</v>
      </c>
      <c r="Z118" s="2">
        <v>-0.31472511848341223</v>
      </c>
      <c r="AA118" s="2">
        <v>-0.34399999999999997</v>
      </c>
      <c r="AB118" s="2">
        <v>-0.26599999999999996</v>
      </c>
      <c r="AC118" s="2">
        <v>-0.33216047155478196</v>
      </c>
      <c r="AD118" s="2">
        <v>-0.16494300410752</v>
      </c>
      <c r="AE118" s="4">
        <v>-0.29310000000000003</v>
      </c>
      <c r="AF118" s="1">
        <v>-0.37601567321793578</v>
      </c>
      <c r="AG118" s="1">
        <v>-0.41747572815533979</v>
      </c>
      <c r="AH118" s="1">
        <v>-0.45626072041166377</v>
      </c>
      <c r="AI118" s="1">
        <v>-0.42143761777286082</v>
      </c>
      <c r="AJ118" s="1">
        <v>-0.37835910326212924</v>
      </c>
      <c r="AK118" s="5">
        <v>-0.36729323308270678</v>
      </c>
      <c r="AL118" s="2">
        <v>0.98193482688391032</v>
      </c>
      <c r="AM118" s="2">
        <v>0.98399999999999999</v>
      </c>
      <c r="AN118" s="2">
        <v>0.621</v>
      </c>
      <c r="AO118" s="2">
        <v>0.995</v>
      </c>
      <c r="AP118" s="2">
        <v>0.497</v>
      </c>
      <c r="AQ118" s="4">
        <v>0.99042705704189793</v>
      </c>
      <c r="AR118" s="2">
        <v>0.92193482688391026</v>
      </c>
      <c r="AS118" s="2">
        <v>0.94699999999999995</v>
      </c>
      <c r="AT118" s="2">
        <v>0.61699999999999999</v>
      </c>
      <c r="AU118" s="2">
        <v>0.995</v>
      </c>
      <c r="AV118" s="2">
        <v>0.497</v>
      </c>
      <c r="AW118" s="4">
        <v>0.99042705704189793</v>
      </c>
      <c r="AX118" s="1">
        <v>15.365580448065172</v>
      </c>
      <c r="AY118" s="1">
        <v>25.594594594594593</v>
      </c>
      <c r="AZ118" s="1">
        <v>154.25</v>
      </c>
      <c r="BA118" s="1" t="e">
        <v>#DIV/0!</v>
      </c>
      <c r="BB118" s="1" t="e">
        <v>#DIV/0!</v>
      </c>
      <c r="BC118" s="5" t="e">
        <v>#DIV/0!</v>
      </c>
      <c r="BD118" s="3">
        <f>$BH$1*F118+$BH$2*X118</f>
        <v>0.12808</v>
      </c>
      <c r="BE118" s="3">
        <f>$BH$1*M118+$BH$2*AE118</f>
        <v>-0.10406733485193624</v>
      </c>
    </row>
    <row r="119" spans="1:57">
      <c r="A119" t="s">
        <v>54</v>
      </c>
      <c r="B119" s="2">
        <v>0.14699999999999999</v>
      </c>
      <c r="C119" s="2">
        <v>0.11</v>
      </c>
      <c r="D119" s="2">
        <v>4.2000000000000003E-2</v>
      </c>
      <c r="E119" s="2">
        <v>7.6441839757896202E-2</v>
      </c>
      <c r="F119" s="2">
        <v>2.8668673840595599E-2</v>
      </c>
      <c r="G119" s="4">
        <v>0.11899999999999999</v>
      </c>
      <c r="H119" s="2">
        <v>-0.32399999999999995</v>
      </c>
      <c r="I119" s="2">
        <v>-0.26900000000000002</v>
      </c>
      <c r="J119" s="2">
        <v>-0.16</v>
      </c>
      <c r="K119" s="2">
        <v>5.2559559743167034E-3</v>
      </c>
      <c r="L119" s="2">
        <v>1.3538025361022499E-2</v>
      </c>
      <c r="M119" s="4">
        <v>-5.8999999999999997E-2</v>
      </c>
      <c r="N119" s="1">
        <v>-0.68789808917197448</v>
      </c>
      <c r="O119" s="1">
        <v>-0.70976253298153036</v>
      </c>
      <c r="P119" s="1">
        <v>-0.79207920792079201</v>
      </c>
      <c r="Q119" s="1">
        <v>7.3834244866523652E-2</v>
      </c>
      <c r="R119" s="1">
        <v>0.89474191270118408</v>
      </c>
      <c r="S119" s="5">
        <v>-0.33146067415730335</v>
      </c>
      <c r="T119" s="2">
        <v>0.56499999999999995</v>
      </c>
      <c r="U119" s="2">
        <v>0.48899999999999999</v>
      </c>
      <c r="V119" s="2">
        <v>0.318</v>
      </c>
      <c r="W119" s="2">
        <v>0.45764182026479699</v>
      </c>
      <c r="X119" s="2">
        <v>0.27268994928677698</v>
      </c>
      <c r="Y119" s="4">
        <v>0.54</v>
      </c>
      <c r="Z119" s="2">
        <v>-0.27200000000000002</v>
      </c>
      <c r="AA119" s="2">
        <v>-0.33499999999999996</v>
      </c>
      <c r="AB119" s="2">
        <v>-0.26499999999999996</v>
      </c>
      <c r="AC119" s="2">
        <v>-0.33051865128998498</v>
      </c>
      <c r="AD119" s="2">
        <v>-0.16325305482074304</v>
      </c>
      <c r="AE119" s="4">
        <v>-0.25800000000000001</v>
      </c>
      <c r="AF119" s="1">
        <v>-0.32497013142174436</v>
      </c>
      <c r="AG119" s="1">
        <v>-0.40655339805825241</v>
      </c>
      <c r="AH119" s="1">
        <v>-0.45454545454545447</v>
      </c>
      <c r="AI119" s="1">
        <v>-0.4193545137299009</v>
      </c>
      <c r="AJ119" s="1">
        <v>-0.37448256602938551</v>
      </c>
      <c r="AK119" s="5">
        <v>-0.32330827067669171</v>
      </c>
      <c r="AL119" s="2">
        <v>0.99299999999999999</v>
      </c>
      <c r="AM119" s="2">
        <v>0.995</v>
      </c>
      <c r="AN119" s="2">
        <v>0.79700000000000004</v>
      </c>
      <c r="AO119" s="2">
        <v>0.99482608695652097</v>
      </c>
      <c r="AP119" s="2">
        <v>0.758249632598195</v>
      </c>
      <c r="AQ119" s="4">
        <v>0.99299999999999999</v>
      </c>
      <c r="AR119" s="2">
        <v>0.93300000000000005</v>
      </c>
      <c r="AS119" s="2">
        <v>0.95799999999999996</v>
      </c>
      <c r="AT119" s="2">
        <v>0.79300000000000004</v>
      </c>
      <c r="AU119" s="2">
        <v>0.99482608695652097</v>
      </c>
      <c r="AV119" s="2">
        <v>0.758249632598195</v>
      </c>
      <c r="AW119" s="4">
        <v>0.99299999999999999</v>
      </c>
      <c r="AX119" s="1">
        <v>15.55</v>
      </c>
      <c r="AY119" s="1">
        <v>25.891891891891891</v>
      </c>
      <c r="AZ119" s="1">
        <v>198.25</v>
      </c>
      <c r="BA119" s="1" t="e">
        <v>#DIV/0!</v>
      </c>
      <c r="BB119" s="1" t="e">
        <v>#DIV/0!</v>
      </c>
      <c r="BC119" s="5" t="e">
        <v>#DIV/0!</v>
      </c>
      <c r="BD119" s="3">
        <f>$BH$1*F119+$BH$2*X119</f>
        <v>0.12627718401906815</v>
      </c>
      <c r="BE119" s="3">
        <f>$BH$1*M119+$BH$2*AE119</f>
        <v>-0.1386</v>
      </c>
    </row>
    <row r="120" spans="1:57">
      <c r="A120" t="s">
        <v>62</v>
      </c>
      <c r="B120" s="2">
        <v>0.193</v>
      </c>
      <c r="C120" s="2">
        <v>0.121</v>
      </c>
      <c r="D120" s="2">
        <v>5.1999999999999998E-2</v>
      </c>
      <c r="E120" s="2">
        <v>7.8983953417480005E-2</v>
      </c>
      <c r="F120" s="2">
        <v>2.5646040067912799E-2</v>
      </c>
      <c r="G120" s="4">
        <v>0.14799999999999999</v>
      </c>
      <c r="H120" s="2">
        <v>-0.27799999999999997</v>
      </c>
      <c r="I120" s="2">
        <v>-0.25800000000000001</v>
      </c>
      <c r="J120" s="2">
        <v>-0.15000000000000002</v>
      </c>
      <c r="K120" s="2">
        <v>7.7980696339005062E-3</v>
      </c>
      <c r="L120" s="2">
        <v>1.0515391588339699E-2</v>
      </c>
      <c r="M120" s="4">
        <v>-0.03</v>
      </c>
      <c r="N120" s="1">
        <v>-0.59023354564755837</v>
      </c>
      <c r="O120" s="1">
        <v>-0.68073878627968343</v>
      </c>
      <c r="P120" s="1">
        <v>-0.74257425742574268</v>
      </c>
      <c r="Q120" s="1">
        <v>0.10954516850009655</v>
      </c>
      <c r="R120" s="1">
        <v>0.69497296183543233</v>
      </c>
      <c r="S120" s="5">
        <v>-0.16853932584269662</v>
      </c>
      <c r="T120" s="2">
        <v>0.56299999999999994</v>
      </c>
      <c r="U120" s="2">
        <v>0.502</v>
      </c>
      <c r="V120" s="2">
        <v>0.32300000000000001</v>
      </c>
      <c r="W120" s="2">
        <v>0.46976137779338101</v>
      </c>
      <c r="X120" s="2">
        <v>0.27661869953808599</v>
      </c>
      <c r="Y120" s="4">
        <v>0.54700000000000004</v>
      </c>
      <c r="Z120" s="2">
        <v>-0.27400000000000002</v>
      </c>
      <c r="AA120" s="2">
        <v>-0.32199999999999995</v>
      </c>
      <c r="AB120" s="2">
        <v>-0.25999999999999995</v>
      </c>
      <c r="AC120" s="2">
        <v>-0.31839909376140096</v>
      </c>
      <c r="AD120" s="2">
        <v>-0.15932430456943403</v>
      </c>
      <c r="AE120" s="4">
        <v>-0.251</v>
      </c>
      <c r="AF120" s="1">
        <v>-0.32735961768219835</v>
      </c>
      <c r="AG120" s="1">
        <v>-0.39077669902912615</v>
      </c>
      <c r="AH120" s="1">
        <v>-0.44596912521440818</v>
      </c>
      <c r="AI120" s="1">
        <v>-0.40397749602096134</v>
      </c>
      <c r="AJ120" s="1">
        <v>-0.3654704928586</v>
      </c>
      <c r="AK120" s="5">
        <v>-0.31453634085213034</v>
      </c>
      <c r="AL120" s="2">
        <v>0.995</v>
      </c>
      <c r="AM120" s="2">
        <v>0.995</v>
      </c>
      <c r="AN120" s="2">
        <v>0.753</v>
      </c>
      <c r="AO120" s="2">
        <v>0.995</v>
      </c>
      <c r="AP120" s="2">
        <v>0.67992665293256105</v>
      </c>
      <c r="AQ120" s="4">
        <v>0.995</v>
      </c>
      <c r="AR120" s="2">
        <v>0.93500000000000005</v>
      </c>
      <c r="AS120" s="2">
        <v>0.95799999999999996</v>
      </c>
      <c r="AT120" s="2">
        <v>0.749</v>
      </c>
      <c r="AU120" s="2">
        <v>0.995</v>
      </c>
      <c r="AV120" s="2">
        <v>0.67992665293256105</v>
      </c>
      <c r="AW120" s="4">
        <v>0.995</v>
      </c>
      <c r="AX120" s="1">
        <v>15.583333333333334</v>
      </c>
      <c r="AY120" s="1">
        <v>25.891891891891891</v>
      </c>
      <c r="AZ120" s="1">
        <v>187.25</v>
      </c>
      <c r="BA120" s="1" t="e">
        <v>#DIV/0!</v>
      </c>
      <c r="BB120" s="1" t="e">
        <v>#DIV/0!</v>
      </c>
      <c r="BC120" s="5" t="e">
        <v>#DIV/0!</v>
      </c>
      <c r="BD120" s="3">
        <f>$BH$1*F120+$BH$2*X120</f>
        <v>0.12603510385598207</v>
      </c>
      <c r="BE120" s="3">
        <f>$BH$1*M120+$BH$2*AE120</f>
        <v>-0.11840000000000001</v>
      </c>
    </row>
    <row r="121" spans="1:57">
      <c r="A121" t="s">
        <v>167</v>
      </c>
      <c r="B121" s="2">
        <v>0.20275933609958507</v>
      </c>
      <c r="C121" s="2">
        <v>0.13800000000000001</v>
      </c>
      <c r="D121" s="2">
        <v>5.6399999999999999E-2</v>
      </c>
      <c r="E121" s="2">
        <v>9.9699999999999997E-2</v>
      </c>
      <c r="F121" s="2">
        <v>3.6200000000000003E-2</v>
      </c>
      <c r="G121" s="4">
        <v>0.17091811414392058</v>
      </c>
      <c r="H121" s="2">
        <v>-0.2682406639004149</v>
      </c>
      <c r="I121" s="2">
        <v>-0.24099999999999999</v>
      </c>
      <c r="J121" s="2">
        <v>-0.14560000000000001</v>
      </c>
      <c r="K121" s="2">
        <v>2.8514116216420499E-2</v>
      </c>
      <c r="L121" s="2">
        <v>2.1069351520426903E-2</v>
      </c>
      <c r="M121" s="4">
        <v>-7.0818858560794118E-3</v>
      </c>
      <c r="N121" s="1">
        <v>-0.56951308683739899</v>
      </c>
      <c r="O121" s="1">
        <v>-0.63588390501319259</v>
      </c>
      <c r="P121" s="1">
        <v>-0.72079207920792077</v>
      </c>
      <c r="Q121" s="1">
        <v>0.40055857567364883</v>
      </c>
      <c r="R121" s="1">
        <v>1.3924949448710846</v>
      </c>
      <c r="S121" s="5">
        <v>-3.9785875595951752E-2</v>
      </c>
      <c r="T121" s="2">
        <v>0.55520559930008762</v>
      </c>
      <c r="U121" s="2">
        <v>0.49299999999999999</v>
      </c>
      <c r="V121" s="2">
        <v>0.314</v>
      </c>
      <c r="W121" s="2">
        <v>0.45</v>
      </c>
      <c r="X121" s="2">
        <v>0.25900000000000001</v>
      </c>
      <c r="Y121" s="4">
        <v>0.52223911028730308</v>
      </c>
      <c r="Z121" s="2">
        <v>-0.28179440069991235</v>
      </c>
      <c r="AA121" s="2">
        <v>-0.33099999999999996</v>
      </c>
      <c r="AB121" s="2">
        <v>-0.26899999999999996</v>
      </c>
      <c r="AC121" s="2">
        <v>-0.33816047155478196</v>
      </c>
      <c r="AD121" s="2">
        <v>-0.17694300410752001</v>
      </c>
      <c r="AE121" s="4">
        <v>-0.27576088971269697</v>
      </c>
      <c r="AF121" s="1">
        <v>-0.33667192437265514</v>
      </c>
      <c r="AG121" s="1">
        <v>-0.40169902912621358</v>
      </c>
      <c r="AH121" s="1">
        <v>-0.46140651801029153</v>
      </c>
      <c r="AI121" s="1">
        <v>-0.42905028069690215</v>
      </c>
      <c r="AJ121" s="1">
        <v>-0.40588563743502393</v>
      </c>
      <c r="AK121" s="5">
        <v>-0.34556502470262773</v>
      </c>
      <c r="AL121" s="2">
        <v>0.99498391959798982</v>
      </c>
      <c r="AM121" s="2">
        <v>0.995</v>
      </c>
      <c r="AN121" s="2">
        <v>0.80700000000000005</v>
      </c>
      <c r="AO121" s="2">
        <v>0.995</v>
      </c>
      <c r="AP121" s="2">
        <v>0.76</v>
      </c>
      <c r="AQ121" s="4">
        <v>0.99498391959798982</v>
      </c>
      <c r="AR121" s="2">
        <v>0.93498391959798988</v>
      </c>
      <c r="AS121" s="2">
        <v>0.95799999999999996</v>
      </c>
      <c r="AT121" s="2">
        <v>0.80300000000000005</v>
      </c>
      <c r="AU121" s="2">
        <v>0.995</v>
      </c>
      <c r="AV121" s="2">
        <v>0.76</v>
      </c>
      <c r="AW121" s="4">
        <v>0.99498391959798982</v>
      </c>
      <c r="AX121" s="1">
        <v>15.583065326633164</v>
      </c>
      <c r="AY121" s="1">
        <v>25.891891891891891</v>
      </c>
      <c r="AZ121" s="1">
        <v>200.75</v>
      </c>
      <c r="BA121" s="1" t="e">
        <v>#DIV/0!</v>
      </c>
      <c r="BB121" s="1" t="e">
        <v>#DIV/0!</v>
      </c>
      <c r="BC121" s="5" t="e">
        <v>#DIV/0!</v>
      </c>
      <c r="BD121" s="3">
        <f>$BH$1*F121+$BH$2*X121</f>
        <v>0.12532000000000001</v>
      </c>
      <c r="BE121" s="3">
        <f>$BH$1*M121+$BH$2*AE121</f>
        <v>-0.11455348739872644</v>
      </c>
    </row>
    <row r="122" spans="1:57">
      <c r="A122" t="s">
        <v>134</v>
      </c>
      <c r="B122" s="2">
        <v>0.20300000000000001</v>
      </c>
      <c r="C122" s="2">
        <v>0.13800000000000001</v>
      </c>
      <c r="D122" s="2">
        <v>5.6000000000000001E-2</v>
      </c>
      <c r="E122" s="2">
        <v>9.9699999999999997E-2</v>
      </c>
      <c r="F122" s="2">
        <v>3.6200000000000003E-2</v>
      </c>
      <c r="G122" s="4">
        <v>0.17100000000000001</v>
      </c>
      <c r="H122" s="2">
        <v>-0.26799999999999996</v>
      </c>
      <c r="I122" s="2">
        <v>-0.24099999999999999</v>
      </c>
      <c r="J122" s="2">
        <v>-0.14600000000000002</v>
      </c>
      <c r="K122" s="2">
        <v>2.8514116216420499E-2</v>
      </c>
      <c r="L122" s="2">
        <v>2.1069351520426903E-2</v>
      </c>
      <c r="M122" s="4">
        <v>-6.9999999999999785E-3</v>
      </c>
      <c r="N122" s="1">
        <v>-0.56900212314225052</v>
      </c>
      <c r="O122" s="1">
        <v>-0.63588390501319259</v>
      </c>
      <c r="P122" s="1">
        <v>-0.72277227722772286</v>
      </c>
      <c r="Q122" s="1">
        <v>0.40055857567364883</v>
      </c>
      <c r="R122" s="1">
        <v>1.3924949448710846</v>
      </c>
      <c r="S122" s="5">
        <v>-3.9325842696629094E-2</v>
      </c>
      <c r="T122" s="2">
        <v>0.55500000000000005</v>
      </c>
      <c r="U122" s="2">
        <v>0.49299999999999999</v>
      </c>
      <c r="V122" s="2">
        <v>0.314</v>
      </c>
      <c r="W122" s="2">
        <v>0.45</v>
      </c>
      <c r="X122" s="2">
        <v>0.25900000000000001</v>
      </c>
      <c r="Y122" s="4">
        <v>0.52200000000000002</v>
      </c>
      <c r="Z122" s="2">
        <v>-0.28199999999999992</v>
      </c>
      <c r="AA122" s="2">
        <v>-0.33099999999999996</v>
      </c>
      <c r="AB122" s="2">
        <v>-0.26899999999999996</v>
      </c>
      <c r="AC122" s="2">
        <v>-0.33816047155478196</v>
      </c>
      <c r="AD122" s="2">
        <v>-0.17694300410752001</v>
      </c>
      <c r="AE122" s="4">
        <v>-0.27600000000000002</v>
      </c>
      <c r="AF122" s="1">
        <v>-0.33691756272401424</v>
      </c>
      <c r="AG122" s="1">
        <v>-0.40169902912621358</v>
      </c>
      <c r="AH122" s="1">
        <v>-0.46140651801029153</v>
      </c>
      <c r="AI122" s="1">
        <v>-0.42905028069690215</v>
      </c>
      <c r="AJ122" s="1">
        <v>-0.40588563743502393</v>
      </c>
      <c r="AK122" s="5">
        <v>-0.34586466165413537</v>
      </c>
      <c r="AL122" s="2">
        <v>0.995</v>
      </c>
      <c r="AM122" s="2">
        <v>0.995</v>
      </c>
      <c r="AN122" s="2">
        <v>0.80700000000000005</v>
      </c>
      <c r="AO122" s="2">
        <v>0.995</v>
      </c>
      <c r="AP122" s="2">
        <v>0.76</v>
      </c>
      <c r="AQ122" s="4">
        <v>0.995</v>
      </c>
      <c r="AR122" s="2">
        <v>0.93500000000000005</v>
      </c>
      <c r="AS122" s="2">
        <v>0.95799999999999996</v>
      </c>
      <c r="AT122" s="2">
        <v>0.80300000000000005</v>
      </c>
      <c r="AU122" s="2">
        <v>0.995</v>
      </c>
      <c r="AV122" s="2">
        <v>0.76</v>
      </c>
      <c r="AW122" s="4">
        <v>0.995</v>
      </c>
      <c r="AX122" s="1">
        <v>15.583333333333334</v>
      </c>
      <c r="AY122" s="1">
        <v>25.891891891891891</v>
      </c>
      <c r="AZ122" s="1">
        <v>200.75</v>
      </c>
      <c r="BA122" s="1" t="e">
        <v>#DIV/0!</v>
      </c>
      <c r="BB122" s="1" t="e">
        <v>#DIV/0!</v>
      </c>
      <c r="BC122" s="5" t="e">
        <v>#DIV/0!</v>
      </c>
      <c r="BD122" s="3">
        <f>$BH$1*F122+$BH$2*X122</f>
        <v>0.12532000000000001</v>
      </c>
      <c r="BE122" s="3">
        <f>$BH$1*M122+$BH$2*AE122</f>
        <v>-0.11459999999999999</v>
      </c>
    </row>
    <row r="123" spans="1:57">
      <c r="A123" t="s">
        <v>41</v>
      </c>
      <c r="B123" s="2">
        <v>0.19900000000000001</v>
      </c>
      <c r="C123" s="2">
        <v>0.11899999999999999</v>
      </c>
      <c r="D123" s="2">
        <v>5.5E-2</v>
      </c>
      <c r="E123" s="2">
        <v>0.10199999999999999</v>
      </c>
      <c r="F123" s="2">
        <v>2.9100000000000001E-2</v>
      </c>
      <c r="G123" s="4">
        <v>0.183</v>
      </c>
      <c r="H123" s="2">
        <v>-0.27199999999999996</v>
      </c>
      <c r="I123" s="2">
        <v>-0.26</v>
      </c>
      <c r="J123" s="2">
        <v>-0.14700000000000002</v>
      </c>
      <c r="K123" s="2">
        <v>3.0814116216420495E-2</v>
      </c>
      <c r="L123" s="2">
        <v>1.3969351520426901E-2</v>
      </c>
      <c r="M123" s="4">
        <v>5.0000000000000044E-3</v>
      </c>
      <c r="N123" s="1">
        <v>-0.57749469214437366</v>
      </c>
      <c r="O123" s="1">
        <v>-0.68601583113456466</v>
      </c>
      <c r="P123" s="1">
        <v>-0.72772277227722781</v>
      </c>
      <c r="Q123" s="1">
        <v>0.43286835224385328</v>
      </c>
      <c r="R123" s="1">
        <v>0.92324869877758442</v>
      </c>
      <c r="S123" s="5">
        <v>2.8089887640449465E-2</v>
      </c>
      <c r="T123" s="2">
        <v>0.52100000000000002</v>
      </c>
      <c r="U123" s="2">
        <v>0.47499999999999998</v>
      </c>
      <c r="V123" s="2">
        <v>0.314</v>
      </c>
      <c r="W123" s="2">
        <v>0.45500000000000002</v>
      </c>
      <c r="X123" s="2">
        <v>0.26900000000000002</v>
      </c>
      <c r="Y123" s="4">
        <v>0.50900000000000001</v>
      </c>
      <c r="Z123" s="2">
        <v>-0.31599999999999995</v>
      </c>
      <c r="AA123" s="2">
        <v>-0.34899999999999998</v>
      </c>
      <c r="AB123" s="2">
        <v>-0.26899999999999996</v>
      </c>
      <c r="AC123" s="2">
        <v>-0.33316047155478196</v>
      </c>
      <c r="AD123" s="2">
        <v>-0.16694300410752</v>
      </c>
      <c r="AE123" s="4">
        <v>-0.28900000000000003</v>
      </c>
      <c r="AF123" s="1">
        <v>-0.37753882915173231</v>
      </c>
      <c r="AG123" s="1">
        <v>-0.42354368932038833</v>
      </c>
      <c r="AH123" s="1">
        <v>-0.46140651801029153</v>
      </c>
      <c r="AI123" s="1">
        <v>-0.42270639492686773</v>
      </c>
      <c r="AJ123" s="1">
        <v>-0.38294685895761166</v>
      </c>
      <c r="AK123" s="5">
        <v>-0.36215538847117795</v>
      </c>
      <c r="AL123" s="2">
        <v>0.995</v>
      </c>
      <c r="AM123" s="2">
        <v>0.995</v>
      </c>
      <c r="AN123" s="2">
        <v>0.61299999999999999</v>
      </c>
      <c r="AO123" s="2">
        <v>0.995</v>
      </c>
      <c r="AP123" s="2">
        <v>0.49099999999999999</v>
      </c>
      <c r="AQ123" s="4">
        <v>0.995</v>
      </c>
      <c r="AR123" s="2">
        <v>0.93500000000000005</v>
      </c>
      <c r="AS123" s="2">
        <v>0.95799999999999996</v>
      </c>
      <c r="AT123" s="2">
        <v>0.60899999999999999</v>
      </c>
      <c r="AU123" s="2">
        <v>0.995</v>
      </c>
      <c r="AV123" s="2">
        <v>0.49099999999999999</v>
      </c>
      <c r="AW123" s="4">
        <v>0.995</v>
      </c>
      <c r="AX123" s="1">
        <v>15.583333333333334</v>
      </c>
      <c r="AY123" s="1">
        <v>25.891891891891891</v>
      </c>
      <c r="AZ123" s="1">
        <v>152.25</v>
      </c>
      <c r="BA123" s="1" t="e">
        <v>#DIV/0!</v>
      </c>
      <c r="BB123" s="1" t="e">
        <v>#DIV/0!</v>
      </c>
      <c r="BC123" s="5" t="e">
        <v>#DIV/0!</v>
      </c>
      <c r="BD123" s="3">
        <f>$BH$1*F123+$BH$2*X123</f>
        <v>0.12506</v>
      </c>
      <c r="BE123" s="3">
        <f>$BH$1*M123+$BH$2*AE123</f>
        <v>-0.11260000000000002</v>
      </c>
    </row>
    <row r="124" spans="1:57">
      <c r="A124" t="s">
        <v>140</v>
      </c>
      <c r="B124" s="2">
        <v>0.20100000000000001</v>
      </c>
      <c r="C124" s="2">
        <v>0.14099999999999999</v>
      </c>
      <c r="D124" s="2">
        <v>5.8999999999999997E-2</v>
      </c>
      <c r="E124" s="2">
        <v>0.111</v>
      </c>
      <c r="F124" s="2">
        <v>3.6900000000000002E-2</v>
      </c>
      <c r="G124" s="4">
        <v>0.16900000000000001</v>
      </c>
      <c r="H124" s="2">
        <v>-0.26999999999999996</v>
      </c>
      <c r="I124" s="2">
        <v>-0.23800000000000002</v>
      </c>
      <c r="J124" s="2">
        <v>-0.14300000000000002</v>
      </c>
      <c r="K124" s="2">
        <v>3.9814116216420503E-2</v>
      </c>
      <c r="L124" s="2">
        <v>2.1769351520426902E-2</v>
      </c>
      <c r="M124" s="4">
        <v>-8.9999999999999802E-3</v>
      </c>
      <c r="N124" s="1">
        <v>-0.57324840764331209</v>
      </c>
      <c r="O124" s="1">
        <v>-0.6279683377308708</v>
      </c>
      <c r="P124" s="1">
        <v>-0.70792079207920799</v>
      </c>
      <c r="Q124" s="1">
        <v>0.55929791273595808</v>
      </c>
      <c r="R124" s="1">
        <v>1.4387586592746691</v>
      </c>
      <c r="S124" s="5">
        <v>-5.0561797752808883E-2</v>
      </c>
      <c r="T124" s="2">
        <v>0.55600000000000005</v>
      </c>
      <c r="U124" s="2">
        <v>0.49199999999999999</v>
      </c>
      <c r="V124" s="2">
        <v>0.312</v>
      </c>
      <c r="W124" s="2">
        <v>0.45100000000000001</v>
      </c>
      <c r="X124" s="2">
        <v>0.25700000000000001</v>
      </c>
      <c r="Y124" s="4">
        <v>0.52200000000000002</v>
      </c>
      <c r="Z124" s="2">
        <v>-0.28099999999999992</v>
      </c>
      <c r="AA124" s="2">
        <v>-0.33199999999999996</v>
      </c>
      <c r="AB124" s="2">
        <v>-0.27099999999999996</v>
      </c>
      <c r="AC124" s="2">
        <v>-0.33716047155478196</v>
      </c>
      <c r="AD124" s="2">
        <v>-0.17894300410752001</v>
      </c>
      <c r="AE124" s="4">
        <v>-0.27600000000000002</v>
      </c>
      <c r="AF124" s="1">
        <v>-0.33572281959378725</v>
      </c>
      <c r="AG124" s="1">
        <v>-0.40291262135922329</v>
      </c>
      <c r="AH124" s="1">
        <v>-0.46483704974271006</v>
      </c>
      <c r="AI124" s="1">
        <v>-0.42778150354289524</v>
      </c>
      <c r="AJ124" s="1">
        <v>-0.41047339313050635</v>
      </c>
      <c r="AK124" s="5">
        <v>-0.34586466165413537</v>
      </c>
      <c r="AL124" s="2">
        <v>0.995</v>
      </c>
      <c r="AM124" s="2">
        <v>0.995</v>
      </c>
      <c r="AN124" s="2">
        <v>0.79</v>
      </c>
      <c r="AO124" s="2">
        <v>0.995</v>
      </c>
      <c r="AP124" s="2">
        <v>0.749</v>
      </c>
      <c r="AQ124" s="4">
        <v>0.995</v>
      </c>
      <c r="AR124" s="2">
        <v>0.93500000000000005</v>
      </c>
      <c r="AS124" s="2">
        <v>0.95799999999999996</v>
      </c>
      <c r="AT124" s="2">
        <v>0.78600000000000003</v>
      </c>
      <c r="AU124" s="2">
        <v>0.995</v>
      </c>
      <c r="AV124" s="2">
        <v>0.749</v>
      </c>
      <c r="AW124" s="4">
        <v>0.995</v>
      </c>
      <c r="AX124" s="1">
        <v>15.583333333333334</v>
      </c>
      <c r="AY124" s="1">
        <v>25.891891891891891</v>
      </c>
      <c r="AZ124" s="1">
        <v>196.5</v>
      </c>
      <c r="BA124" s="1" t="e">
        <v>#DIV/0!</v>
      </c>
      <c r="BB124" s="1" t="e">
        <v>#DIV/0!</v>
      </c>
      <c r="BC124" s="5" t="e">
        <v>#DIV/0!</v>
      </c>
      <c r="BD124" s="3">
        <f>$BH$1*F124+$BH$2*X124</f>
        <v>0.12494</v>
      </c>
      <c r="BE124" s="3">
        <f>$BH$1*M124+$BH$2*AE124</f>
        <v>-0.1158</v>
      </c>
    </row>
    <row r="125" spans="1:57">
      <c r="A125" t="s">
        <v>64</v>
      </c>
      <c r="B125" s="2">
        <v>0.20799999999999999</v>
      </c>
      <c r="C125" s="2">
        <v>0.122</v>
      </c>
      <c r="D125" s="2">
        <v>5.5E-2</v>
      </c>
      <c r="E125" s="2">
        <v>0.105543633570825</v>
      </c>
      <c r="F125" s="2">
        <v>3.2444541892546697E-2</v>
      </c>
      <c r="G125" s="4">
        <v>0.189</v>
      </c>
      <c r="H125" s="2">
        <v>-0.26300000000000001</v>
      </c>
      <c r="I125" s="2">
        <v>-0.25700000000000001</v>
      </c>
      <c r="J125" s="2">
        <v>-0.14700000000000002</v>
      </c>
      <c r="K125" s="2">
        <v>3.4357749787245498E-2</v>
      </c>
      <c r="L125" s="2">
        <v>1.7313893412973597E-2</v>
      </c>
      <c r="M125" s="4">
        <v>1.100000000000001E-2</v>
      </c>
      <c r="N125" s="1">
        <v>-0.5583864118895967</v>
      </c>
      <c r="O125" s="1">
        <v>-0.67810026385224276</v>
      </c>
      <c r="P125" s="1">
        <v>-0.72772277227722781</v>
      </c>
      <c r="Q125" s="1">
        <v>0.48264835612212803</v>
      </c>
      <c r="R125" s="1">
        <v>1.1442928858170192</v>
      </c>
      <c r="S125" s="5">
        <v>6.1797752808988825E-2</v>
      </c>
      <c r="T125" s="2">
        <v>0.51800000000000002</v>
      </c>
      <c r="U125" s="2">
        <v>0.47099999999999997</v>
      </c>
      <c r="V125" s="2">
        <v>0.311</v>
      </c>
      <c r="W125" s="2">
        <v>0.44685446395785799</v>
      </c>
      <c r="X125" s="2">
        <v>0.26177426201938497</v>
      </c>
      <c r="Y125" s="4">
        <v>0.505</v>
      </c>
      <c r="Z125" s="2">
        <v>-0.31899999999999995</v>
      </c>
      <c r="AA125" s="2">
        <v>-0.35299999999999998</v>
      </c>
      <c r="AB125" s="2">
        <v>-0.27199999999999996</v>
      </c>
      <c r="AC125" s="2">
        <v>-0.34130600759692398</v>
      </c>
      <c r="AD125" s="2">
        <v>-0.17416874208813504</v>
      </c>
      <c r="AE125" s="4">
        <v>-0.29300000000000004</v>
      </c>
      <c r="AF125" s="1">
        <v>-0.38112305854241335</v>
      </c>
      <c r="AG125" s="1">
        <v>-0.42839805825242716</v>
      </c>
      <c r="AH125" s="1">
        <v>-0.46655231560891935</v>
      </c>
      <c r="AI125" s="1">
        <v>-0.43304126496427714</v>
      </c>
      <c r="AJ125" s="1">
        <v>-0.39952181924492691</v>
      </c>
      <c r="AK125" s="5">
        <v>-0.36716791979949875</v>
      </c>
      <c r="AL125" s="2">
        <v>0.99299999999999999</v>
      </c>
      <c r="AM125" s="2">
        <v>0.995</v>
      </c>
      <c r="AN125" s="2">
        <v>0.60899999999999999</v>
      </c>
      <c r="AO125" s="2">
        <v>0.995</v>
      </c>
      <c r="AP125" s="2">
        <v>0.47947252062731799</v>
      </c>
      <c r="AQ125" s="4">
        <v>0.99299999999999999</v>
      </c>
      <c r="AR125" s="2">
        <v>0.93300000000000005</v>
      </c>
      <c r="AS125" s="2">
        <v>0.95799999999999996</v>
      </c>
      <c r="AT125" s="2">
        <v>0.60499999999999998</v>
      </c>
      <c r="AU125" s="2">
        <v>0.995</v>
      </c>
      <c r="AV125" s="2">
        <v>0.47947252062731799</v>
      </c>
      <c r="AW125" s="4">
        <v>0.99299999999999999</v>
      </c>
      <c r="AX125" s="1">
        <v>15.55</v>
      </c>
      <c r="AY125" s="1">
        <v>25.891891891891891</v>
      </c>
      <c r="AZ125" s="1">
        <v>151.25</v>
      </c>
      <c r="BA125" s="1" t="e">
        <v>#DIV/0!</v>
      </c>
      <c r="BB125" s="1" t="e">
        <v>#DIV/0!</v>
      </c>
      <c r="BC125" s="5" t="e">
        <v>#DIV/0!</v>
      </c>
      <c r="BD125" s="3">
        <f>$BH$1*F125+$BH$2*X125</f>
        <v>0.12417642994328201</v>
      </c>
      <c r="BE125" s="3">
        <f>$BH$1*M125+$BH$2*AE125</f>
        <v>-0.11060000000000002</v>
      </c>
    </row>
    <row r="126" spans="1:57">
      <c r="A126" t="s">
        <v>128</v>
      </c>
      <c r="B126" s="2">
        <v>0.191</v>
      </c>
      <c r="C126" s="2">
        <v>0.109</v>
      </c>
      <c r="D126" s="2">
        <v>4.2000000000000003E-2</v>
      </c>
      <c r="E126" s="2">
        <v>0.108</v>
      </c>
      <c r="F126" s="2">
        <v>3.5000000000000003E-2</v>
      </c>
      <c r="G126" s="4">
        <v>0.19700000000000001</v>
      </c>
      <c r="H126" s="2">
        <v>-0.27999999999999997</v>
      </c>
      <c r="I126" s="2">
        <v>-0.27</v>
      </c>
      <c r="J126" s="2">
        <v>-0.16</v>
      </c>
      <c r="K126" s="2">
        <v>3.68141162164205E-2</v>
      </c>
      <c r="L126" s="2">
        <v>1.9869351520426903E-2</v>
      </c>
      <c r="M126" s="4">
        <v>1.9000000000000017E-2</v>
      </c>
      <c r="N126" s="1">
        <v>-0.59447983014861994</v>
      </c>
      <c r="O126" s="1">
        <v>-0.71240105540897103</v>
      </c>
      <c r="P126" s="1">
        <v>-0.79207920792079201</v>
      </c>
      <c r="Q126" s="1">
        <v>0.51715472590525657</v>
      </c>
      <c r="R126" s="1">
        <v>1.3131857201792254</v>
      </c>
      <c r="S126" s="5">
        <v>0.10674157303370796</v>
      </c>
      <c r="T126" s="2">
        <v>0.56000000000000005</v>
      </c>
      <c r="U126" s="2">
        <v>0.502</v>
      </c>
      <c r="V126" s="2">
        <v>0.31</v>
      </c>
      <c r="W126" s="2">
        <v>0.46</v>
      </c>
      <c r="X126" s="2">
        <v>0.25700000000000001</v>
      </c>
      <c r="Y126" s="4">
        <v>0.53100000000000003</v>
      </c>
      <c r="Z126" s="2">
        <v>-0.27699999999999991</v>
      </c>
      <c r="AA126" s="2">
        <v>-0.32199999999999995</v>
      </c>
      <c r="AB126" s="2">
        <v>-0.27299999999999996</v>
      </c>
      <c r="AC126" s="2">
        <v>-0.32816047155478195</v>
      </c>
      <c r="AD126" s="2">
        <v>-0.17894300410752001</v>
      </c>
      <c r="AE126" s="4">
        <v>-0.26700000000000002</v>
      </c>
      <c r="AF126" s="1">
        <v>-0.33094384707287922</v>
      </c>
      <c r="AG126" s="1">
        <v>-0.39077669902912615</v>
      </c>
      <c r="AH126" s="1">
        <v>-0.46826758147512859</v>
      </c>
      <c r="AI126" s="1">
        <v>-0.41636250915683332</v>
      </c>
      <c r="AJ126" s="1">
        <v>-0.41047339313050635</v>
      </c>
      <c r="AK126" s="5">
        <v>-0.33458646616541354</v>
      </c>
      <c r="AL126" s="2">
        <v>0.995</v>
      </c>
      <c r="AM126" s="2">
        <v>0.995</v>
      </c>
      <c r="AN126" s="2">
        <v>0.81499999999999995</v>
      </c>
      <c r="AO126" s="2">
        <v>0.995</v>
      </c>
      <c r="AP126" s="2">
        <v>0.72799999999999998</v>
      </c>
      <c r="AQ126" s="4">
        <v>0.995</v>
      </c>
      <c r="AR126" s="2">
        <v>0.93500000000000005</v>
      </c>
      <c r="AS126" s="2">
        <v>0.95799999999999996</v>
      </c>
      <c r="AT126" s="2">
        <v>0.81099999999999994</v>
      </c>
      <c r="AU126" s="2">
        <v>0.995</v>
      </c>
      <c r="AV126" s="2">
        <v>0.72799999999999998</v>
      </c>
      <c r="AW126" s="4">
        <v>0.995</v>
      </c>
      <c r="AX126" s="1">
        <v>15.583333333333334</v>
      </c>
      <c r="AY126" s="1">
        <v>25.891891891891891</v>
      </c>
      <c r="AZ126" s="1">
        <v>202.74999999999997</v>
      </c>
      <c r="BA126" s="1" t="e">
        <v>#DIV/0!</v>
      </c>
      <c r="BB126" s="1" t="e">
        <v>#DIV/0!</v>
      </c>
      <c r="BC126" s="5" t="e">
        <v>#DIV/0!</v>
      </c>
      <c r="BD126" s="3">
        <f>$BH$1*F126+$BH$2*X126</f>
        <v>0.12380000000000001</v>
      </c>
      <c r="BE126" s="3">
        <f>$BH$1*M126+$BH$2*AE126</f>
        <v>-9.5399999999999999E-2</v>
      </c>
    </row>
    <row r="127" spans="1:57">
      <c r="A127" t="s">
        <v>35</v>
      </c>
      <c r="B127" s="2">
        <v>0.216</v>
      </c>
      <c r="C127" s="2">
        <v>0.11799999999999999</v>
      </c>
      <c r="D127" s="2">
        <v>5.2999999999999999E-2</v>
      </c>
      <c r="E127" s="2">
        <v>0.10100000000000001</v>
      </c>
      <c r="F127" s="2">
        <v>3.1899999999999998E-2</v>
      </c>
      <c r="G127" s="4">
        <v>0.19400000000000001</v>
      </c>
      <c r="H127" s="2">
        <v>-0.255</v>
      </c>
      <c r="I127" s="2">
        <v>-0.26100000000000001</v>
      </c>
      <c r="J127" s="2">
        <v>-0.14900000000000002</v>
      </c>
      <c r="K127" s="2">
        <v>2.9814116216420508E-2</v>
      </c>
      <c r="L127" s="2">
        <v>1.6769351520426898E-2</v>
      </c>
      <c r="M127" s="4">
        <v>1.6000000000000014E-2</v>
      </c>
      <c r="N127" s="1">
        <v>-0.54140127388535031</v>
      </c>
      <c r="O127" s="1">
        <v>-0.68865435356200533</v>
      </c>
      <c r="P127" s="1">
        <v>-0.73762376237623772</v>
      </c>
      <c r="Q127" s="1">
        <v>0.4188206233002863</v>
      </c>
      <c r="R127" s="1">
        <v>1.1083035563919224</v>
      </c>
      <c r="S127" s="5">
        <v>8.9887640449438283E-2</v>
      </c>
      <c r="T127" s="2">
        <v>0.51100000000000001</v>
      </c>
      <c r="U127" s="2">
        <v>0.46800000000000003</v>
      </c>
      <c r="V127" s="2">
        <v>0.309</v>
      </c>
      <c r="W127" s="2">
        <v>0.44500000000000001</v>
      </c>
      <c r="X127" s="2">
        <v>0.26100000000000001</v>
      </c>
      <c r="Y127" s="4">
        <v>0.497</v>
      </c>
      <c r="Z127" s="2">
        <v>-0.32599999999999996</v>
      </c>
      <c r="AA127" s="2">
        <v>-0.35599999999999993</v>
      </c>
      <c r="AB127" s="2">
        <v>-0.27399999999999997</v>
      </c>
      <c r="AC127" s="2">
        <v>-0.34316047155478197</v>
      </c>
      <c r="AD127" s="2">
        <v>-0.17494300410752001</v>
      </c>
      <c r="AE127" s="4">
        <v>-0.30100000000000005</v>
      </c>
      <c r="AF127" s="1">
        <v>-0.38948626045400236</v>
      </c>
      <c r="AG127" s="1">
        <v>-0.43203883495145623</v>
      </c>
      <c r="AH127" s="1">
        <v>-0.46998284734133788</v>
      </c>
      <c r="AI127" s="1">
        <v>-0.43539416646693657</v>
      </c>
      <c r="AJ127" s="1">
        <v>-0.40129788173954145</v>
      </c>
      <c r="AK127" s="5">
        <v>-0.37719298245614041</v>
      </c>
      <c r="AL127" s="2">
        <v>0.995</v>
      </c>
      <c r="AM127" s="2">
        <v>0.995</v>
      </c>
      <c r="AN127" s="2">
        <v>0.59399999999999997</v>
      </c>
      <c r="AO127" s="2">
        <v>0.995</v>
      </c>
      <c r="AP127" s="2">
        <v>0.48099999999999998</v>
      </c>
      <c r="AQ127" s="4">
        <v>0.995</v>
      </c>
      <c r="AR127" s="2">
        <v>0.93500000000000005</v>
      </c>
      <c r="AS127" s="2">
        <v>0.95799999999999996</v>
      </c>
      <c r="AT127" s="2">
        <v>0.59</v>
      </c>
      <c r="AU127" s="2">
        <v>0.995</v>
      </c>
      <c r="AV127" s="2">
        <v>0.48099999999999998</v>
      </c>
      <c r="AW127" s="4">
        <v>0.995</v>
      </c>
      <c r="AX127" s="1">
        <v>15.583333333333334</v>
      </c>
      <c r="AY127" s="1">
        <v>25.891891891891891</v>
      </c>
      <c r="AZ127" s="1">
        <v>147.5</v>
      </c>
      <c r="BA127" s="1" t="e">
        <v>#DIV/0!</v>
      </c>
      <c r="BB127" s="1" t="e">
        <v>#DIV/0!</v>
      </c>
      <c r="BC127" s="5" t="e">
        <v>#DIV/0!</v>
      </c>
      <c r="BD127" s="3">
        <f>$BH$1*F127+$BH$2*X127</f>
        <v>0.12354000000000001</v>
      </c>
      <c r="BE127" s="3">
        <f>$BH$1*M127+$BH$2*AE127</f>
        <v>-0.11080000000000001</v>
      </c>
    </row>
    <row r="128" spans="1:57">
      <c r="A128" t="s">
        <v>122</v>
      </c>
      <c r="B128" s="2">
        <v>0.17599999999999999</v>
      </c>
      <c r="C128" s="2">
        <v>9.6000000000000002E-2</v>
      </c>
      <c r="D128" s="2">
        <v>4.1000000000000002E-2</v>
      </c>
      <c r="E128" s="2">
        <v>9.7799999999999998E-2</v>
      </c>
      <c r="F128" s="2">
        <v>2.9000000000000001E-2</v>
      </c>
      <c r="G128" s="4">
        <v>0.17799999999999999</v>
      </c>
      <c r="H128" s="2">
        <v>-0.29499999999999998</v>
      </c>
      <c r="I128" s="2">
        <v>-0.28300000000000003</v>
      </c>
      <c r="J128" s="2">
        <v>-0.161</v>
      </c>
      <c r="K128" s="2">
        <v>2.66141162164205E-2</v>
      </c>
      <c r="L128" s="2">
        <v>1.3869351520426901E-2</v>
      </c>
      <c r="M128" s="4">
        <v>0</v>
      </c>
      <c r="N128" s="1">
        <v>-0.62632696390658171</v>
      </c>
      <c r="O128" s="1">
        <v>-0.7467018469656993</v>
      </c>
      <c r="P128" s="1">
        <v>-0.79702970297029696</v>
      </c>
      <c r="Q128" s="1">
        <v>0.37386789068087117</v>
      </c>
      <c r="R128" s="1">
        <v>0.91663959671992956</v>
      </c>
      <c r="S128" s="5">
        <v>0</v>
      </c>
      <c r="T128" s="2">
        <v>0.55800000000000005</v>
      </c>
      <c r="U128" s="2">
        <v>0.502</v>
      </c>
      <c r="V128" s="2">
        <v>0.317</v>
      </c>
      <c r="W128" s="2">
        <v>0.46400000000000002</v>
      </c>
      <c r="X128" s="2">
        <v>0.26400000000000001</v>
      </c>
      <c r="Y128" s="4">
        <v>0.52600000000000002</v>
      </c>
      <c r="Z128" s="2">
        <v>-0.27899999999999991</v>
      </c>
      <c r="AA128" s="2">
        <v>-0.32199999999999995</v>
      </c>
      <c r="AB128" s="2">
        <v>-0.26599999999999996</v>
      </c>
      <c r="AC128" s="2">
        <v>-0.32416047155478195</v>
      </c>
      <c r="AD128" s="2">
        <v>-0.17194300410752</v>
      </c>
      <c r="AE128" s="4">
        <v>-0.27200000000000002</v>
      </c>
      <c r="AF128" s="1">
        <v>-0.33333333333333326</v>
      </c>
      <c r="AG128" s="1">
        <v>-0.39077669902912615</v>
      </c>
      <c r="AH128" s="1">
        <v>-0.45626072041166377</v>
      </c>
      <c r="AI128" s="1">
        <v>-0.41128740054080576</v>
      </c>
      <c r="AJ128" s="1">
        <v>-0.39441624819631782</v>
      </c>
      <c r="AK128" s="5">
        <v>-0.34085213032581452</v>
      </c>
      <c r="AL128" s="2">
        <v>0.995</v>
      </c>
      <c r="AM128" s="2">
        <v>0.995</v>
      </c>
      <c r="AN128" s="2">
        <v>0.83699999999999997</v>
      </c>
      <c r="AO128" s="2">
        <v>0.995</v>
      </c>
      <c r="AP128" s="2">
        <v>0.755</v>
      </c>
      <c r="AQ128" s="4">
        <v>0.995</v>
      </c>
      <c r="AR128" s="2">
        <v>0.93500000000000005</v>
      </c>
      <c r="AS128" s="2">
        <v>0.95799999999999996</v>
      </c>
      <c r="AT128" s="2">
        <v>0.83299999999999996</v>
      </c>
      <c r="AU128" s="2">
        <v>0.995</v>
      </c>
      <c r="AV128" s="2">
        <v>0.755</v>
      </c>
      <c r="AW128" s="4">
        <v>0.995</v>
      </c>
      <c r="AX128" s="1">
        <v>15.583333333333334</v>
      </c>
      <c r="AY128" s="1">
        <v>25.891891891891891</v>
      </c>
      <c r="AZ128" s="1">
        <v>208.25</v>
      </c>
      <c r="BA128" s="1" t="e">
        <v>#DIV/0!</v>
      </c>
      <c r="BB128" s="1" t="e">
        <v>#DIV/0!</v>
      </c>
      <c r="BC128" s="5" t="e">
        <v>#DIV/0!</v>
      </c>
      <c r="BD128" s="3">
        <f>$BH$1*F128+$BH$2*X128</f>
        <v>0.12300000000000001</v>
      </c>
      <c r="BE128" s="3">
        <f>$BH$1*M128+$BH$2*AE128</f>
        <v>-0.10880000000000001</v>
      </c>
    </row>
    <row r="129" spans="1:57">
      <c r="A129" t="s">
        <v>60</v>
      </c>
      <c r="B129" s="2">
        <v>0.216</v>
      </c>
      <c r="C129" s="2">
        <v>0.123</v>
      </c>
      <c r="D129" s="2">
        <v>5.5E-2</v>
      </c>
      <c r="E129" s="2">
        <v>0.1059632508602</v>
      </c>
      <c r="F129" s="2">
        <v>3.3047965145417899E-2</v>
      </c>
      <c r="G129" s="4">
        <v>0.19700000000000001</v>
      </c>
      <c r="H129" s="2">
        <v>-0.255</v>
      </c>
      <c r="I129" s="2">
        <v>-0.25600000000000001</v>
      </c>
      <c r="J129" s="2">
        <v>-0.14700000000000002</v>
      </c>
      <c r="K129" s="2">
        <v>3.4777367076620505E-2</v>
      </c>
      <c r="L129" s="2">
        <v>1.7917316665844799E-2</v>
      </c>
      <c r="M129" s="4">
        <v>1.9000000000000017E-2</v>
      </c>
      <c r="N129" s="1">
        <v>-0.54140127388535031</v>
      </c>
      <c r="O129" s="1">
        <v>-0.67546174142480209</v>
      </c>
      <c r="P129" s="1">
        <v>-0.72772277227722781</v>
      </c>
      <c r="Q129" s="1">
        <v>0.48854302606330252</v>
      </c>
      <c r="R129" s="1">
        <v>1.1841737444388982</v>
      </c>
      <c r="S129" s="5">
        <v>0.10674157303370796</v>
      </c>
      <c r="T129" s="2">
        <v>0.51</v>
      </c>
      <c r="U129" s="2">
        <v>0.46300000000000002</v>
      </c>
      <c r="V129" s="2">
        <v>0.30599999999999999</v>
      </c>
      <c r="W129" s="2">
        <v>0.43837466614142601</v>
      </c>
      <c r="X129" s="2">
        <v>0.25771044031571899</v>
      </c>
      <c r="Y129" s="4">
        <v>0.496</v>
      </c>
      <c r="Z129" s="2">
        <v>-0.32699999999999996</v>
      </c>
      <c r="AA129" s="2">
        <v>-0.36099999999999993</v>
      </c>
      <c r="AB129" s="2">
        <v>-0.27699999999999997</v>
      </c>
      <c r="AC129" s="2">
        <v>-0.34978580541335597</v>
      </c>
      <c r="AD129" s="2">
        <v>-0.17823256379180102</v>
      </c>
      <c r="AE129" s="4">
        <v>-0.30200000000000005</v>
      </c>
      <c r="AF129" s="1">
        <v>-0.39068100358422936</v>
      </c>
      <c r="AG129" s="1">
        <v>-0.43810679611650477</v>
      </c>
      <c r="AH129" s="1">
        <v>-0.47512864493996565</v>
      </c>
      <c r="AI129" s="1">
        <v>-0.44380023870436353</v>
      </c>
      <c r="AJ129" s="1">
        <v>-0.40884372982813627</v>
      </c>
      <c r="AK129" s="5">
        <v>-0.37844611528822059</v>
      </c>
      <c r="AL129" s="2">
        <v>0.98599999999999999</v>
      </c>
      <c r="AM129" s="2">
        <v>0.995</v>
      </c>
      <c r="AN129" s="2">
        <v>0.59599999999999997</v>
      </c>
      <c r="AO129" s="2">
        <v>0.99465217391304295</v>
      </c>
      <c r="AP129" s="2">
        <v>0.47564482088229898</v>
      </c>
      <c r="AQ129" s="4">
        <v>0.98599999999999999</v>
      </c>
      <c r="AR129" s="2">
        <v>0.92599999999999993</v>
      </c>
      <c r="AS129" s="2">
        <v>0.95799999999999996</v>
      </c>
      <c r="AT129" s="2">
        <v>0.59199999999999997</v>
      </c>
      <c r="AU129" s="2">
        <v>0.99465217391304295</v>
      </c>
      <c r="AV129" s="2">
        <v>0.47564482088229898</v>
      </c>
      <c r="AW129" s="4">
        <v>0.98599999999999999</v>
      </c>
      <c r="AX129" s="1">
        <v>15.433333333333334</v>
      </c>
      <c r="AY129" s="1">
        <v>25.891891891891891</v>
      </c>
      <c r="AZ129" s="1">
        <v>148</v>
      </c>
      <c r="BA129" s="1" t="e">
        <v>#DIV/0!</v>
      </c>
      <c r="BB129" s="1" t="e">
        <v>#DIV/0!</v>
      </c>
      <c r="BC129" s="5" t="e">
        <v>#DIV/0!</v>
      </c>
      <c r="BD129" s="3">
        <f>$BH$1*F129+$BH$2*X129</f>
        <v>0.12291295521353834</v>
      </c>
      <c r="BE129" s="3">
        <f>$BH$1*M129+$BH$2*AE129</f>
        <v>-0.10940000000000001</v>
      </c>
    </row>
    <row r="130" spans="1:57">
      <c r="A130" t="s">
        <v>109</v>
      </c>
      <c r="B130" s="2">
        <v>0.17799999999999999</v>
      </c>
      <c r="C130" s="2">
        <v>8.4000000000000005E-2</v>
      </c>
      <c r="D130" s="2">
        <v>2.7E-2</v>
      </c>
      <c r="E130" s="2">
        <v>7.3499999999999996E-2</v>
      </c>
      <c r="F130" s="2">
        <v>2.1299999999999999E-2</v>
      </c>
      <c r="G130" s="4">
        <v>0.15</v>
      </c>
      <c r="H130" s="2">
        <v>-0.29299999999999998</v>
      </c>
      <c r="I130" s="2">
        <v>-0.29499999999999998</v>
      </c>
      <c r="J130" s="2">
        <v>-0.17500000000000002</v>
      </c>
      <c r="K130" s="2">
        <v>2.3141162164204976E-3</v>
      </c>
      <c r="L130" s="2">
        <v>6.1693515204268995E-3</v>
      </c>
      <c r="M130" s="4">
        <v>-2.7999999999999997E-2</v>
      </c>
      <c r="N130" s="1">
        <v>-0.62208067940552014</v>
      </c>
      <c r="O130" s="1">
        <v>-0.77836411609498679</v>
      </c>
      <c r="P130" s="1">
        <v>-0.86633663366336633</v>
      </c>
      <c r="Q130" s="1">
        <v>3.2508077352188421E-2</v>
      </c>
      <c r="R130" s="1">
        <v>0.40773873828049989</v>
      </c>
      <c r="S130" s="5">
        <v>-0.15730337078651685</v>
      </c>
      <c r="T130" s="2">
        <v>0.60899999999999999</v>
      </c>
      <c r="U130" s="2">
        <v>0.53300000000000003</v>
      </c>
      <c r="V130" s="2">
        <v>0.32100000000000001</v>
      </c>
      <c r="W130" s="2">
        <v>0.47</v>
      </c>
      <c r="X130" s="2">
        <v>0.27300000000000002</v>
      </c>
      <c r="Y130" s="4">
        <v>0.57199999999999995</v>
      </c>
      <c r="Z130" s="2">
        <v>-0.22799999999999998</v>
      </c>
      <c r="AA130" s="2">
        <v>-0.29099999999999993</v>
      </c>
      <c r="AB130" s="2">
        <v>-0.26199999999999996</v>
      </c>
      <c r="AC130" s="2">
        <v>-0.318160471554782</v>
      </c>
      <c r="AD130" s="2">
        <v>-0.16294300410752</v>
      </c>
      <c r="AE130" s="4">
        <v>-0.22600000000000009</v>
      </c>
      <c r="AF130" s="1">
        <v>-0.27240143369175623</v>
      </c>
      <c r="AG130" s="1">
        <v>-0.3531553398058252</v>
      </c>
      <c r="AH130" s="1">
        <v>-0.44939965694682671</v>
      </c>
      <c r="AI130" s="1">
        <v>-0.40367473761676453</v>
      </c>
      <c r="AJ130" s="1">
        <v>-0.37377134756664682</v>
      </c>
      <c r="AK130" s="5">
        <v>-0.28320802005012541</v>
      </c>
      <c r="AL130" s="2">
        <v>0.94399999999999995</v>
      </c>
      <c r="AM130" s="2">
        <v>0.97199999999999998</v>
      </c>
      <c r="AN130" s="2">
        <v>0.621</v>
      </c>
      <c r="AO130" s="2">
        <v>0.97699999999999998</v>
      </c>
      <c r="AP130" s="2">
        <v>0.503</v>
      </c>
      <c r="AQ130" s="4">
        <v>0.95299999999999996</v>
      </c>
      <c r="AR130" s="2">
        <v>0.8839999999999999</v>
      </c>
      <c r="AS130" s="2">
        <v>0.93499999999999994</v>
      </c>
      <c r="AT130" s="2">
        <v>0.61699999999999999</v>
      </c>
      <c r="AU130" s="2">
        <v>0.97699999999999998</v>
      </c>
      <c r="AV130" s="2">
        <v>0.503</v>
      </c>
      <c r="AW130" s="4">
        <v>0.95299999999999996</v>
      </c>
      <c r="AX130" s="1">
        <v>14.733333333333333</v>
      </c>
      <c r="AY130" s="1">
        <v>25.27027027027027</v>
      </c>
      <c r="AZ130" s="1">
        <v>154.25</v>
      </c>
      <c r="BA130" s="1" t="e">
        <v>#DIV/0!</v>
      </c>
      <c r="BB130" s="1" t="e">
        <v>#DIV/0!</v>
      </c>
      <c r="BC130" s="5" t="e">
        <v>#DIV/0!</v>
      </c>
      <c r="BD130" s="3">
        <f>$BH$1*F130+$BH$2*X130</f>
        <v>0.12198000000000002</v>
      </c>
      <c r="BE130" s="3">
        <f>$BH$1*M130+$BH$2*AE130</f>
        <v>-0.10720000000000003</v>
      </c>
    </row>
    <row r="131" spans="1:57">
      <c r="A131" t="s">
        <v>174</v>
      </c>
      <c r="B131" s="2">
        <v>0.16930434782608697</v>
      </c>
      <c r="C131" s="2">
        <v>0.115</v>
      </c>
      <c r="D131" s="2">
        <v>4.65E-2</v>
      </c>
      <c r="E131" s="2">
        <v>9.8599999999999993E-2</v>
      </c>
      <c r="F131" s="2">
        <v>3.3599999999999998E-2</v>
      </c>
      <c r="G131" s="4">
        <v>0.17677749360613812</v>
      </c>
      <c r="H131" s="2">
        <v>-0.30169565217391303</v>
      </c>
      <c r="I131" s="2">
        <v>-0.26400000000000001</v>
      </c>
      <c r="J131" s="2">
        <v>-0.15550000000000003</v>
      </c>
      <c r="K131" s="2">
        <v>2.7414116216420495E-2</v>
      </c>
      <c r="L131" s="2">
        <v>1.8469351520426898E-2</v>
      </c>
      <c r="M131" s="4">
        <v>-1.2225063938618719E-3</v>
      </c>
      <c r="N131" s="1">
        <v>-0.64054278593187486</v>
      </c>
      <c r="O131" s="1">
        <v>-0.69656992084432723</v>
      </c>
      <c r="P131" s="1">
        <v>-0.76980198019801993</v>
      </c>
      <c r="Q131" s="1">
        <v>0.38510607383572487</v>
      </c>
      <c r="R131" s="1">
        <v>1.2206582913720561</v>
      </c>
      <c r="S131" s="5">
        <v>-6.8680134486622021E-3</v>
      </c>
      <c r="T131" s="2">
        <v>0.53597109304426382</v>
      </c>
      <c r="U131" s="2">
        <v>0.48299999999999998</v>
      </c>
      <c r="V131" s="2">
        <v>0.3</v>
      </c>
      <c r="W131" s="2">
        <v>0.44400000000000001</v>
      </c>
      <c r="X131" s="2">
        <v>0.251</v>
      </c>
      <c r="Y131" s="4">
        <v>0.50698859315589351</v>
      </c>
      <c r="Z131" s="2">
        <v>-0.30102890695573614</v>
      </c>
      <c r="AA131" s="2">
        <v>-0.34099999999999997</v>
      </c>
      <c r="AB131" s="2">
        <v>-0.28299999999999997</v>
      </c>
      <c r="AC131" s="2">
        <v>-0.34416047155478197</v>
      </c>
      <c r="AD131" s="2">
        <v>-0.18494300410752001</v>
      </c>
      <c r="AE131" s="4">
        <v>-0.29101140684410653</v>
      </c>
      <c r="AF131" s="1">
        <v>-0.35965221858510893</v>
      </c>
      <c r="AG131" s="1">
        <v>-0.41383495145631066</v>
      </c>
      <c r="AH131" s="1">
        <v>-0.48542024013722124</v>
      </c>
      <c r="AI131" s="1">
        <v>-0.43666294362094343</v>
      </c>
      <c r="AJ131" s="1">
        <v>-0.42423666021695366</v>
      </c>
      <c r="AK131" s="5">
        <v>-0.36467594842619866</v>
      </c>
      <c r="AL131" s="2">
        <v>0.99091826437941488</v>
      </c>
      <c r="AM131" s="2">
        <v>0.995</v>
      </c>
      <c r="AN131" s="2">
        <v>0.82399999999999995</v>
      </c>
      <c r="AO131" s="2">
        <v>0.995</v>
      </c>
      <c r="AP131" s="2">
        <v>0.73899999999999999</v>
      </c>
      <c r="AQ131" s="4">
        <v>0.99091826437941488</v>
      </c>
      <c r="AR131" s="2">
        <v>0.93091826437941494</v>
      </c>
      <c r="AS131" s="2">
        <v>0.95799999999999996</v>
      </c>
      <c r="AT131" s="2">
        <v>0.82</v>
      </c>
      <c r="AU131" s="2">
        <v>0.995</v>
      </c>
      <c r="AV131" s="2">
        <v>0.73899999999999999</v>
      </c>
      <c r="AW131" s="4">
        <v>0.99091826437941488</v>
      </c>
      <c r="AX131" s="1">
        <v>15.515304406323583</v>
      </c>
      <c r="AY131" s="1">
        <v>25.891891891891891</v>
      </c>
      <c r="AZ131" s="1">
        <v>204.99999999999997</v>
      </c>
      <c r="BA131" s="1" t="e">
        <v>#DIV/0!</v>
      </c>
      <c r="BB131" s="1" t="e">
        <v>#DIV/0!</v>
      </c>
      <c r="BC131" s="5" t="e">
        <v>#DIV/0!</v>
      </c>
      <c r="BD131" s="3">
        <f>$BH$1*F131+$BH$2*X131</f>
        <v>0.12056</v>
      </c>
      <c r="BE131" s="3">
        <f>$BH$1*M131+$BH$2*AE131</f>
        <v>-0.11713806657395974</v>
      </c>
    </row>
    <row r="132" spans="1:57">
      <c r="A132" t="s">
        <v>58</v>
      </c>
      <c r="B132" s="2">
        <v>0.192</v>
      </c>
      <c r="C132" s="2">
        <v>0.10299999999999999</v>
      </c>
      <c r="D132" s="2">
        <v>4.8000000000000001E-2</v>
      </c>
      <c r="E132" s="2">
        <v>4.7095660110986003E-2</v>
      </c>
      <c r="F132" s="2">
        <v>1.5880638907513001E-2</v>
      </c>
      <c r="G132" s="4">
        <v>0.115</v>
      </c>
      <c r="H132" s="2">
        <v>-0.27899999999999997</v>
      </c>
      <c r="I132" s="2">
        <v>-0.27600000000000002</v>
      </c>
      <c r="J132" s="2">
        <v>-0.15400000000000003</v>
      </c>
      <c r="K132" s="2">
        <v>-2.4090223672593496E-2</v>
      </c>
      <c r="L132" s="2">
        <v>7.4999042793990126E-4</v>
      </c>
      <c r="M132" s="4">
        <v>-6.2999999999999987E-2</v>
      </c>
      <c r="N132" s="1">
        <v>-0.59235668789808915</v>
      </c>
      <c r="O132" s="1">
        <v>-0.72823218997361483</v>
      </c>
      <c r="P132" s="1">
        <v>-0.7623762376237625</v>
      </c>
      <c r="Q132" s="1">
        <v>-0.33841293234249914</v>
      </c>
      <c r="R132" s="1">
        <v>4.9567632805191025E-2</v>
      </c>
      <c r="S132" s="5">
        <v>-0.35393258426966284</v>
      </c>
      <c r="T132" s="2">
        <v>0.55900000000000005</v>
      </c>
      <c r="U132" s="2">
        <v>0.502</v>
      </c>
      <c r="V132" s="2">
        <v>0.32100000000000001</v>
      </c>
      <c r="W132" s="2">
        <v>0.46720894379306999</v>
      </c>
      <c r="X132" s="2">
        <v>0.27640731510046201</v>
      </c>
      <c r="Y132" s="4">
        <v>0.54200000000000004</v>
      </c>
      <c r="Z132" s="2">
        <v>-0.27799999999999991</v>
      </c>
      <c r="AA132" s="2">
        <v>-0.32199999999999995</v>
      </c>
      <c r="AB132" s="2">
        <v>-0.26199999999999996</v>
      </c>
      <c r="AC132" s="2">
        <v>-0.32095152776171199</v>
      </c>
      <c r="AD132" s="2">
        <v>-0.159535689007058</v>
      </c>
      <c r="AE132" s="4">
        <v>-0.25600000000000001</v>
      </c>
      <c r="AF132" s="1">
        <v>-0.33213859020310627</v>
      </c>
      <c r="AG132" s="1">
        <v>-0.39077669902912615</v>
      </c>
      <c r="AH132" s="1">
        <v>-0.44939965694682671</v>
      </c>
      <c r="AI132" s="1">
        <v>-0.4072159659676664</v>
      </c>
      <c r="AJ132" s="1">
        <v>-0.36595538293742286</v>
      </c>
      <c r="AK132" s="5">
        <v>-0.32080200501253131</v>
      </c>
      <c r="AL132" s="2">
        <v>0.995</v>
      </c>
      <c r="AM132" s="2">
        <v>0.995</v>
      </c>
      <c r="AN132" s="2">
        <v>0.75800000000000001</v>
      </c>
      <c r="AO132" s="2">
        <v>0.995</v>
      </c>
      <c r="AP132" s="2">
        <v>0.671515033153535</v>
      </c>
      <c r="AQ132" s="4">
        <v>0.995</v>
      </c>
      <c r="AR132" s="2">
        <v>0.93500000000000005</v>
      </c>
      <c r="AS132" s="2">
        <v>0.95799999999999996</v>
      </c>
      <c r="AT132" s="2">
        <v>0.754</v>
      </c>
      <c r="AU132" s="2">
        <v>0.995</v>
      </c>
      <c r="AV132" s="2">
        <v>0.671515033153535</v>
      </c>
      <c r="AW132" s="4">
        <v>0.995</v>
      </c>
      <c r="AX132" s="1">
        <v>15.583333333333334</v>
      </c>
      <c r="AY132" s="1">
        <v>25.891891891891891</v>
      </c>
      <c r="AZ132" s="1">
        <v>188.5</v>
      </c>
      <c r="BA132" s="1" t="e">
        <v>#DIV/0!</v>
      </c>
      <c r="BB132" s="1" t="e">
        <v>#DIV/0!</v>
      </c>
      <c r="BC132" s="5" t="e">
        <v>#DIV/0!</v>
      </c>
      <c r="BD132" s="3">
        <f>$BH$1*F132+$BH$2*X132</f>
        <v>0.1200913093846926</v>
      </c>
      <c r="BE132" s="3">
        <f>$BH$1*M132+$BH$2*AE132</f>
        <v>-0.14019999999999999</v>
      </c>
    </row>
    <row r="133" spans="1:57">
      <c r="A133" t="s">
        <v>181</v>
      </c>
      <c r="B133" s="2">
        <v>0.13082373574978076</v>
      </c>
      <c r="C133" s="2">
        <v>7.9000000000000001E-2</v>
      </c>
      <c r="D133" s="2">
        <v>3.39E-2</v>
      </c>
      <c r="E133" s="2">
        <v>7.2900000000000006E-2</v>
      </c>
      <c r="F133" s="2">
        <v>2.3300000000000001E-2</v>
      </c>
      <c r="G133" s="4">
        <v>0.12438071845256371</v>
      </c>
      <c r="H133" s="2">
        <v>-0.34017626425021918</v>
      </c>
      <c r="I133" s="2">
        <v>-0.3</v>
      </c>
      <c r="J133" s="2">
        <v>-0.16810000000000003</v>
      </c>
      <c r="K133" s="2">
        <v>1.7141162164205082E-3</v>
      </c>
      <c r="L133" s="2">
        <v>8.1693515204269013E-3</v>
      </c>
      <c r="M133" s="4">
        <v>-5.3619281547436282E-2</v>
      </c>
      <c r="N133" s="1">
        <v>-0.72224259925736556</v>
      </c>
      <c r="O133" s="1">
        <v>-0.79155672823218992</v>
      </c>
      <c r="P133" s="1">
        <v>-0.83217821782178225</v>
      </c>
      <c r="Q133" s="1">
        <v>2.4079439986048255E-2</v>
      </c>
      <c r="R133" s="1">
        <v>0.53992077943359862</v>
      </c>
      <c r="S133" s="5">
        <v>-0.30123191880582184</v>
      </c>
      <c r="T133" s="2">
        <v>0.54523461195361289</v>
      </c>
      <c r="U133" s="2">
        <v>0.48099999999999998</v>
      </c>
      <c r="V133" s="2">
        <v>0.30599999999999999</v>
      </c>
      <c r="W133" s="2">
        <v>0.44500000000000001</v>
      </c>
      <c r="X133" s="2">
        <v>0.26200000000000001</v>
      </c>
      <c r="Y133" s="4">
        <v>0.51436105860113424</v>
      </c>
      <c r="Z133" s="2">
        <v>-0.29176538804638708</v>
      </c>
      <c r="AA133" s="2">
        <v>-0.34299999999999997</v>
      </c>
      <c r="AB133" s="2">
        <v>-0.27699999999999997</v>
      </c>
      <c r="AC133" s="2">
        <v>-0.34316047155478197</v>
      </c>
      <c r="AD133" s="2">
        <v>-0.17394300410752001</v>
      </c>
      <c r="AE133" s="4">
        <v>-0.28363894139886581</v>
      </c>
      <c r="AF133" s="1">
        <v>-0.34858469300643619</v>
      </c>
      <c r="AG133" s="1">
        <v>-0.41626213592233008</v>
      </c>
      <c r="AH133" s="1">
        <v>-0.47512864493996565</v>
      </c>
      <c r="AI133" s="1">
        <v>-0.43539416646693657</v>
      </c>
      <c r="AJ133" s="1">
        <v>-0.39900400389180024</v>
      </c>
      <c r="AK133" s="5">
        <v>-0.3554372699233907</v>
      </c>
      <c r="AL133" s="2">
        <v>0.99547965846308406</v>
      </c>
      <c r="AM133" s="2">
        <v>0.995</v>
      </c>
      <c r="AN133" s="2">
        <v>0.82899999999999996</v>
      </c>
      <c r="AO133" s="2">
        <v>0.995</v>
      </c>
      <c r="AP133" s="2">
        <v>0.75800000000000001</v>
      </c>
      <c r="AQ133" s="4">
        <v>0.99547965846308406</v>
      </c>
      <c r="AR133" s="2">
        <v>0.93547965846308401</v>
      </c>
      <c r="AS133" s="2">
        <v>0.95799999999999996</v>
      </c>
      <c r="AT133" s="2">
        <v>0.82499999999999996</v>
      </c>
      <c r="AU133" s="2">
        <v>0.995</v>
      </c>
      <c r="AV133" s="2">
        <v>0.75800000000000001</v>
      </c>
      <c r="AW133" s="4">
        <v>0.99547965846308406</v>
      </c>
      <c r="AX133" s="1">
        <v>15.5913276410514</v>
      </c>
      <c r="AY133" s="1">
        <v>25.891891891891891</v>
      </c>
      <c r="AZ133" s="1">
        <v>206.24999999999997</v>
      </c>
      <c r="BA133" s="1" t="e">
        <v>#DIV/0!</v>
      </c>
      <c r="BB133" s="1" t="e">
        <v>#DIV/0!</v>
      </c>
      <c r="BC133" s="5" t="e">
        <v>#DIV/0!</v>
      </c>
      <c r="BD133" s="3">
        <f>$BH$1*F133+$BH$2*X133</f>
        <v>0.11878000000000001</v>
      </c>
      <c r="BE133" s="3">
        <f>$BH$1*M133+$BH$2*AE133</f>
        <v>-0.14562714548800809</v>
      </c>
    </row>
    <row r="134" spans="1:57">
      <c r="A134" t="s">
        <v>209</v>
      </c>
      <c r="B134" s="2">
        <v>0.22875698924731186</v>
      </c>
      <c r="C134" s="2">
        <v>0.14000000000000001</v>
      </c>
      <c r="D134" s="2">
        <v>6.1899999999999997E-2</v>
      </c>
      <c r="E134" s="2">
        <v>0.108</v>
      </c>
      <c r="F134" s="2">
        <v>3.04E-2</v>
      </c>
      <c r="G134" s="4">
        <v>0.18162474226804123</v>
      </c>
      <c r="H134" s="2">
        <v>-0.24224301075268811</v>
      </c>
      <c r="I134" s="2">
        <v>-0.23899999999999999</v>
      </c>
      <c r="J134" s="2">
        <v>-0.1401</v>
      </c>
      <c r="K134" s="2">
        <v>3.68141162164205E-2</v>
      </c>
      <c r="L134" s="2">
        <v>1.52693515204269E-2</v>
      </c>
      <c r="M134" s="4">
        <v>3.6247422680412422E-3</v>
      </c>
      <c r="N134" s="1">
        <v>-0.51431637102481553</v>
      </c>
      <c r="O134" s="1">
        <v>-0.63060686015831136</v>
      </c>
      <c r="P134" s="1">
        <v>-0.69356435643564351</v>
      </c>
      <c r="Q134" s="1">
        <v>0.51715472590525657</v>
      </c>
      <c r="R134" s="1">
        <v>1.0091670255270984</v>
      </c>
      <c r="S134" s="5">
        <v>2.0363720606973272E-2</v>
      </c>
      <c r="T134" s="2">
        <v>0.54968571428571433</v>
      </c>
      <c r="U134" s="2">
        <v>0.49299999999999999</v>
      </c>
      <c r="V134" s="2">
        <v>0.307</v>
      </c>
      <c r="W134" s="2">
        <v>0.45100000000000001</v>
      </c>
      <c r="X134" s="2">
        <v>0.251</v>
      </c>
      <c r="Y134" s="4">
        <v>0.52077516462841023</v>
      </c>
      <c r="Z134" s="2">
        <v>-0.28731428571428563</v>
      </c>
      <c r="AA134" s="2">
        <v>-0.33099999999999996</v>
      </c>
      <c r="AB134" s="2">
        <v>-0.27599999999999997</v>
      </c>
      <c r="AC134" s="2">
        <v>-0.33716047155478196</v>
      </c>
      <c r="AD134" s="2">
        <v>-0.18494300410752001</v>
      </c>
      <c r="AE134" s="4">
        <v>-0.27722483537158982</v>
      </c>
      <c r="AF134" s="1">
        <v>-0.34326676907322062</v>
      </c>
      <c r="AG134" s="1">
        <v>-0.40169902912621358</v>
      </c>
      <c r="AH134" s="1">
        <v>-0.47341337907375641</v>
      </c>
      <c r="AI134" s="1">
        <v>-0.42778150354289524</v>
      </c>
      <c r="AJ134" s="1">
        <v>-0.42423666021695366</v>
      </c>
      <c r="AK134" s="5">
        <v>-0.34739954307216769</v>
      </c>
      <c r="AL134" s="2">
        <v>0.99399094567404433</v>
      </c>
      <c r="AM134" s="2">
        <v>0.995</v>
      </c>
      <c r="AN134" s="2">
        <v>0.82199999999999995</v>
      </c>
      <c r="AO134" s="2">
        <v>0.995</v>
      </c>
      <c r="AP134" s="2">
        <v>0.71499999999999997</v>
      </c>
      <c r="AQ134" s="4">
        <v>0.99399094567404433</v>
      </c>
      <c r="AR134" s="2">
        <v>0.93399094567404428</v>
      </c>
      <c r="AS134" s="2">
        <v>0.95799999999999996</v>
      </c>
      <c r="AT134" s="2">
        <v>0.81799999999999995</v>
      </c>
      <c r="AU134" s="2">
        <v>0.995</v>
      </c>
      <c r="AV134" s="2">
        <v>0.71499999999999997</v>
      </c>
      <c r="AW134" s="4">
        <v>0.99399094567404433</v>
      </c>
      <c r="AX134" s="1">
        <v>15.566515761234072</v>
      </c>
      <c r="AY134" s="1">
        <v>25.891891891891891</v>
      </c>
      <c r="AZ134" s="1">
        <v>204.49999999999997</v>
      </c>
      <c r="BA134" s="1" t="e">
        <v>#DIV/0!</v>
      </c>
      <c r="BB134" s="1" t="e">
        <v>#DIV/0!</v>
      </c>
      <c r="BC134" s="5" t="e">
        <v>#DIV/0!</v>
      </c>
      <c r="BD134" s="3">
        <f>$BH$1*F134+$BH$2*X134</f>
        <v>0.11864</v>
      </c>
      <c r="BE134" s="3">
        <f>$BH$1*M134+$BH$2*AE134</f>
        <v>-0.10871508878781119</v>
      </c>
    </row>
    <row r="135" spans="1:57">
      <c r="A135" t="s">
        <v>19</v>
      </c>
      <c r="B135" s="2">
        <v>0.23499999999999999</v>
      </c>
      <c r="C135" s="2">
        <v>0.153</v>
      </c>
      <c r="D135" s="2">
        <v>5.3999999999999999E-2</v>
      </c>
      <c r="E135" s="2">
        <v>0.112</v>
      </c>
      <c r="F135" s="2">
        <v>3.1399999999999997E-2</v>
      </c>
      <c r="G135" s="4">
        <v>0.19900000000000001</v>
      </c>
      <c r="H135" s="2">
        <v>-0.23599999999999999</v>
      </c>
      <c r="I135" s="2">
        <v>-0.22600000000000001</v>
      </c>
      <c r="J135" s="2">
        <v>-0.14800000000000002</v>
      </c>
      <c r="K135" s="2">
        <v>4.0814116216420504E-2</v>
      </c>
      <c r="L135" s="2">
        <v>1.6269351520426897E-2</v>
      </c>
      <c r="M135" s="4">
        <v>2.1000000000000019E-2</v>
      </c>
      <c r="N135" s="1">
        <v>-0.50106157112526539</v>
      </c>
      <c r="O135" s="1">
        <v>-0.59630606860158308</v>
      </c>
      <c r="P135" s="1">
        <v>-0.73267326732673277</v>
      </c>
      <c r="Q135" s="1">
        <v>0.57334564167952529</v>
      </c>
      <c r="R135" s="1">
        <v>1.0752580461036476</v>
      </c>
      <c r="S135" s="5">
        <v>0.11797752808988775</v>
      </c>
      <c r="T135" s="2">
        <v>0.53100000000000003</v>
      </c>
      <c r="U135" s="2">
        <v>0.47799999999999998</v>
      </c>
      <c r="V135" s="2">
        <v>0.28899999999999998</v>
      </c>
      <c r="W135" s="2">
        <v>0.438</v>
      </c>
      <c r="X135" s="2">
        <v>0.247</v>
      </c>
      <c r="Y135" s="4">
        <v>0.50800000000000001</v>
      </c>
      <c r="Z135" s="2">
        <v>-0.30599999999999994</v>
      </c>
      <c r="AA135" s="2">
        <v>-0.34599999999999997</v>
      </c>
      <c r="AB135" s="2">
        <v>-0.29399999999999998</v>
      </c>
      <c r="AC135" s="2">
        <v>-0.35016047155478197</v>
      </c>
      <c r="AD135" s="2">
        <v>-0.18894300410752002</v>
      </c>
      <c r="AE135" s="4">
        <v>-0.29000000000000004</v>
      </c>
      <c r="AF135" s="1">
        <v>-0.36559139784946232</v>
      </c>
      <c r="AG135" s="1">
        <v>-0.4199029126213592</v>
      </c>
      <c r="AH135" s="1">
        <v>-0.50428816466552318</v>
      </c>
      <c r="AI135" s="1">
        <v>-0.44427560654498477</v>
      </c>
      <c r="AJ135" s="1">
        <v>-0.43341217160791856</v>
      </c>
      <c r="AK135" s="5">
        <v>-0.36340852130325818</v>
      </c>
      <c r="AL135" s="2">
        <v>0.995</v>
      </c>
      <c r="AM135" s="2">
        <v>0.995</v>
      </c>
      <c r="AN135" s="2">
        <v>0.80900000000000005</v>
      </c>
      <c r="AO135" s="2">
        <v>0.995</v>
      </c>
      <c r="AP135" s="2">
        <v>0.7</v>
      </c>
      <c r="AQ135" s="4">
        <v>0.995</v>
      </c>
      <c r="AR135" s="2">
        <v>0.93500000000000005</v>
      </c>
      <c r="AS135" s="2">
        <v>0.95799999999999996</v>
      </c>
      <c r="AT135" s="2">
        <v>0.80500000000000005</v>
      </c>
      <c r="AU135" s="2">
        <v>0.995</v>
      </c>
      <c r="AV135" s="2">
        <v>0.7</v>
      </c>
      <c r="AW135" s="4">
        <v>0.995</v>
      </c>
      <c r="AX135" s="1">
        <v>15.583333333333334</v>
      </c>
      <c r="AY135" s="1">
        <v>25.891891891891891</v>
      </c>
      <c r="AZ135" s="1">
        <v>201.25</v>
      </c>
      <c r="BA135" s="1" t="e">
        <v>#DIV/0!</v>
      </c>
      <c r="BB135" s="1" t="e">
        <v>#DIV/0!</v>
      </c>
      <c r="BC135" s="5" t="e">
        <v>#DIV/0!</v>
      </c>
      <c r="BD135" s="3">
        <f>$BH$1*F135+$BH$2*X135</f>
        <v>0.11763999999999999</v>
      </c>
      <c r="BE135" s="3">
        <f>$BH$1*M135+$BH$2*AE135</f>
        <v>-0.10340000000000001</v>
      </c>
    </row>
    <row r="136" spans="1:57">
      <c r="A136" t="s">
        <v>202</v>
      </c>
      <c r="B136" s="2">
        <v>0.20691334894613581</v>
      </c>
      <c r="C136" s="2">
        <v>0.11799999999999999</v>
      </c>
      <c r="D136" s="2">
        <v>4.2299999999999997E-2</v>
      </c>
      <c r="E136" s="2">
        <v>9.5399999999999999E-2</v>
      </c>
      <c r="F136" s="2">
        <v>2.93E-2</v>
      </c>
      <c r="G136" s="4">
        <v>0.17019943019943018</v>
      </c>
      <c r="H136" s="2">
        <v>-0.2640866510538642</v>
      </c>
      <c r="I136" s="2">
        <v>-0.26100000000000001</v>
      </c>
      <c r="J136" s="2">
        <v>-0.15970000000000001</v>
      </c>
      <c r="K136" s="2">
        <v>2.42141162164205E-2</v>
      </c>
      <c r="L136" s="2">
        <v>1.41693515204269E-2</v>
      </c>
      <c r="M136" s="4">
        <v>-7.8005698005698121E-3</v>
      </c>
      <c r="N136" s="1">
        <v>-0.56069352665363947</v>
      </c>
      <c r="O136" s="1">
        <v>-0.68865435356200533</v>
      </c>
      <c r="P136" s="1">
        <v>-0.79059405940594063</v>
      </c>
      <c r="Q136" s="1">
        <v>0.34015334121630991</v>
      </c>
      <c r="R136" s="1">
        <v>0.93646690289289425</v>
      </c>
      <c r="S136" s="5">
        <v>-4.3823425845897823E-2</v>
      </c>
      <c r="T136" s="2">
        <v>0.55639076376554175</v>
      </c>
      <c r="U136" s="2">
        <v>0.503</v>
      </c>
      <c r="V136" s="2">
        <v>0.30499999999999999</v>
      </c>
      <c r="W136" s="2">
        <v>0.44800000000000001</v>
      </c>
      <c r="X136" s="2">
        <v>0.25</v>
      </c>
      <c r="Y136" s="4">
        <v>0.52009478672985787</v>
      </c>
      <c r="Z136" s="2">
        <v>-0.28060923623445821</v>
      </c>
      <c r="AA136" s="2">
        <v>-0.32099999999999995</v>
      </c>
      <c r="AB136" s="2">
        <v>-0.27799999999999997</v>
      </c>
      <c r="AC136" s="2">
        <v>-0.34016047155478196</v>
      </c>
      <c r="AD136" s="2">
        <v>-0.18594300410752002</v>
      </c>
      <c r="AE136" s="4">
        <v>-0.27790521327014217</v>
      </c>
      <c r="AF136" s="1">
        <v>-0.33525595726936469</v>
      </c>
      <c r="AG136" s="1">
        <v>-0.38956310679611644</v>
      </c>
      <c r="AH136" s="1">
        <v>-0.47684391080617494</v>
      </c>
      <c r="AI136" s="1">
        <v>-0.43158783500491593</v>
      </c>
      <c r="AJ136" s="1">
        <v>-0.42653053806469493</v>
      </c>
      <c r="AK136" s="5">
        <v>-0.34825214695506534</v>
      </c>
      <c r="AL136" s="2">
        <v>0.99498391959798982</v>
      </c>
      <c r="AM136" s="2">
        <v>0.995</v>
      </c>
      <c r="AN136" s="2">
        <v>0.81599999999999995</v>
      </c>
      <c r="AO136" s="2">
        <v>0.995</v>
      </c>
      <c r="AP136" s="2">
        <v>0.70799999999999996</v>
      </c>
      <c r="AQ136" s="4">
        <v>0.99498391959798982</v>
      </c>
      <c r="AR136" s="2">
        <v>0.93498391959798988</v>
      </c>
      <c r="AS136" s="2">
        <v>0.95799999999999996</v>
      </c>
      <c r="AT136" s="2">
        <v>0.81199999999999994</v>
      </c>
      <c r="AU136" s="2">
        <v>0.995</v>
      </c>
      <c r="AV136" s="2">
        <v>0.70799999999999996</v>
      </c>
      <c r="AW136" s="4">
        <v>0.99498391959798982</v>
      </c>
      <c r="AX136" s="1">
        <v>15.583065326633164</v>
      </c>
      <c r="AY136" s="1">
        <v>25.891891891891891</v>
      </c>
      <c r="AZ136" s="1">
        <v>202.99999999999997</v>
      </c>
      <c r="BA136" s="1" t="e">
        <v>#DIV/0!</v>
      </c>
      <c r="BB136" s="1" t="e">
        <v>#DIV/0!</v>
      </c>
      <c r="BC136" s="5" t="e">
        <v>#DIV/0!</v>
      </c>
      <c r="BD136" s="3">
        <f>$BH$1*F136+$BH$2*X136</f>
        <v>0.11758</v>
      </c>
      <c r="BE136" s="3">
        <f>$BH$1*M136+$BH$2*AE136</f>
        <v>-0.11584242718839877</v>
      </c>
    </row>
    <row r="137" spans="1:57">
      <c r="A137" t="s">
        <v>105</v>
      </c>
      <c r="B137" s="2">
        <v>0.191</v>
      </c>
      <c r="C137" s="2">
        <v>9.6000000000000002E-2</v>
      </c>
      <c r="D137" s="2">
        <v>2.8000000000000001E-2</v>
      </c>
      <c r="E137" s="2">
        <v>0.106</v>
      </c>
      <c r="F137" s="2">
        <v>3.5799999999999998E-2</v>
      </c>
      <c r="G137" s="4">
        <v>0.19</v>
      </c>
      <c r="H137" s="2">
        <v>-0.27999999999999997</v>
      </c>
      <c r="I137" s="2">
        <v>-0.28300000000000003</v>
      </c>
      <c r="J137" s="2">
        <v>-0.17400000000000002</v>
      </c>
      <c r="K137" s="2">
        <v>3.4814116216420499E-2</v>
      </c>
      <c r="L137" s="2">
        <v>2.0669351520426898E-2</v>
      </c>
      <c r="M137" s="4">
        <v>1.2000000000000011E-2</v>
      </c>
      <c r="N137" s="1">
        <v>-0.59447983014861994</v>
      </c>
      <c r="O137" s="1">
        <v>-0.7467018469656993</v>
      </c>
      <c r="P137" s="1">
        <v>-0.86138613861386137</v>
      </c>
      <c r="Q137" s="1">
        <v>0.48905926801812211</v>
      </c>
      <c r="R137" s="1">
        <v>1.3660585366404645</v>
      </c>
      <c r="S137" s="5">
        <v>6.7415730337078719E-2</v>
      </c>
      <c r="T137" s="2">
        <v>0.59499999999999997</v>
      </c>
      <c r="U137" s="2">
        <v>0.49</v>
      </c>
      <c r="V137" s="2">
        <v>0.28499999999999998</v>
      </c>
      <c r="W137" s="2">
        <v>0.432</v>
      </c>
      <c r="X137" s="2">
        <v>0.24</v>
      </c>
      <c r="Y137" s="4">
        <v>0.56000000000000005</v>
      </c>
      <c r="Z137" s="2">
        <v>-0.24199999999999999</v>
      </c>
      <c r="AA137" s="2">
        <v>-0.33399999999999996</v>
      </c>
      <c r="AB137" s="2">
        <v>-0.29799999999999999</v>
      </c>
      <c r="AC137" s="2">
        <v>-0.35616047155478198</v>
      </c>
      <c r="AD137" s="2">
        <v>-0.19594300410752002</v>
      </c>
      <c r="AE137" s="4">
        <v>-0.23799999999999999</v>
      </c>
      <c r="AF137" s="1">
        <v>-0.28912783751493432</v>
      </c>
      <c r="AG137" s="1">
        <v>-0.4053398058252427</v>
      </c>
      <c r="AH137" s="1">
        <v>-0.51114922813036023</v>
      </c>
      <c r="AI137" s="1">
        <v>-0.45188826946902605</v>
      </c>
      <c r="AJ137" s="1">
        <v>-0.44946931654210714</v>
      </c>
      <c r="AK137" s="5">
        <v>-0.2982456140350877</v>
      </c>
      <c r="AL137" s="2">
        <v>0.99099999999999999</v>
      </c>
      <c r="AM137" s="2">
        <v>0.995</v>
      </c>
      <c r="AN137" s="2">
        <v>0.60099999999999998</v>
      </c>
      <c r="AO137" s="2">
        <v>0.995</v>
      </c>
      <c r="AP137" s="2">
        <v>0.53600000000000003</v>
      </c>
      <c r="AQ137" s="4">
        <v>0.99099999999999999</v>
      </c>
      <c r="AR137" s="2">
        <v>0.93100000000000005</v>
      </c>
      <c r="AS137" s="2">
        <v>0.95799999999999996</v>
      </c>
      <c r="AT137" s="2">
        <v>0.59699999999999998</v>
      </c>
      <c r="AU137" s="2">
        <v>0.995</v>
      </c>
      <c r="AV137" s="2">
        <v>0.53600000000000003</v>
      </c>
      <c r="AW137" s="4">
        <v>0.99099999999999999</v>
      </c>
      <c r="AX137" s="1">
        <v>15.516666666666667</v>
      </c>
      <c r="AY137" s="1">
        <v>25.891891891891891</v>
      </c>
      <c r="AZ137" s="1">
        <v>149.25</v>
      </c>
      <c r="BA137" s="1" t="e">
        <v>#DIV/0!</v>
      </c>
      <c r="BB137" s="1" t="e">
        <v>#DIV/0!</v>
      </c>
      <c r="BC137" s="5" t="e">
        <v>#DIV/0!</v>
      </c>
      <c r="BD137" s="3">
        <f>$BH$1*F137+$BH$2*X137</f>
        <v>0.11748</v>
      </c>
      <c r="BE137" s="3">
        <f>$BH$1*M137+$BH$2*AE137</f>
        <v>-8.7999999999999995E-2</v>
      </c>
    </row>
    <row r="138" spans="1:57">
      <c r="A138" t="s">
        <v>68</v>
      </c>
      <c r="B138" s="2">
        <v>0.182</v>
      </c>
      <c r="C138" s="2">
        <v>0.123</v>
      </c>
      <c r="D138" s="2">
        <v>5.0999999999999997E-2</v>
      </c>
      <c r="E138" s="2">
        <v>0.10244404440949401</v>
      </c>
      <c r="F138" s="2">
        <v>3.0236893768655598E-2</v>
      </c>
      <c r="G138" s="4">
        <v>0.17299999999999999</v>
      </c>
      <c r="H138" s="2">
        <v>-0.28899999999999998</v>
      </c>
      <c r="I138" s="2">
        <v>-0.25600000000000001</v>
      </c>
      <c r="J138" s="2">
        <v>-0.15100000000000002</v>
      </c>
      <c r="K138" s="2">
        <v>3.1258160625914508E-2</v>
      </c>
      <c r="L138" s="2">
        <v>1.5106245289082498E-2</v>
      </c>
      <c r="M138" s="4">
        <v>-5.0000000000000044E-3</v>
      </c>
      <c r="N138" s="1">
        <v>-0.613588110403397</v>
      </c>
      <c r="O138" s="1">
        <v>-0.67546174142480209</v>
      </c>
      <c r="P138" s="1">
        <v>-0.74752475247524763</v>
      </c>
      <c r="Q138" s="1">
        <v>0.43910616774733152</v>
      </c>
      <c r="R138" s="1">
        <v>0.99838716823515217</v>
      </c>
      <c r="S138" s="5">
        <v>-2.8089887640449465E-2</v>
      </c>
      <c r="T138" s="2">
        <v>0.496</v>
      </c>
      <c r="U138" s="2">
        <v>0.443</v>
      </c>
      <c r="V138" s="2">
        <v>0.28999999999999998</v>
      </c>
      <c r="W138" s="2">
        <v>0.41688108026196902</v>
      </c>
      <c r="X138" s="2">
        <v>0.241230630014523</v>
      </c>
      <c r="Y138" s="4">
        <v>0.48</v>
      </c>
      <c r="Z138" s="2">
        <v>-0.34099999999999997</v>
      </c>
      <c r="AA138" s="2">
        <v>-0.38099999999999995</v>
      </c>
      <c r="AB138" s="2">
        <v>-0.29299999999999998</v>
      </c>
      <c r="AC138" s="2">
        <v>-0.37127939129281295</v>
      </c>
      <c r="AD138" s="2">
        <v>-0.19471237409299702</v>
      </c>
      <c r="AE138" s="4">
        <v>-0.31800000000000006</v>
      </c>
      <c r="AF138" s="1">
        <v>-0.40740740740740738</v>
      </c>
      <c r="AG138" s="1">
        <v>-0.46237864077669899</v>
      </c>
      <c r="AH138" s="1">
        <v>-0.50257289879931388</v>
      </c>
      <c r="AI138" s="1">
        <v>-0.47107080942590351</v>
      </c>
      <c r="AJ138" s="1">
        <v>-0.44664640161302738</v>
      </c>
      <c r="AK138" s="5">
        <v>-0.39849624060150379</v>
      </c>
      <c r="AL138" s="2">
        <v>0.98699999999999999</v>
      </c>
      <c r="AM138" s="2">
        <v>0.995</v>
      </c>
      <c r="AN138" s="2">
        <v>0.624</v>
      </c>
      <c r="AO138" s="2">
        <v>0.99412252964426795</v>
      </c>
      <c r="AP138" s="2">
        <v>0.46440541928135798</v>
      </c>
      <c r="AQ138" s="4">
        <v>0.98699999999999999</v>
      </c>
      <c r="AR138" s="2">
        <v>0.92700000000000005</v>
      </c>
      <c r="AS138" s="2">
        <v>0.95799999999999996</v>
      </c>
      <c r="AT138" s="2">
        <v>0.62</v>
      </c>
      <c r="AU138" s="2">
        <v>0.99412252964426795</v>
      </c>
      <c r="AV138" s="2">
        <v>0.46440541928135798</v>
      </c>
      <c r="AW138" s="4">
        <v>0.98699999999999999</v>
      </c>
      <c r="AX138" s="1">
        <v>15.450000000000001</v>
      </c>
      <c r="AY138" s="1">
        <v>25.891891891891891</v>
      </c>
      <c r="AZ138" s="1">
        <v>155</v>
      </c>
      <c r="BA138" s="1" t="e">
        <v>#DIV/0!</v>
      </c>
      <c r="BB138" s="1" t="e">
        <v>#DIV/0!</v>
      </c>
      <c r="BC138" s="5" t="e">
        <v>#DIV/0!</v>
      </c>
      <c r="BD138" s="3">
        <f>$BH$1*F138+$BH$2*X138</f>
        <v>0.11463438826700256</v>
      </c>
      <c r="BE138" s="3">
        <f>$BH$1*M138+$BH$2*AE138</f>
        <v>-0.13020000000000004</v>
      </c>
    </row>
    <row r="139" spans="1:57">
      <c r="A139" t="s">
        <v>66</v>
      </c>
      <c r="B139" s="2">
        <v>0.111</v>
      </c>
      <c r="C139" s="2">
        <v>5.8000000000000003E-2</v>
      </c>
      <c r="D139" s="2">
        <v>2.7E-2</v>
      </c>
      <c r="E139" s="2">
        <v>3.9019069083925703E-2</v>
      </c>
      <c r="F139" s="2">
        <v>1.46610352607617E-2</v>
      </c>
      <c r="G139" s="4">
        <v>7.6999999999999999E-2</v>
      </c>
      <c r="H139" s="2">
        <v>-0.36</v>
      </c>
      <c r="I139" s="2">
        <v>-0.32100000000000001</v>
      </c>
      <c r="J139" s="2">
        <v>-0.17500000000000002</v>
      </c>
      <c r="K139" s="2">
        <v>-3.2166814699653795E-2</v>
      </c>
      <c r="L139" s="2">
        <v>-4.6961321881140022E-4</v>
      </c>
      <c r="M139" s="4">
        <v>-0.10099999999999999</v>
      </c>
      <c r="N139" s="1">
        <v>-0.76433121019108285</v>
      </c>
      <c r="O139" s="1">
        <v>-0.84696569920844333</v>
      </c>
      <c r="P139" s="1">
        <v>-0.86633663366336633</v>
      </c>
      <c r="Q139" s="1">
        <v>-0.45187069387868917</v>
      </c>
      <c r="R139" s="1">
        <v>-3.1037216907483796E-2</v>
      </c>
      <c r="S139" s="5">
        <v>-0.56741573033707859</v>
      </c>
      <c r="T139" s="2">
        <v>0.54600000000000004</v>
      </c>
      <c r="U139" s="2">
        <v>0.47799999999999998</v>
      </c>
      <c r="V139" s="2">
        <v>0.30599999999999999</v>
      </c>
      <c r="W139" s="2">
        <v>0.44812636868435801</v>
      </c>
      <c r="X139" s="2">
        <v>0.26402144599219302</v>
      </c>
      <c r="Y139" s="4">
        <v>0.52700000000000002</v>
      </c>
      <c r="Z139" s="2">
        <v>-0.29099999999999993</v>
      </c>
      <c r="AA139" s="2">
        <v>-0.34599999999999997</v>
      </c>
      <c r="AB139" s="2">
        <v>-0.27699999999999997</v>
      </c>
      <c r="AC139" s="2">
        <v>-0.34003410287042396</v>
      </c>
      <c r="AD139" s="2">
        <v>-0.171921558115327</v>
      </c>
      <c r="AE139" s="4">
        <v>-0.27100000000000002</v>
      </c>
      <c r="AF139" s="1">
        <v>-0.3476702508960573</v>
      </c>
      <c r="AG139" s="1">
        <v>-0.4199029126213592</v>
      </c>
      <c r="AH139" s="1">
        <v>-0.47512864493996565</v>
      </c>
      <c r="AI139" s="1">
        <v>-0.43142750130522056</v>
      </c>
      <c r="AJ139" s="1">
        <v>-0.39436705370990344</v>
      </c>
      <c r="AK139" s="5">
        <v>-0.33959899749373434</v>
      </c>
      <c r="AL139" s="2">
        <v>0.99099999999999999</v>
      </c>
      <c r="AM139" s="2">
        <v>0.995</v>
      </c>
      <c r="AN139" s="2">
        <v>0.75700000000000001</v>
      </c>
      <c r="AO139" s="2">
        <v>0.99491228070175397</v>
      </c>
      <c r="AP139" s="2">
        <v>0.68513827649415504</v>
      </c>
      <c r="AQ139" s="4">
        <v>0.99099999999999999</v>
      </c>
      <c r="AR139" s="2">
        <v>0.93100000000000005</v>
      </c>
      <c r="AS139" s="2">
        <v>0.95799999999999996</v>
      </c>
      <c r="AT139" s="2">
        <v>0.753</v>
      </c>
      <c r="AU139" s="2">
        <v>0.99491228070175397</v>
      </c>
      <c r="AV139" s="2">
        <v>0.68513827649415504</v>
      </c>
      <c r="AW139" s="4">
        <v>0.99099999999999999</v>
      </c>
      <c r="AX139" s="1">
        <v>15.516666666666667</v>
      </c>
      <c r="AY139" s="1">
        <v>25.891891891891891</v>
      </c>
      <c r="AZ139" s="1">
        <v>188.25</v>
      </c>
      <c r="BA139" s="1" t="e">
        <v>#DIV/0!</v>
      </c>
      <c r="BB139" s="1" t="e">
        <v>#DIV/0!</v>
      </c>
      <c r="BC139" s="5" t="e">
        <v>#DIV/0!</v>
      </c>
      <c r="BD139" s="3">
        <f>$BH$1*F139+$BH$2*X139</f>
        <v>0.11440519955333422</v>
      </c>
      <c r="BE139" s="3">
        <f>$BH$1*M139+$BH$2*AE139</f>
        <v>-0.16900000000000001</v>
      </c>
    </row>
    <row r="140" spans="1:57">
      <c r="A140" t="s">
        <v>176</v>
      </c>
      <c r="B140" s="2">
        <v>0.14579614325068871</v>
      </c>
      <c r="C140" s="2">
        <v>8.1699999999999995E-2</v>
      </c>
      <c r="D140" s="2">
        <v>3.3700000000000001E-2</v>
      </c>
      <c r="E140" s="2">
        <v>8.48E-2</v>
      </c>
      <c r="F140" s="2">
        <v>2.5899999999999999E-2</v>
      </c>
      <c r="G140" s="4">
        <v>0.12565223054379682</v>
      </c>
      <c r="H140" s="2">
        <v>-0.32520385674931129</v>
      </c>
      <c r="I140" s="2">
        <v>-0.29730000000000001</v>
      </c>
      <c r="J140" s="2">
        <v>-0.16830000000000001</v>
      </c>
      <c r="K140" s="2">
        <v>1.3614116216420502E-2</v>
      </c>
      <c r="L140" s="2">
        <v>1.0769351520426899E-2</v>
      </c>
      <c r="M140" s="4">
        <v>-5.2347769456203175E-2</v>
      </c>
      <c r="N140" s="1">
        <v>-0.69045404830002399</v>
      </c>
      <c r="O140" s="1">
        <v>-0.7844327176781003</v>
      </c>
      <c r="P140" s="1">
        <v>-0.83316831683168313</v>
      </c>
      <c r="Q140" s="1">
        <v>0.19124741441449772</v>
      </c>
      <c r="R140" s="1">
        <v>0.71175743293262661</v>
      </c>
      <c r="S140" s="5">
        <v>-0.29408859245057967</v>
      </c>
      <c r="T140" s="2">
        <v>0.54083454545454546</v>
      </c>
      <c r="U140" s="2">
        <v>0.48</v>
      </c>
      <c r="V140" s="2">
        <v>0.28799999999999998</v>
      </c>
      <c r="W140" s="2">
        <v>0.442</v>
      </c>
      <c r="X140" s="2">
        <v>0.246</v>
      </c>
      <c r="Y140" s="4">
        <v>0.51517557251908408</v>
      </c>
      <c r="Z140" s="2">
        <v>-0.29616545454545451</v>
      </c>
      <c r="AA140" s="2">
        <v>-0.34399999999999997</v>
      </c>
      <c r="AB140" s="2">
        <v>-0.29499999999999998</v>
      </c>
      <c r="AC140" s="2">
        <v>-0.34616047155478197</v>
      </c>
      <c r="AD140" s="2">
        <v>-0.18994300410752002</v>
      </c>
      <c r="AE140" s="4">
        <v>-0.28282442748091596</v>
      </c>
      <c r="AF140" s="1">
        <v>-0.35384164222873898</v>
      </c>
      <c r="AG140" s="1">
        <v>-0.41747572815533979</v>
      </c>
      <c r="AH140" s="1">
        <v>-0.50600343053173247</v>
      </c>
      <c r="AI140" s="1">
        <v>-0.43920049792895721</v>
      </c>
      <c r="AJ140" s="1">
        <v>-0.43570604945565983</v>
      </c>
      <c r="AK140" s="5">
        <v>-0.35441657579062147</v>
      </c>
      <c r="AL140" s="2">
        <v>0.99498391959798982</v>
      </c>
      <c r="AM140" s="2">
        <v>0.995</v>
      </c>
      <c r="AN140" s="2">
        <v>0.82399999999999995</v>
      </c>
      <c r="AO140" s="2">
        <v>0.995</v>
      </c>
      <c r="AP140" s="2">
        <v>0.68899999999999995</v>
      </c>
      <c r="AQ140" s="4">
        <v>0.99498391959798982</v>
      </c>
      <c r="AR140" s="2">
        <v>0.93498391959798988</v>
      </c>
      <c r="AS140" s="2">
        <v>0.95799999999999996</v>
      </c>
      <c r="AT140" s="2">
        <v>0.82</v>
      </c>
      <c r="AU140" s="2">
        <v>0.995</v>
      </c>
      <c r="AV140" s="2">
        <v>0.68899999999999995</v>
      </c>
      <c r="AW140" s="4">
        <v>0.99498391959798982</v>
      </c>
      <c r="AX140" s="1">
        <v>15.583065326633164</v>
      </c>
      <c r="AY140" s="1">
        <v>25.891891891891891</v>
      </c>
      <c r="AZ140" s="1">
        <v>204.99999999999997</v>
      </c>
      <c r="BA140" s="1" t="e">
        <v>#DIV/0!</v>
      </c>
      <c r="BB140" s="1" t="e">
        <v>#DIV/0!</v>
      </c>
      <c r="BC140" s="5" t="e">
        <v>#DIV/0!</v>
      </c>
      <c r="BD140" s="3">
        <f>$BH$1*F140+$BH$2*X140</f>
        <v>0.11394</v>
      </c>
      <c r="BE140" s="3">
        <f>$BH$1*M140+$BH$2*AE140</f>
        <v>-0.14453843266608829</v>
      </c>
    </row>
    <row r="141" spans="1:57">
      <c r="A141" t="s">
        <v>204</v>
      </c>
      <c r="B141" s="2">
        <v>0.24643093922651932</v>
      </c>
      <c r="C141" s="2">
        <v>0.154</v>
      </c>
      <c r="D141" s="2">
        <v>6.5000000000000002E-2</v>
      </c>
      <c r="E141" s="2">
        <v>0.123</v>
      </c>
      <c r="F141" s="2">
        <v>3.5499999999999997E-2</v>
      </c>
      <c r="G141" s="4">
        <v>0.22222044088176357</v>
      </c>
      <c r="H141" s="2">
        <v>-0.22456906077348066</v>
      </c>
      <c r="I141" s="2">
        <v>-0.22500000000000001</v>
      </c>
      <c r="J141" s="2">
        <v>-0.13700000000000001</v>
      </c>
      <c r="K141" s="2">
        <v>5.18141162164205E-2</v>
      </c>
      <c r="L141" s="2">
        <v>2.0369351520426897E-2</v>
      </c>
      <c r="M141" s="4">
        <v>4.4220440881763579E-2</v>
      </c>
      <c r="N141" s="1">
        <v>-0.47679206109019251</v>
      </c>
      <c r="O141" s="1">
        <v>-0.59366754617414252</v>
      </c>
      <c r="P141" s="1">
        <v>-0.67821782178217827</v>
      </c>
      <c r="Q141" s="1">
        <v>0.72787066005876433</v>
      </c>
      <c r="R141" s="1">
        <v>1.3462312304674997</v>
      </c>
      <c r="S141" s="5">
        <v>0.24842944315597518</v>
      </c>
      <c r="T141" s="2">
        <v>0.51954795821462485</v>
      </c>
      <c r="U141" s="2">
        <v>0.44800000000000001</v>
      </c>
      <c r="V141" s="2">
        <v>0.26200000000000001</v>
      </c>
      <c r="W141" s="2">
        <v>0.41399999999999998</v>
      </c>
      <c r="X141" s="2">
        <v>0.22900000000000001</v>
      </c>
      <c r="Y141" s="4">
        <v>0.49571171171171174</v>
      </c>
      <c r="Z141" s="2">
        <v>-0.31745204178537512</v>
      </c>
      <c r="AA141" s="2">
        <v>-0.37599999999999995</v>
      </c>
      <c r="AB141" s="2">
        <v>-0.32099999999999995</v>
      </c>
      <c r="AC141" s="2">
        <v>-0.37416047155478199</v>
      </c>
      <c r="AD141" s="2">
        <v>-0.20694300410752001</v>
      </c>
      <c r="AE141" s="4">
        <v>-0.3022882882882883</v>
      </c>
      <c r="AF141" s="1">
        <v>-0.37927364609961184</v>
      </c>
      <c r="AG141" s="1">
        <v>-0.45631067961165045</v>
      </c>
      <c r="AH141" s="1">
        <v>-0.55060034305317318</v>
      </c>
      <c r="AI141" s="1">
        <v>-0.47472625824115</v>
      </c>
      <c r="AJ141" s="1">
        <v>-0.47470197286726051</v>
      </c>
      <c r="AK141" s="5">
        <v>-0.3788073788073788</v>
      </c>
      <c r="AL141" s="2">
        <v>0.98597464503042598</v>
      </c>
      <c r="AM141" s="2">
        <v>0.99</v>
      </c>
      <c r="AN141" s="2">
        <v>0.755</v>
      </c>
      <c r="AO141" s="2">
        <v>0.99</v>
      </c>
      <c r="AP141" s="2">
        <v>0.66800000000000004</v>
      </c>
      <c r="AQ141" s="4">
        <v>0.98597464503042598</v>
      </c>
      <c r="AR141" s="2">
        <v>0.92597464503042604</v>
      </c>
      <c r="AS141" s="2">
        <v>0.95299999999999996</v>
      </c>
      <c r="AT141" s="2">
        <v>0.751</v>
      </c>
      <c r="AU141" s="2">
        <v>0.99</v>
      </c>
      <c r="AV141" s="2">
        <v>0.66800000000000004</v>
      </c>
      <c r="AW141" s="4">
        <v>0.98597464503042598</v>
      </c>
      <c r="AX141" s="1">
        <v>15.432910750507101</v>
      </c>
      <c r="AY141" s="1">
        <v>25.756756756756758</v>
      </c>
      <c r="AZ141" s="1">
        <v>187.75</v>
      </c>
      <c r="BA141" s="1" t="e">
        <v>#DIV/0!</v>
      </c>
      <c r="BB141" s="1" t="e">
        <v>#DIV/0!</v>
      </c>
      <c r="BC141" s="5" t="e">
        <v>#DIV/0!</v>
      </c>
      <c r="BD141" s="3">
        <f>$BH$1*F141+$BH$2*X141</f>
        <v>0.11290000000000001</v>
      </c>
      <c r="BE141" s="3">
        <f>$BH$1*M141+$BH$2*AE141</f>
        <v>-9.438305078625718E-2</v>
      </c>
    </row>
    <row r="142" spans="1:57">
      <c r="A142" t="s">
        <v>190</v>
      </c>
      <c r="B142" s="2">
        <v>0.17521578947368421</v>
      </c>
      <c r="C142" s="2">
        <v>0.114</v>
      </c>
      <c r="D142" s="2">
        <v>4.5699999999999998E-2</v>
      </c>
      <c r="E142" s="2">
        <v>8.0500000000000002E-2</v>
      </c>
      <c r="F142" s="2">
        <v>2.7099999999999999E-2</v>
      </c>
      <c r="G142" s="4">
        <v>0.13107494222515681</v>
      </c>
      <c r="H142" s="2">
        <v>-0.29578421052631576</v>
      </c>
      <c r="I142" s="2">
        <v>-0.26500000000000001</v>
      </c>
      <c r="J142" s="2">
        <v>-0.15630000000000002</v>
      </c>
      <c r="K142" s="2">
        <v>9.3141162164205038E-3</v>
      </c>
      <c r="L142" s="2">
        <v>1.1969351520426899E-2</v>
      </c>
      <c r="M142" s="4">
        <v>-4.6925057774843182E-2</v>
      </c>
      <c r="N142" s="1">
        <v>-0.62799195440831379</v>
      </c>
      <c r="O142" s="1">
        <v>-0.69920844327176779</v>
      </c>
      <c r="P142" s="1">
        <v>-0.77376237623762378</v>
      </c>
      <c r="Q142" s="1">
        <v>0.13084217995715883</v>
      </c>
      <c r="R142" s="1">
        <v>0.79106665762448569</v>
      </c>
      <c r="S142" s="5">
        <v>-0.2636239200833887</v>
      </c>
      <c r="T142" s="2">
        <v>0.52452837209302328</v>
      </c>
      <c r="U142" s="2">
        <v>0.46200000000000002</v>
      </c>
      <c r="V142" s="2">
        <v>0.28199999999999997</v>
      </c>
      <c r="W142" s="2">
        <v>0.42899999999999999</v>
      </c>
      <c r="X142" s="2">
        <v>0.24099999999999999</v>
      </c>
      <c r="Y142" s="4">
        <v>0.49755945419103309</v>
      </c>
      <c r="Z142" s="2">
        <v>-0.31247162790697669</v>
      </c>
      <c r="AA142" s="2">
        <v>-0.36199999999999993</v>
      </c>
      <c r="AB142" s="2">
        <v>-0.30099999999999999</v>
      </c>
      <c r="AC142" s="2">
        <v>-0.35916047155478198</v>
      </c>
      <c r="AD142" s="2">
        <v>-0.19494300410752002</v>
      </c>
      <c r="AE142" s="4">
        <v>-0.30044054580896695</v>
      </c>
      <c r="AF142" s="1">
        <v>-0.37332333083270813</v>
      </c>
      <c r="AG142" s="1">
        <v>-0.43932038834951448</v>
      </c>
      <c r="AH142" s="1">
        <v>-0.516295025728988</v>
      </c>
      <c r="AI142" s="1">
        <v>-0.45569460093104674</v>
      </c>
      <c r="AJ142" s="1">
        <v>-0.44717543869436593</v>
      </c>
      <c r="AK142" s="5">
        <v>-0.37649191204131194</v>
      </c>
      <c r="AL142" s="2">
        <v>0.99497487437185916</v>
      </c>
      <c r="AM142" s="2">
        <v>0.995</v>
      </c>
      <c r="AN142" s="2">
        <v>0.83399999999999996</v>
      </c>
      <c r="AO142" s="2">
        <v>0.995</v>
      </c>
      <c r="AP142" s="2">
        <v>0.71499999999999997</v>
      </c>
      <c r="AQ142" s="4">
        <v>0.99497487437185916</v>
      </c>
      <c r="AR142" s="2">
        <v>0.93497487437185911</v>
      </c>
      <c r="AS142" s="2">
        <v>0.95799999999999996</v>
      </c>
      <c r="AT142" s="2">
        <v>0.83</v>
      </c>
      <c r="AU142" s="2">
        <v>0.995</v>
      </c>
      <c r="AV142" s="2">
        <v>0.71499999999999997</v>
      </c>
      <c r="AW142" s="4">
        <v>0.99497487437185916</v>
      </c>
      <c r="AX142" s="1">
        <v>15.582914572864318</v>
      </c>
      <c r="AY142" s="1">
        <v>25.891891891891891</v>
      </c>
      <c r="AZ142" s="1">
        <v>207.49999999999997</v>
      </c>
      <c r="BA142" s="1" t="e">
        <v>#DIV/0!</v>
      </c>
      <c r="BB142" s="1" t="e">
        <v>#DIV/0!</v>
      </c>
      <c r="BC142" s="5" t="e">
        <v>#DIV/0!</v>
      </c>
      <c r="BD142" s="3">
        <f>$BH$1*F142+$BH$2*X142</f>
        <v>0.11266</v>
      </c>
      <c r="BE142" s="3">
        <f>$BH$1*M142+$BH$2*AE142</f>
        <v>-0.1483312529884927</v>
      </c>
    </row>
    <row r="143" spans="1:57">
      <c r="A143" t="s">
        <v>42</v>
      </c>
      <c r="B143" s="2">
        <v>0.153</v>
      </c>
      <c r="C143" s="2">
        <v>8.6999999999999994E-2</v>
      </c>
      <c r="D143" s="2">
        <v>3.3000000000000002E-2</v>
      </c>
      <c r="E143" s="2">
        <v>0.13300000000000001</v>
      </c>
      <c r="F143" s="2">
        <v>3.8399999999999997E-2</v>
      </c>
      <c r="G143" s="4">
        <v>0.19600000000000001</v>
      </c>
      <c r="H143" s="2">
        <v>-0.31799999999999995</v>
      </c>
      <c r="I143" s="2">
        <v>-0.29200000000000004</v>
      </c>
      <c r="J143" s="2">
        <v>-0.16900000000000001</v>
      </c>
      <c r="K143" s="2">
        <v>6.1814116216420509E-2</v>
      </c>
      <c r="L143" s="2">
        <v>2.3269351520426897E-2</v>
      </c>
      <c r="M143" s="4">
        <v>1.8000000000000016E-2</v>
      </c>
      <c r="N143" s="1">
        <v>-0.67515923566878977</v>
      </c>
      <c r="O143" s="1">
        <v>-0.770448548812665</v>
      </c>
      <c r="P143" s="1">
        <v>-0.8366336633663366</v>
      </c>
      <c r="Q143" s="1">
        <v>0.86834794949443639</v>
      </c>
      <c r="R143" s="1">
        <v>1.5378951901394926</v>
      </c>
      <c r="S143" s="5">
        <v>0.10112359550561807</v>
      </c>
      <c r="T143" s="2">
        <v>0.49299999999999999</v>
      </c>
      <c r="U143" s="2">
        <v>0.42599999999999999</v>
      </c>
      <c r="V143" s="2">
        <v>0.24299999999999999</v>
      </c>
      <c r="W143" s="2">
        <v>0.40100000000000002</v>
      </c>
      <c r="X143" s="2">
        <v>0.218</v>
      </c>
      <c r="Y143" s="4">
        <v>0.47499999999999998</v>
      </c>
      <c r="Z143" s="2">
        <v>-0.34399999999999997</v>
      </c>
      <c r="AA143" s="2">
        <v>-0.39799999999999996</v>
      </c>
      <c r="AB143" s="2">
        <v>-0.33999999999999997</v>
      </c>
      <c r="AC143" s="2">
        <v>-0.38716047155478195</v>
      </c>
      <c r="AD143" s="2">
        <v>-0.21794300410752002</v>
      </c>
      <c r="AE143" s="4">
        <v>-0.32300000000000006</v>
      </c>
      <c r="AF143" s="1">
        <v>-0.41099163679808842</v>
      </c>
      <c r="AG143" s="1">
        <v>-0.48300970873786409</v>
      </c>
      <c r="AH143" s="1">
        <v>-0.58319039451114918</v>
      </c>
      <c r="AI143" s="1">
        <v>-0.49122036124323942</v>
      </c>
      <c r="AJ143" s="1">
        <v>-0.49993462919241394</v>
      </c>
      <c r="AK143" s="5">
        <v>-0.40476190476190482</v>
      </c>
      <c r="AL143" s="2">
        <v>0.995</v>
      </c>
      <c r="AM143" s="2">
        <v>0.995</v>
      </c>
      <c r="AN143" s="2">
        <v>0.82199999999999995</v>
      </c>
      <c r="AO143" s="2">
        <v>0.995</v>
      </c>
      <c r="AP143" s="2">
        <v>0.73699999999999999</v>
      </c>
      <c r="AQ143" s="4">
        <v>0.995</v>
      </c>
      <c r="AR143" s="2">
        <v>0.93500000000000005</v>
      </c>
      <c r="AS143" s="2">
        <v>0.95799999999999996</v>
      </c>
      <c r="AT143" s="2">
        <v>0.81799999999999995</v>
      </c>
      <c r="AU143" s="2">
        <v>0.995</v>
      </c>
      <c r="AV143" s="2">
        <v>0.73699999999999999</v>
      </c>
      <c r="AW143" s="4">
        <v>0.995</v>
      </c>
      <c r="AX143" s="1">
        <v>15.583333333333334</v>
      </c>
      <c r="AY143" s="1">
        <v>25.891891891891891</v>
      </c>
      <c r="AZ143" s="1">
        <v>204.49999999999997</v>
      </c>
      <c r="BA143" s="1" t="e">
        <v>#DIV/0!</v>
      </c>
      <c r="BB143" s="1" t="e">
        <v>#DIV/0!</v>
      </c>
      <c r="BC143" s="5" t="e">
        <v>#DIV/0!</v>
      </c>
      <c r="BD143" s="3">
        <f>$BH$1*F143+$BH$2*X143</f>
        <v>0.11024</v>
      </c>
      <c r="BE143" s="3">
        <f>$BH$1*M143+$BH$2*AE143</f>
        <v>-0.11840000000000003</v>
      </c>
    </row>
    <row r="144" spans="1:57">
      <c r="A144" t="s">
        <v>114</v>
      </c>
      <c r="B144" s="2">
        <v>0.22600000000000001</v>
      </c>
      <c r="C144" s="2">
        <v>0.11899999999999999</v>
      </c>
      <c r="D144" s="2">
        <v>4.5999999999999999E-2</v>
      </c>
      <c r="E144" s="2">
        <v>0.109</v>
      </c>
      <c r="F144" s="2">
        <v>3.3300000000000003E-2</v>
      </c>
      <c r="G144" s="4">
        <v>0.20799999999999999</v>
      </c>
      <c r="H144" s="2">
        <v>-0.24499999999999997</v>
      </c>
      <c r="I144" s="2">
        <v>-0.26</v>
      </c>
      <c r="J144" s="2">
        <v>-0.15600000000000003</v>
      </c>
      <c r="K144" s="2">
        <v>3.7814116216420501E-2</v>
      </c>
      <c r="L144" s="2">
        <v>1.8169351520426903E-2</v>
      </c>
      <c r="M144" s="4">
        <v>0.03</v>
      </c>
      <c r="N144" s="1">
        <v>-0.52016985138004246</v>
      </c>
      <c r="O144" s="1">
        <v>-0.68601583113456466</v>
      </c>
      <c r="P144" s="1">
        <v>-0.77227722772277241</v>
      </c>
      <c r="Q144" s="1">
        <v>0.53120245484882367</v>
      </c>
      <c r="R144" s="1">
        <v>1.2008309851990917</v>
      </c>
      <c r="S144" s="5">
        <v>0.16853932584269662</v>
      </c>
      <c r="T144" s="2">
        <v>0.46300000000000002</v>
      </c>
      <c r="U144" s="2">
        <v>0.40600000000000003</v>
      </c>
      <c r="V144" s="2">
        <v>0.26400000000000001</v>
      </c>
      <c r="W144" s="2">
        <v>0.38600000000000001</v>
      </c>
      <c r="X144" s="2">
        <v>0.22</v>
      </c>
      <c r="Y144" s="4">
        <v>0.45300000000000001</v>
      </c>
      <c r="Z144" s="2">
        <v>-0.37399999999999994</v>
      </c>
      <c r="AA144" s="2">
        <v>-0.41799999999999993</v>
      </c>
      <c r="AB144" s="2">
        <v>-0.31899999999999995</v>
      </c>
      <c r="AC144" s="2">
        <v>-0.40216047155478196</v>
      </c>
      <c r="AD144" s="2">
        <v>-0.21594300410752001</v>
      </c>
      <c r="AE144" s="4">
        <v>-0.34500000000000003</v>
      </c>
      <c r="AF144" s="1">
        <v>-0.44683393070489841</v>
      </c>
      <c r="AG144" s="1">
        <v>-0.50728155339805814</v>
      </c>
      <c r="AH144" s="1">
        <v>-0.54716981132075471</v>
      </c>
      <c r="AI144" s="1">
        <v>-0.51025201855334268</v>
      </c>
      <c r="AJ144" s="1">
        <v>-0.49534687349693152</v>
      </c>
      <c r="AK144" s="5">
        <v>-0.43233082706766918</v>
      </c>
      <c r="AL144" s="2">
        <v>0.97299999999999998</v>
      </c>
      <c r="AM144" s="2">
        <v>0.99199999999999999</v>
      </c>
      <c r="AN144" s="2">
        <v>0.57099999999999995</v>
      </c>
      <c r="AO144" s="2">
        <v>0.99199999999999999</v>
      </c>
      <c r="AP144" s="2">
        <v>0.41</v>
      </c>
      <c r="AQ144" s="4">
        <v>0.97299999999999998</v>
      </c>
      <c r="AR144" s="2">
        <v>0.91300000000000003</v>
      </c>
      <c r="AS144" s="2">
        <v>0.95499999999999996</v>
      </c>
      <c r="AT144" s="2">
        <v>0.56699999999999995</v>
      </c>
      <c r="AU144" s="2">
        <v>0.99199999999999999</v>
      </c>
      <c r="AV144" s="2">
        <v>0.41</v>
      </c>
      <c r="AW144" s="4">
        <v>0.97299999999999998</v>
      </c>
      <c r="AX144" s="1">
        <v>15.216666666666669</v>
      </c>
      <c r="AY144" s="1">
        <v>25.810810810810811</v>
      </c>
      <c r="AZ144" s="1">
        <v>141.74999999999997</v>
      </c>
      <c r="BA144" s="1" t="e">
        <v>#DIV/0!</v>
      </c>
      <c r="BB144" s="1" t="e">
        <v>#DIV/0!</v>
      </c>
      <c r="BC144" s="5" t="e">
        <v>#DIV/0!</v>
      </c>
      <c r="BD144" s="3">
        <f>$BH$1*F144+$BH$2*X144</f>
        <v>0.10798000000000001</v>
      </c>
      <c r="BE144" s="3">
        <f>$BH$1*M144+$BH$2*AE144</f>
        <v>-0.12000000000000001</v>
      </c>
    </row>
    <row r="145" spans="1:57">
      <c r="A145" t="s">
        <v>13</v>
      </c>
      <c r="B145" s="2">
        <v>0.16600000000000001</v>
      </c>
      <c r="C145" s="2">
        <v>0.1</v>
      </c>
      <c r="D145" s="2">
        <v>3.5999999999999997E-2</v>
      </c>
      <c r="E145" s="2">
        <v>0.111</v>
      </c>
      <c r="F145" s="2">
        <v>3.7600000000000001E-2</v>
      </c>
      <c r="G145" s="2">
        <v>0.17199999999999999</v>
      </c>
      <c r="H145" s="2">
        <v>-0.30499999999999994</v>
      </c>
      <c r="I145" s="2">
        <v>-0.27900000000000003</v>
      </c>
      <c r="J145" s="2">
        <v>-0.16600000000000001</v>
      </c>
      <c r="K145" s="2">
        <v>3.9814116216420503E-2</v>
      </c>
      <c r="L145" s="2">
        <v>2.2469351520426901E-2</v>
      </c>
      <c r="M145" s="4">
        <v>-6.0000000000000053E-3</v>
      </c>
      <c r="N145" s="1">
        <v>-0.64755838641188945</v>
      </c>
      <c r="O145" s="1">
        <v>-0.73614775725593673</v>
      </c>
      <c r="P145" s="1">
        <v>-0.82178217821782173</v>
      </c>
      <c r="Q145" s="1">
        <v>0.55929791273595808</v>
      </c>
      <c r="R145" s="1">
        <v>1.4850223736782535</v>
      </c>
      <c r="S145" s="5">
        <v>-3.370786516853936E-2</v>
      </c>
      <c r="T145" s="2">
        <v>0.48799999999999999</v>
      </c>
      <c r="U145" s="2">
        <v>0.42199999999999999</v>
      </c>
      <c r="V145" s="2">
        <v>0.24099999999999999</v>
      </c>
      <c r="W145" s="2">
        <v>0.40100000000000002</v>
      </c>
      <c r="X145" s="2">
        <v>0.21299999999999999</v>
      </c>
      <c r="Y145" s="2">
        <v>0.47099999999999997</v>
      </c>
      <c r="Z145" s="2">
        <v>-0.34899999999999998</v>
      </c>
      <c r="AA145" s="2">
        <v>-0.40199999999999997</v>
      </c>
      <c r="AB145" s="2">
        <v>-0.34199999999999997</v>
      </c>
      <c r="AC145" s="2">
        <v>-0.38716047155478195</v>
      </c>
      <c r="AD145" s="2">
        <v>-0.22294300410752002</v>
      </c>
      <c r="AE145" s="4">
        <v>-0.32700000000000007</v>
      </c>
      <c r="AF145" s="1">
        <v>-0.41696535244922339</v>
      </c>
      <c r="AG145" s="1">
        <v>-0.48786407766990292</v>
      </c>
      <c r="AH145" s="1">
        <v>-0.58662092624356776</v>
      </c>
      <c r="AI145" s="1">
        <v>-0.49122036124323942</v>
      </c>
      <c r="AJ145" s="1">
        <v>-0.51140401843112004</v>
      </c>
      <c r="AK145" s="5">
        <v>-0.40977443609022562</v>
      </c>
      <c r="AL145" s="2">
        <v>0.995</v>
      </c>
      <c r="AM145" s="2">
        <v>0.995</v>
      </c>
      <c r="AN145" s="2">
        <v>0.83399999999999996</v>
      </c>
      <c r="AO145" s="2">
        <v>0.995</v>
      </c>
      <c r="AP145" s="2">
        <v>0.73</v>
      </c>
      <c r="AQ145" s="4">
        <v>0.995</v>
      </c>
      <c r="AR145" s="2">
        <v>0.93500000000000005</v>
      </c>
      <c r="AS145" s="2">
        <v>0.95799999999999996</v>
      </c>
      <c r="AT145" s="2">
        <v>0.83</v>
      </c>
      <c r="AU145" s="2">
        <v>0.995</v>
      </c>
      <c r="AV145" s="2">
        <v>0.73</v>
      </c>
      <c r="AW145" s="4">
        <v>0.995</v>
      </c>
      <c r="AX145" s="1">
        <v>15.583333333333334</v>
      </c>
      <c r="AY145" s="1">
        <v>25.891891891891891</v>
      </c>
      <c r="AZ145" s="1">
        <v>207.49999999999997</v>
      </c>
      <c r="BA145" s="1" t="e">
        <v>#DIV/0!</v>
      </c>
      <c r="BB145" s="1" t="e">
        <v>#DIV/0!</v>
      </c>
      <c r="BC145" s="5" t="e">
        <v>#DIV/0!</v>
      </c>
      <c r="BD145" s="3">
        <f>$BH$1*F145+$BH$2*X145</f>
        <v>0.10775999999999999</v>
      </c>
      <c r="BE145" s="3">
        <f>$BH$1*M145+$BH$2*AE145</f>
        <v>-0.13440000000000002</v>
      </c>
    </row>
    <row r="146" spans="1:57">
      <c r="A146" t="s">
        <v>120</v>
      </c>
      <c r="B146" s="2">
        <v>0.221</v>
      </c>
      <c r="C146" s="2">
        <v>0.11899999999999999</v>
      </c>
      <c r="D146" s="2">
        <v>4.5999999999999999E-2</v>
      </c>
      <c r="E146" s="2">
        <v>0.107</v>
      </c>
      <c r="F146" s="2">
        <v>3.2899999999999999E-2</v>
      </c>
      <c r="G146" s="2">
        <v>0.20899999999999999</v>
      </c>
      <c r="H146" s="2">
        <v>-0.24999999999999997</v>
      </c>
      <c r="I146" s="2">
        <v>-0.26</v>
      </c>
      <c r="J146" s="2">
        <v>-0.15600000000000003</v>
      </c>
      <c r="K146" s="2">
        <v>3.58141162164205E-2</v>
      </c>
      <c r="L146" s="2">
        <v>1.7769351520426899E-2</v>
      </c>
      <c r="M146" s="4">
        <v>3.1E-2</v>
      </c>
      <c r="N146" s="1">
        <v>-0.53078556263269638</v>
      </c>
      <c r="O146" s="1">
        <v>-0.68601583113456466</v>
      </c>
      <c r="P146" s="1">
        <v>-0.77227722772277241</v>
      </c>
      <c r="Q146" s="1">
        <v>0.50310699696168937</v>
      </c>
      <c r="R146" s="1">
        <v>1.1743945769684716</v>
      </c>
      <c r="S146" s="5">
        <v>0.17415730337078653</v>
      </c>
      <c r="T146" s="2">
        <v>0.46200000000000002</v>
      </c>
      <c r="U146" s="2">
        <v>0.40799999999999997</v>
      </c>
      <c r="V146" s="2">
        <v>0.26500000000000001</v>
      </c>
      <c r="W146" s="2">
        <v>0.38800000000000001</v>
      </c>
      <c r="X146" s="2">
        <v>0.22</v>
      </c>
      <c r="Y146" s="2">
        <v>0.45500000000000002</v>
      </c>
      <c r="Z146" s="2">
        <v>-0.37499999999999994</v>
      </c>
      <c r="AA146" s="2">
        <v>-0.41599999999999998</v>
      </c>
      <c r="AB146" s="2">
        <v>-0.31799999999999995</v>
      </c>
      <c r="AC146" s="2">
        <v>-0.40016047155478196</v>
      </c>
      <c r="AD146" s="2">
        <v>-0.21594300410752001</v>
      </c>
      <c r="AE146" s="4">
        <v>-0.34300000000000003</v>
      </c>
      <c r="AF146" s="1">
        <v>-0.4480286738351254</v>
      </c>
      <c r="AG146" s="1">
        <v>-0.50485436893203883</v>
      </c>
      <c r="AH146" s="1">
        <v>-0.54545454545454541</v>
      </c>
      <c r="AI146" s="1">
        <v>-0.50771446424532896</v>
      </c>
      <c r="AJ146" s="1">
        <v>-0.49534687349693152</v>
      </c>
      <c r="AK146" s="5">
        <v>-0.42982456140350878</v>
      </c>
      <c r="AL146" s="2">
        <v>0.97799999999999998</v>
      </c>
      <c r="AM146" s="2">
        <v>0.99199999999999999</v>
      </c>
      <c r="AN146" s="2">
        <v>0.56899999999999995</v>
      </c>
      <c r="AO146" s="2">
        <v>0.99199999999999999</v>
      </c>
      <c r="AP146" s="2">
        <v>0.41799999999999998</v>
      </c>
      <c r="AQ146" s="4">
        <v>0.97799999999999998</v>
      </c>
      <c r="AR146" s="2">
        <v>0.91799999999999993</v>
      </c>
      <c r="AS146" s="2">
        <v>0.95499999999999996</v>
      </c>
      <c r="AT146" s="2">
        <v>0.56499999999999995</v>
      </c>
      <c r="AU146" s="2">
        <v>0.99199999999999999</v>
      </c>
      <c r="AV146" s="2">
        <v>0.41799999999999998</v>
      </c>
      <c r="AW146" s="4">
        <v>0.97799999999999998</v>
      </c>
      <c r="AX146" s="1">
        <v>15.299999999999999</v>
      </c>
      <c r="AY146" s="1">
        <v>25.810810810810811</v>
      </c>
      <c r="AZ146" s="1">
        <v>141.24999999999997</v>
      </c>
      <c r="BA146" s="1" t="e">
        <v>#DIV/0!</v>
      </c>
      <c r="BB146" s="1" t="e">
        <v>#DIV/0!</v>
      </c>
      <c r="BC146" s="5" t="e">
        <v>#DIV/0!</v>
      </c>
      <c r="BD146" s="3">
        <f>$BH$1*F146+$BH$2*X146</f>
        <v>0.10774</v>
      </c>
      <c r="BE146" s="3">
        <f>$BH$1*M146+$BH$2*AE146</f>
        <v>-0.11860000000000001</v>
      </c>
    </row>
    <row r="147" spans="1:57">
      <c r="A147" t="s">
        <v>197</v>
      </c>
      <c r="B147" s="2">
        <v>0.16307407407407407</v>
      </c>
      <c r="C147" s="2">
        <v>0.112</v>
      </c>
      <c r="D147" s="2">
        <v>4.1500000000000002E-2</v>
      </c>
      <c r="E147" s="2">
        <v>0.109</v>
      </c>
      <c r="F147" s="2">
        <v>3.2099999999999997E-2</v>
      </c>
      <c r="G147" s="2">
        <v>0.15549295774647887</v>
      </c>
      <c r="H147" s="2">
        <v>-0.30792592592592594</v>
      </c>
      <c r="I147" s="2">
        <v>-0.26700000000000002</v>
      </c>
      <c r="J147" s="2">
        <v>-0.1605</v>
      </c>
      <c r="K147" s="2">
        <v>3.7814116216420501E-2</v>
      </c>
      <c r="L147" s="2">
        <v>1.6969351520426897E-2</v>
      </c>
      <c r="M147" s="4">
        <v>-2.2507042253521126E-2</v>
      </c>
      <c r="N147" s="1">
        <v>-0.65377054336714635</v>
      </c>
      <c r="O147" s="1">
        <v>-0.70448548812664913</v>
      </c>
      <c r="P147" s="1">
        <v>-0.79455445544554448</v>
      </c>
      <c r="Q147" s="1">
        <v>0.53120245484882367</v>
      </c>
      <c r="R147" s="1">
        <v>1.1215217605072321</v>
      </c>
      <c r="S147" s="5">
        <v>-0.12644405760405128</v>
      </c>
      <c r="T147" s="2">
        <v>0.49136157635467981</v>
      </c>
      <c r="U147" s="2">
        <v>0.42399999999999999</v>
      </c>
      <c r="V147" s="2">
        <v>0.246</v>
      </c>
      <c r="W147" s="2">
        <v>0.39400000000000002</v>
      </c>
      <c r="X147" s="2">
        <v>0.215</v>
      </c>
      <c r="Y147" s="2">
        <v>0.46556639004149369</v>
      </c>
      <c r="Z147" s="2">
        <v>-0.34563842364532016</v>
      </c>
      <c r="AA147" s="2">
        <v>-0.39999999999999997</v>
      </c>
      <c r="AB147" s="2">
        <v>-0.33699999999999997</v>
      </c>
      <c r="AC147" s="2">
        <v>-0.39416047155478195</v>
      </c>
      <c r="AD147" s="2">
        <v>-0.22094300410752002</v>
      </c>
      <c r="AE147" s="4">
        <v>-0.33243360995850635</v>
      </c>
      <c r="AF147" s="1">
        <v>-0.41294913219273616</v>
      </c>
      <c r="AG147" s="1">
        <v>-0.4854368932038835</v>
      </c>
      <c r="AH147" s="1">
        <v>-0.57804459691252141</v>
      </c>
      <c r="AI147" s="1">
        <v>-0.50010180132128768</v>
      </c>
      <c r="AJ147" s="1">
        <v>-0.50681626273563762</v>
      </c>
      <c r="AK147" s="5">
        <v>-0.41658347112594779</v>
      </c>
      <c r="AL147" s="2">
        <v>0.98895045500505574</v>
      </c>
      <c r="AM147" s="2">
        <v>0.98699999999999999</v>
      </c>
      <c r="AN147" s="2">
        <v>0.79400000000000004</v>
      </c>
      <c r="AO147" s="2">
        <v>0.98699999999999999</v>
      </c>
      <c r="AP147" s="2">
        <v>0.70599999999999996</v>
      </c>
      <c r="AQ147" s="4">
        <v>0.98895045500505574</v>
      </c>
      <c r="AR147" s="2">
        <v>0.9289504550050558</v>
      </c>
      <c r="AS147" s="2">
        <v>0.95</v>
      </c>
      <c r="AT147" s="2">
        <v>0.79</v>
      </c>
      <c r="AU147" s="2">
        <v>0.98699999999999999</v>
      </c>
      <c r="AV147" s="2">
        <v>0.70599999999999996</v>
      </c>
      <c r="AW147" s="4">
        <v>0.98895045500505574</v>
      </c>
      <c r="AX147" s="1">
        <v>15.482507583417597</v>
      </c>
      <c r="AY147" s="1">
        <v>25.675675675675677</v>
      </c>
      <c r="AZ147" s="1">
        <v>197.5</v>
      </c>
      <c r="BA147" s="1" t="e">
        <v>#DIV/0!</v>
      </c>
      <c r="BB147" s="1" t="e">
        <v>#DIV/0!</v>
      </c>
      <c r="BC147" s="5" t="e">
        <v>#DIV/0!</v>
      </c>
      <c r="BD147" s="3">
        <f>$BH$1*F147+$BH$2*X147</f>
        <v>0.10526000000000001</v>
      </c>
      <c r="BE147" s="3">
        <f>$BH$1*M147+$BH$2*AE147</f>
        <v>-0.14647766933551523</v>
      </c>
    </row>
    <row r="148" spans="1:57">
      <c r="A148" t="s">
        <v>4</v>
      </c>
      <c r="B148" s="2">
        <v>0.183</v>
      </c>
      <c r="C148" s="2">
        <v>0.107</v>
      </c>
      <c r="D148" s="2">
        <v>3.7999999999999999E-2</v>
      </c>
      <c r="E148" s="2">
        <v>0.105</v>
      </c>
      <c r="F148" s="2">
        <v>3.4500000000000003E-2</v>
      </c>
      <c r="G148" s="2">
        <v>0.17100000000000001</v>
      </c>
      <c r="H148" s="2">
        <v>-0.28799999999999998</v>
      </c>
      <c r="I148" s="2">
        <v>-0.27200000000000002</v>
      </c>
      <c r="J148" s="2">
        <v>-0.16400000000000001</v>
      </c>
      <c r="K148" s="2">
        <v>3.3814116216420498E-2</v>
      </c>
      <c r="L148" s="2">
        <v>1.9369351520426903E-2</v>
      </c>
      <c r="M148" s="4">
        <v>-6.9999999999999785E-3</v>
      </c>
      <c r="N148" s="1">
        <v>-0.61146496815286622</v>
      </c>
      <c r="O148" s="1">
        <v>-0.71767810026385226</v>
      </c>
      <c r="P148" s="1">
        <v>-0.81188118811881183</v>
      </c>
      <c r="Q148" s="1">
        <v>0.4750115390745549</v>
      </c>
      <c r="R148" s="1">
        <v>1.2801402098909507</v>
      </c>
      <c r="S148" s="5">
        <v>-3.9325842696629094E-2</v>
      </c>
      <c r="T148" s="2">
        <v>0.47199999999999998</v>
      </c>
      <c r="U148" s="2">
        <v>0.40699999999999997</v>
      </c>
      <c r="V148" s="2">
        <v>0.224</v>
      </c>
      <c r="W148" s="2">
        <v>0.38900000000000001</v>
      </c>
      <c r="X148" s="2">
        <v>0.20200000000000001</v>
      </c>
      <c r="Y148" s="2">
        <v>0.46100000000000002</v>
      </c>
      <c r="Z148" s="2">
        <v>-0.36499999999999999</v>
      </c>
      <c r="AA148" s="2">
        <v>-0.41699999999999998</v>
      </c>
      <c r="AB148" s="2">
        <v>-0.35899999999999999</v>
      </c>
      <c r="AC148" s="2">
        <v>-0.39916047155478196</v>
      </c>
      <c r="AD148" s="2">
        <v>-0.23394300410752</v>
      </c>
      <c r="AE148" s="4">
        <v>-0.33700000000000002</v>
      </c>
      <c r="AF148" s="1">
        <v>-0.43608124253285546</v>
      </c>
      <c r="AG148" s="1">
        <v>-0.5060679611650486</v>
      </c>
      <c r="AH148" s="1">
        <v>-0.61578044596912518</v>
      </c>
      <c r="AI148" s="1">
        <v>-0.50644568709132209</v>
      </c>
      <c r="AJ148" s="1">
        <v>-0.53663667475627341</v>
      </c>
      <c r="AK148" s="5">
        <v>-0.42230576441102757</v>
      </c>
      <c r="AL148" s="2">
        <v>0.995</v>
      </c>
      <c r="AM148" s="2">
        <v>0.995</v>
      </c>
      <c r="AN148" s="2">
        <v>0.79100000000000004</v>
      </c>
      <c r="AO148" s="2">
        <v>0.995</v>
      </c>
      <c r="AP148" s="2">
        <v>0.72499999999999998</v>
      </c>
      <c r="AQ148" s="4">
        <v>0.995</v>
      </c>
      <c r="AR148" s="2">
        <v>0.93500000000000005</v>
      </c>
      <c r="AS148" s="2">
        <v>0.95799999999999996</v>
      </c>
      <c r="AT148" s="2">
        <v>0.78700000000000003</v>
      </c>
      <c r="AU148" s="2">
        <v>0.995</v>
      </c>
      <c r="AV148" s="2">
        <v>0.72499999999999998</v>
      </c>
      <c r="AW148" s="4">
        <v>0.995</v>
      </c>
      <c r="AX148" s="1">
        <v>15.583333333333334</v>
      </c>
      <c r="AY148" s="1">
        <v>25.891891891891891</v>
      </c>
      <c r="AZ148" s="1">
        <v>196.75</v>
      </c>
      <c r="BA148" s="1" t="e">
        <v>#DIV/0!</v>
      </c>
      <c r="BB148" s="1" t="e">
        <v>#DIV/0!</v>
      </c>
      <c r="BC148" s="5" t="e">
        <v>#DIV/0!</v>
      </c>
      <c r="BD148" s="3">
        <f>$BH$1*F148+$BH$2*X148</f>
        <v>0.10150000000000001</v>
      </c>
      <c r="BE148" s="3">
        <f>$BH$1*M148+$BH$2*AE148</f>
        <v>-0.13899999999999998</v>
      </c>
    </row>
    <row r="149" spans="1:57">
      <c r="A149" t="s">
        <v>169</v>
      </c>
      <c r="B149" s="2">
        <v>0.16021108179419527</v>
      </c>
      <c r="C149" s="2">
        <v>8.72E-2</v>
      </c>
      <c r="D149" s="2">
        <v>3.0099999999999998E-2</v>
      </c>
      <c r="E149" s="2">
        <v>7.6600000000000001E-2</v>
      </c>
      <c r="F149" s="2">
        <v>2.35E-2</v>
      </c>
      <c r="G149" s="2">
        <v>0.1585135135135135</v>
      </c>
      <c r="H149" s="2">
        <v>-0.31078891820580468</v>
      </c>
      <c r="I149" s="2">
        <v>-0.2918</v>
      </c>
      <c r="J149" s="2">
        <v>-0.17190000000000003</v>
      </c>
      <c r="K149" s="2">
        <v>5.4141162164205031E-3</v>
      </c>
      <c r="L149" s="2">
        <v>8.3693515204269001E-3</v>
      </c>
      <c r="M149" s="4">
        <v>-1.9486486486486487E-2</v>
      </c>
      <c r="N149" s="1">
        <v>-0.65984908323950042</v>
      </c>
      <c r="O149" s="1">
        <v>-0.76992084432717678</v>
      </c>
      <c r="P149" s="1">
        <v>-0.85099009900990108</v>
      </c>
      <c r="Q149" s="1">
        <v>7.6056037077246785E-2</v>
      </c>
      <c r="R149" s="1">
        <v>0.55313898354890834</v>
      </c>
      <c r="S149" s="5">
        <v>-0.10947464318250837</v>
      </c>
      <c r="T149" s="2">
        <v>0.49130776794493602</v>
      </c>
      <c r="U149" s="2">
        <v>0.43099999999999999</v>
      </c>
      <c r="V149" s="2">
        <v>0.24399999999999999</v>
      </c>
      <c r="W149" s="2">
        <v>0.39400000000000002</v>
      </c>
      <c r="X149" s="2">
        <v>0.20799999999999999</v>
      </c>
      <c r="Y149" s="2">
        <v>0.46323632610939108</v>
      </c>
      <c r="Z149" s="2">
        <v>-0.34569223205506394</v>
      </c>
      <c r="AA149" s="2">
        <v>-0.39299999999999996</v>
      </c>
      <c r="AB149" s="2">
        <v>-0.33899999999999997</v>
      </c>
      <c r="AC149" s="2">
        <v>-0.39416047155478195</v>
      </c>
      <c r="AD149" s="2">
        <v>-0.22794300410752003</v>
      </c>
      <c r="AE149" s="4">
        <v>-0.33476367389060896</v>
      </c>
      <c r="AF149" s="1">
        <v>-0.41301341942062597</v>
      </c>
      <c r="AG149" s="1">
        <v>-0.47694174757281549</v>
      </c>
      <c r="AH149" s="1">
        <v>-0.58147512864494</v>
      </c>
      <c r="AI149" s="1">
        <v>-0.50010180132128768</v>
      </c>
      <c r="AJ149" s="1">
        <v>-0.52287340766982615</v>
      </c>
      <c r="AK149" s="5">
        <v>-0.41950335074011147</v>
      </c>
      <c r="AL149" s="2">
        <v>0.99498391959798982</v>
      </c>
      <c r="AM149" s="2">
        <v>0.995</v>
      </c>
      <c r="AN149" s="2">
        <v>0.82199999999999995</v>
      </c>
      <c r="AO149" s="2">
        <v>0.995</v>
      </c>
      <c r="AP149" s="2">
        <v>0.71199999999999997</v>
      </c>
      <c r="AQ149" s="4">
        <v>0.99498391959798982</v>
      </c>
      <c r="AR149" s="2">
        <v>0.93498391959798988</v>
      </c>
      <c r="AS149" s="2">
        <v>0.95799999999999996</v>
      </c>
      <c r="AT149" s="2">
        <v>0.81799999999999995</v>
      </c>
      <c r="AU149" s="2">
        <v>0.995</v>
      </c>
      <c r="AV149" s="2">
        <v>0.71199999999999997</v>
      </c>
      <c r="AW149" s="4">
        <v>0.99498391959798982</v>
      </c>
      <c r="AX149" s="1">
        <v>15.583065326633164</v>
      </c>
      <c r="AY149" s="1">
        <v>25.891891891891891</v>
      </c>
      <c r="AZ149" s="1">
        <v>204.49999999999997</v>
      </c>
      <c r="BA149" s="1" t="e">
        <v>#DIV/0!</v>
      </c>
      <c r="BB149" s="1" t="e">
        <v>#DIV/0!</v>
      </c>
      <c r="BC149" s="5" t="e">
        <v>#DIV/0!</v>
      </c>
      <c r="BD149" s="3">
        <f>$BH$1*F149+$BH$2*X149</f>
        <v>9.7299999999999998E-2</v>
      </c>
      <c r="BE149" s="3">
        <f>$BH$1*M149+$BH$2*AE149</f>
        <v>-0.14559736144813548</v>
      </c>
    </row>
    <row r="150" spans="1:57">
      <c r="A150" t="s">
        <v>183</v>
      </c>
      <c r="B150" s="2">
        <v>0.1733606557377049</v>
      </c>
      <c r="C150" s="2">
        <v>0.10199999999999999</v>
      </c>
      <c r="D150" s="2">
        <v>4.07E-2</v>
      </c>
      <c r="E150" s="2">
        <v>8.8499999999999995E-2</v>
      </c>
      <c r="F150" s="2">
        <v>2.8899999999999999E-2</v>
      </c>
      <c r="G150" s="2">
        <v>0.17665768194070081</v>
      </c>
      <c r="H150" s="2">
        <v>-0.2976393442622951</v>
      </c>
      <c r="I150" s="2">
        <v>-0.27700000000000002</v>
      </c>
      <c r="J150" s="2">
        <v>-0.1613</v>
      </c>
      <c r="K150" s="2">
        <v>1.7314116216420497E-2</v>
      </c>
      <c r="L150" s="2">
        <v>1.3769351520426899E-2</v>
      </c>
      <c r="M150" s="4">
        <v>-1.3423180592991857E-3</v>
      </c>
      <c r="N150" s="1">
        <v>-0.63193066722355651</v>
      </c>
      <c r="O150" s="1">
        <v>-0.7308707124010555</v>
      </c>
      <c r="P150" s="1">
        <v>-0.79851485148514845</v>
      </c>
      <c r="Q150" s="1">
        <v>0.24322401150569625</v>
      </c>
      <c r="R150" s="1">
        <v>0.91003049466227437</v>
      </c>
      <c r="S150" s="5">
        <v>-7.5411126926920547E-3</v>
      </c>
      <c r="T150" s="2">
        <v>0.46582947368421057</v>
      </c>
      <c r="U150" s="2">
        <v>0.39600000000000002</v>
      </c>
      <c r="V150" s="2">
        <v>0.22500000000000001</v>
      </c>
      <c r="W150" s="2">
        <v>0.374</v>
      </c>
      <c r="X150" s="2">
        <v>0.19900000000000001</v>
      </c>
      <c r="Y150" s="2">
        <v>0.45201737242128126</v>
      </c>
      <c r="Z150" s="2">
        <v>-0.3711705263157894</v>
      </c>
      <c r="AA150" s="2">
        <v>-0.42799999999999994</v>
      </c>
      <c r="AB150" s="2">
        <v>-0.35799999999999998</v>
      </c>
      <c r="AC150" s="2">
        <v>-0.41416047155478197</v>
      </c>
      <c r="AD150" s="2">
        <v>-0.23694300410752001</v>
      </c>
      <c r="AE150" s="4">
        <v>-0.34598262757871878</v>
      </c>
      <c r="AF150" s="1">
        <v>-0.44345343645852975</v>
      </c>
      <c r="AG150" s="1">
        <v>-0.51941747572815533</v>
      </c>
      <c r="AH150" s="1">
        <v>-0.614065180102916</v>
      </c>
      <c r="AI150" s="1">
        <v>-0.52547734440142535</v>
      </c>
      <c r="AJ150" s="1">
        <v>-0.5435183082994971</v>
      </c>
      <c r="AK150" s="5">
        <v>-0.43356218994826912</v>
      </c>
      <c r="AL150" s="2">
        <v>0.9853658041603246</v>
      </c>
      <c r="AM150" s="2">
        <v>0.99399999999999999</v>
      </c>
      <c r="AN150" s="2">
        <v>0.79600000000000004</v>
      </c>
      <c r="AO150" s="2">
        <v>0.99399999999999999</v>
      </c>
      <c r="AP150" s="2">
        <v>0.68899999999999995</v>
      </c>
      <c r="AQ150" s="4">
        <v>0.9853658041603246</v>
      </c>
      <c r="AR150" s="2">
        <v>0.92536580416032455</v>
      </c>
      <c r="AS150" s="2">
        <v>0.95699999999999996</v>
      </c>
      <c r="AT150" s="2">
        <v>0.79200000000000004</v>
      </c>
      <c r="AU150" s="2">
        <v>0.99399999999999999</v>
      </c>
      <c r="AV150" s="2">
        <v>0.68899999999999995</v>
      </c>
      <c r="AW150" s="4">
        <v>0.9853658041603246</v>
      </c>
      <c r="AX150" s="1">
        <v>15.422763402672077</v>
      </c>
      <c r="AY150" s="1">
        <v>25.864864864864867</v>
      </c>
      <c r="AZ150" s="1">
        <v>198</v>
      </c>
      <c r="BA150" s="1" t="e">
        <v>#DIV/0!</v>
      </c>
      <c r="BB150" s="1" t="e">
        <v>#DIV/0!</v>
      </c>
      <c r="BC150" s="5" t="e">
        <v>#DIV/0!</v>
      </c>
      <c r="BD150" s="3">
        <f>$BH$1*F150+$BH$2*X150</f>
        <v>9.6939999999999998E-2</v>
      </c>
      <c r="BE150" s="3">
        <f>$BH$1*M150+$BH$2*AE150</f>
        <v>-0.13919844186706704</v>
      </c>
    </row>
    <row r="151" spans="1:57">
      <c r="A151" t="s">
        <v>211</v>
      </c>
      <c r="B151" s="2">
        <v>0.25906542056074766</v>
      </c>
      <c r="C151" s="2">
        <v>0.17699999999999999</v>
      </c>
      <c r="D151" s="2">
        <v>7.1300000000000002E-2</v>
      </c>
      <c r="E151" s="2">
        <v>0.112</v>
      </c>
      <c r="F151" s="2">
        <v>3.09E-2</v>
      </c>
      <c r="G151" s="2">
        <v>0.23280000000000001</v>
      </c>
      <c r="H151" s="2">
        <v>-0.21193457943925231</v>
      </c>
      <c r="I151" s="2">
        <v>-0.20200000000000001</v>
      </c>
      <c r="J151" s="2">
        <v>-0.13070000000000001</v>
      </c>
      <c r="K151" s="2">
        <v>4.0814116216420504E-2</v>
      </c>
      <c r="L151" s="2">
        <v>1.57693515204269E-2</v>
      </c>
      <c r="M151" s="4">
        <v>5.4800000000000015E-2</v>
      </c>
      <c r="N151" s="1">
        <v>-0.44996725995594972</v>
      </c>
      <c r="O151" s="1">
        <v>-0.53298153034300799</v>
      </c>
      <c r="P151" s="1">
        <v>-0.64702970297029705</v>
      </c>
      <c r="Q151" s="1">
        <v>0.57334564167952529</v>
      </c>
      <c r="R151" s="1">
        <v>1.0422125358153731</v>
      </c>
      <c r="S151" s="5">
        <v>0.30786516853932594</v>
      </c>
      <c r="T151" s="2">
        <v>0.46293333333333336</v>
      </c>
      <c r="U151" s="2">
        <v>0.39100000000000001</v>
      </c>
      <c r="V151" s="2">
        <v>0.222</v>
      </c>
      <c r="W151" s="2">
        <v>0.35899999999999999</v>
      </c>
      <c r="X151" s="2">
        <v>0.192</v>
      </c>
      <c r="Y151" s="2">
        <v>0.44049107142857141</v>
      </c>
      <c r="Z151" s="2">
        <v>-0.3740666666666666</v>
      </c>
      <c r="AA151" s="2">
        <v>-0.43299999999999994</v>
      </c>
      <c r="AB151" s="2">
        <v>-0.36099999999999999</v>
      </c>
      <c r="AC151" s="2">
        <v>-0.42916047155478199</v>
      </c>
      <c r="AD151" s="2">
        <v>-0.24394300410752001</v>
      </c>
      <c r="AE151" s="4">
        <v>-0.35750892857142863</v>
      </c>
      <c r="AF151" s="1">
        <v>-0.44691358024691352</v>
      </c>
      <c r="AG151" s="1">
        <v>-0.52548543689320382</v>
      </c>
      <c r="AH151" s="1">
        <v>-0.61921097770154376</v>
      </c>
      <c r="AI151" s="1">
        <v>-0.54450900171152861</v>
      </c>
      <c r="AJ151" s="1">
        <v>-0.55957545323368563</v>
      </c>
      <c r="AK151" s="5">
        <v>-0.44800617615467242</v>
      </c>
      <c r="AL151" s="2">
        <v>0.99345747357825864</v>
      </c>
      <c r="AM151" s="2">
        <v>0.995</v>
      </c>
      <c r="AN151" s="2">
        <v>0.79400000000000004</v>
      </c>
      <c r="AO151" s="2">
        <v>0.995</v>
      </c>
      <c r="AP151" s="2">
        <v>0.67100000000000004</v>
      </c>
      <c r="AQ151" s="4">
        <v>0.99345747357825864</v>
      </c>
      <c r="AR151" s="2">
        <v>0.93345747357825859</v>
      </c>
      <c r="AS151" s="2">
        <v>0.95799999999999996</v>
      </c>
      <c r="AT151" s="2">
        <v>0.79</v>
      </c>
      <c r="AU151" s="2">
        <v>0.995</v>
      </c>
      <c r="AV151" s="2">
        <v>0.67100000000000004</v>
      </c>
      <c r="AW151" s="4">
        <v>0.99345747357825864</v>
      </c>
      <c r="AX151" s="1">
        <v>15.557624559637643</v>
      </c>
      <c r="AY151" s="1">
        <v>25.891891891891891</v>
      </c>
      <c r="AZ151" s="1">
        <v>197.5</v>
      </c>
      <c r="BA151" s="1" t="e">
        <v>#DIV/0!</v>
      </c>
      <c r="BB151" s="1" t="e">
        <v>#DIV/0!</v>
      </c>
      <c r="BC151" s="5" t="e">
        <v>#DIV/0!</v>
      </c>
      <c r="BD151" s="3">
        <f>$BH$1*F151+$BH$2*X151</f>
        <v>9.5340000000000008E-2</v>
      </c>
      <c r="BE151" s="3">
        <f>$BH$1*M151+$BH$2*AE151</f>
        <v>-0.11012357142857145</v>
      </c>
    </row>
    <row r="152" spans="1:57">
      <c r="A152" t="s">
        <v>39</v>
      </c>
      <c r="B152" s="2">
        <v>0.01</v>
      </c>
      <c r="C152" s="2">
        <v>4.2000000000000003E-2</v>
      </c>
      <c r="D152" s="2">
        <v>1.4E-2</v>
      </c>
      <c r="E152" s="2">
        <v>4.7E-2</v>
      </c>
      <c r="F152" s="2">
        <v>1.5800000000000002E-2</v>
      </c>
      <c r="G152" s="2">
        <v>8.9999999999999993E-3</v>
      </c>
      <c r="H152" s="2">
        <v>-0.46099999999999997</v>
      </c>
      <c r="I152" s="2">
        <v>-0.33700000000000002</v>
      </c>
      <c r="J152" s="2">
        <v>-0.188</v>
      </c>
      <c r="K152" s="2">
        <v>-2.4185883783579498E-2</v>
      </c>
      <c r="L152" s="2">
        <v>6.6935152042690155E-4</v>
      </c>
      <c r="M152" s="4">
        <v>-0.16899999999999998</v>
      </c>
      <c r="N152" s="1">
        <v>-0.97876857749469215</v>
      </c>
      <c r="O152" s="1">
        <v>-0.88918205804749351</v>
      </c>
      <c r="P152" s="1">
        <v>-0.93069306930693063</v>
      </c>
      <c r="Q152" s="1">
        <v>-0.33975673965234204</v>
      </c>
      <c r="R152" s="1">
        <v>4.4238125109478901E-2</v>
      </c>
      <c r="S152" s="5">
        <v>-0.949438202247191</v>
      </c>
      <c r="T152" s="2">
        <v>1.6E-2</v>
      </c>
      <c r="U152" s="2">
        <v>0.10100000000000001</v>
      </c>
      <c r="V152" s="2">
        <v>3.6999999999999998E-2</v>
      </c>
      <c r="W152" s="2">
        <v>7.4999999999999997E-2</v>
      </c>
      <c r="X152" s="2">
        <v>2.12E-2</v>
      </c>
      <c r="Y152" s="2">
        <v>1.4E-2</v>
      </c>
      <c r="Z152" s="2">
        <v>-0.82099999999999995</v>
      </c>
      <c r="AA152" s="2">
        <v>-0.72299999999999998</v>
      </c>
      <c r="AB152" s="2">
        <v>-0.54599999999999993</v>
      </c>
      <c r="AC152" s="2">
        <v>-0.71316047155478202</v>
      </c>
      <c r="AD152" s="2">
        <v>-0.41474300410752002</v>
      </c>
      <c r="AE152" s="4">
        <v>-0.78400000000000003</v>
      </c>
      <c r="AF152" s="1">
        <v>-0.98088410991636799</v>
      </c>
      <c r="AG152" s="1">
        <v>-0.87742718446601942</v>
      </c>
      <c r="AH152" s="1">
        <v>-0.93653516295025718</v>
      </c>
      <c r="AI152" s="1">
        <v>-0.90484171344948372</v>
      </c>
      <c r="AJ152" s="1">
        <v>-0.9513697896278861</v>
      </c>
      <c r="AK152" s="5">
        <v>-0.98245614035087714</v>
      </c>
      <c r="AL152" s="2">
        <v>6.0000000000000001E-3</v>
      </c>
      <c r="AM152" s="2">
        <v>0.94099999999999995</v>
      </c>
      <c r="AN152" s="2">
        <v>0.51800000000000002</v>
      </c>
      <c r="AO152" s="2">
        <v>0.96299999999999997</v>
      </c>
      <c r="AP152" s="2">
        <v>0.29399999999999998</v>
      </c>
      <c r="AQ152" s="4">
        <v>7.0000000000000001E-3</v>
      </c>
      <c r="AR152" s="2">
        <v>-5.3999999999999999E-2</v>
      </c>
      <c r="AS152" s="2">
        <v>0.90399999999999991</v>
      </c>
      <c r="AT152" s="2">
        <v>0.51400000000000001</v>
      </c>
      <c r="AU152" s="2">
        <v>0.96299999999999997</v>
      </c>
      <c r="AV152" s="2">
        <v>0.29399999999999998</v>
      </c>
      <c r="AW152" s="4">
        <v>7.0000000000000001E-3</v>
      </c>
      <c r="AX152" s="1">
        <v>-0.9</v>
      </c>
      <c r="AY152" s="1">
        <v>24.432432432432432</v>
      </c>
      <c r="AZ152" s="1">
        <v>128.5</v>
      </c>
      <c r="BA152" s="1" t="e">
        <v>#DIV/0!</v>
      </c>
      <c r="BB152" s="1" t="e">
        <v>#DIV/0!</v>
      </c>
      <c r="BC152" s="5" t="e">
        <v>#DIV/0!</v>
      </c>
      <c r="BD152" s="3">
        <f>$BH$1*F152+$BH$2*X152</f>
        <v>1.796E-2</v>
      </c>
      <c r="BE152" s="3">
        <f>$BH$1*M152+$BH$2*AE152</f>
        <v>-0.41500000000000004</v>
      </c>
    </row>
    <row r="153" spans="1:57">
      <c r="A153" t="s">
        <v>15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-0.47099999999999997</v>
      </c>
      <c r="I153" s="2">
        <v>-0.379</v>
      </c>
      <c r="J153" s="2">
        <v>-0.20200000000000001</v>
      </c>
      <c r="K153" s="2">
        <v>-7.1185883783579498E-2</v>
      </c>
      <c r="L153" s="2">
        <v>-1.51306484795731E-2</v>
      </c>
      <c r="M153" s="4">
        <v>-0.17799999999999999</v>
      </c>
      <c r="N153" s="1">
        <v>-1</v>
      </c>
      <c r="O153" s="1">
        <v>-1</v>
      </c>
      <c r="P153" s="1">
        <v>-1</v>
      </c>
      <c r="Q153" s="1">
        <v>-1</v>
      </c>
      <c r="R153" s="1">
        <v>-1</v>
      </c>
      <c r="S153" s="5">
        <v>-1</v>
      </c>
      <c r="T153" s="2">
        <v>8.0000000000000002E-3</v>
      </c>
      <c r="U153" s="2">
        <v>0.01</v>
      </c>
      <c r="V153" s="2">
        <v>3.0000000000000001E-3</v>
      </c>
      <c r="W153" s="2">
        <v>8.4200000000000004E-3</v>
      </c>
      <c r="X153" s="2">
        <v>2.99E-3</v>
      </c>
      <c r="Y153" s="2">
        <v>6.0000000000000001E-3</v>
      </c>
      <c r="Z153" s="2">
        <v>-0.82899999999999996</v>
      </c>
      <c r="AA153" s="2">
        <v>-0.81399999999999995</v>
      </c>
      <c r="AB153" s="2">
        <v>-0.57999999999999996</v>
      </c>
      <c r="AC153" s="2">
        <v>-0.77974047155478199</v>
      </c>
      <c r="AD153" s="2">
        <v>-0.43295300410752002</v>
      </c>
      <c r="AE153" s="4">
        <v>-0.79200000000000004</v>
      </c>
      <c r="AF153" s="1">
        <v>-0.99044205495818394</v>
      </c>
      <c r="AG153" s="1">
        <v>-0.98786407766990292</v>
      </c>
      <c r="AH153" s="1">
        <v>-0.99485420240137223</v>
      </c>
      <c r="AI153" s="1">
        <v>-0.98931689636326203</v>
      </c>
      <c r="AJ153" s="1">
        <v>-0.99314130523525379</v>
      </c>
      <c r="AK153" s="5">
        <v>-0.99248120300751874</v>
      </c>
      <c r="AL153" s="2">
        <v>2E-3</v>
      </c>
      <c r="AM153" s="2">
        <v>0.03</v>
      </c>
      <c r="AN153" s="2">
        <v>8.9999999999999993E-3</v>
      </c>
      <c r="AO153" s="2">
        <v>1.11E-2</v>
      </c>
      <c r="AP153" s="2">
        <v>2.0400000000000001E-3</v>
      </c>
      <c r="AQ153" s="4">
        <v>1E-3</v>
      </c>
      <c r="AR153" s="2">
        <v>-5.7999999999999996E-2</v>
      </c>
      <c r="AS153" s="2">
        <v>-6.9999999999999993E-3</v>
      </c>
      <c r="AT153" s="2">
        <v>4.9999999999999992E-3</v>
      </c>
      <c r="AU153" s="2">
        <v>1.11E-2</v>
      </c>
      <c r="AV153" s="2">
        <v>2.0400000000000001E-3</v>
      </c>
      <c r="AW153" s="4">
        <v>1E-3</v>
      </c>
      <c r="AX153" s="1">
        <v>-0.96666666666666667</v>
      </c>
      <c r="AY153" s="1">
        <v>-0.18918918918918917</v>
      </c>
      <c r="AZ153" s="1">
        <v>1.2499999999999998</v>
      </c>
      <c r="BA153" s="1" t="e">
        <v>#DIV/0!</v>
      </c>
      <c r="BB153" s="1" t="e">
        <v>#DIV/0!</v>
      </c>
      <c r="BC153" s="5" t="e">
        <v>#DIV/0!</v>
      </c>
      <c r="BD153" s="3">
        <f>$BH$1*F153+$BH$2*X153</f>
        <v>1.196E-3</v>
      </c>
      <c r="BE153" s="3">
        <f>$BH$1*M153+$BH$2*AE153</f>
        <v>-0.42360000000000003</v>
      </c>
    </row>
    <row r="154" spans="1:57">
      <c r="A154" t="s">
        <v>3</v>
      </c>
      <c r="B154" s="2">
        <v>0.28299999999999997</v>
      </c>
      <c r="C154" s="2">
        <v>0.17799999999999999</v>
      </c>
      <c r="D154" s="2">
        <v>6.7000000000000004E-2</v>
      </c>
      <c r="E154" s="2">
        <v>0</v>
      </c>
      <c r="F154" s="2">
        <v>0</v>
      </c>
      <c r="G154" s="2">
        <v>0</v>
      </c>
      <c r="H154" s="2">
        <v>-0.188</v>
      </c>
      <c r="I154" s="2">
        <v>-0.20100000000000001</v>
      </c>
      <c r="J154" s="2">
        <v>-0.13500000000000001</v>
      </c>
      <c r="K154" s="2">
        <v>-7.1185883783579498E-2</v>
      </c>
      <c r="L154" s="2">
        <v>-1.51306484795731E-2</v>
      </c>
      <c r="M154" s="4">
        <v>-0.17799999999999999</v>
      </c>
      <c r="N154" s="1">
        <v>-0.39915074309978771</v>
      </c>
      <c r="O154" s="1">
        <v>-0.53034300791556732</v>
      </c>
      <c r="P154" s="1">
        <v>-0.66831683168316836</v>
      </c>
      <c r="Q154" s="1">
        <v>-1</v>
      </c>
      <c r="R154" s="1">
        <v>-1</v>
      </c>
      <c r="S154" s="5">
        <v>-1</v>
      </c>
      <c r="T154" s="2">
        <v>0.68700000000000006</v>
      </c>
      <c r="U154" s="2">
        <v>0.67</v>
      </c>
      <c r="V154" s="2">
        <v>0.41499999999999998</v>
      </c>
      <c r="W154" s="2">
        <v>0</v>
      </c>
      <c r="X154" s="2">
        <v>0</v>
      </c>
      <c r="Y154" s="2">
        <v>0</v>
      </c>
      <c r="Z154" s="2">
        <v>-0.14999999999999991</v>
      </c>
      <c r="AA154" s="2">
        <v>-0.15399999999999991</v>
      </c>
      <c r="AB154" s="2">
        <v>-0.16799999999999998</v>
      </c>
      <c r="AC154" s="2">
        <v>-0.78816047155478197</v>
      </c>
      <c r="AD154" s="2">
        <v>-0.43594300410752002</v>
      </c>
      <c r="AE154" s="4">
        <v>-0.79800000000000004</v>
      </c>
      <c r="AF154" s="1">
        <v>-0.17921146953405009</v>
      </c>
      <c r="AG154" s="1">
        <v>-0.18689320388349506</v>
      </c>
      <c r="AH154" s="1">
        <v>-0.28816466552315606</v>
      </c>
      <c r="AI154" s="1">
        <v>-1</v>
      </c>
      <c r="AJ154" s="1">
        <v>-1</v>
      </c>
      <c r="AK154" s="5">
        <v>-1</v>
      </c>
      <c r="AL154" s="2">
        <v>0.96799999999999997</v>
      </c>
      <c r="AM154" s="2">
        <v>0.97199999999999998</v>
      </c>
      <c r="AN154" s="2">
        <v>0.70799999999999996</v>
      </c>
      <c r="AO154" s="2">
        <v>0</v>
      </c>
      <c r="AP154" s="2">
        <v>0</v>
      </c>
      <c r="AQ154" s="4">
        <v>0</v>
      </c>
      <c r="AR154" s="2">
        <v>0.90799999999999992</v>
      </c>
      <c r="AS154" s="2">
        <v>0.93499999999999994</v>
      </c>
      <c r="AT154" s="2">
        <v>0.70399999999999996</v>
      </c>
      <c r="AU154" s="2">
        <v>0</v>
      </c>
      <c r="AV154" s="2">
        <v>0</v>
      </c>
      <c r="AW154" s="4">
        <v>0</v>
      </c>
      <c r="AX154" s="1">
        <v>15.133333333333333</v>
      </c>
      <c r="AY154" s="1">
        <v>25.27027027027027</v>
      </c>
      <c r="AZ154" s="1">
        <v>176</v>
      </c>
      <c r="BA154" s="1" t="e">
        <v>#DIV/0!</v>
      </c>
      <c r="BB154" s="1" t="e">
        <v>#DIV/0!</v>
      </c>
      <c r="BC154" s="5" t="e">
        <v>#DIV/0!</v>
      </c>
      <c r="BD154" s="3">
        <f>$BH$1*F154+$BH$2*X154</f>
        <v>0</v>
      </c>
      <c r="BE154" s="3">
        <f>$BH$1*M154+$BH$2*AE154</f>
        <v>-0.42600000000000005</v>
      </c>
    </row>
    <row r="155" spans="1:57">
      <c r="A155" t="s">
        <v>5</v>
      </c>
      <c r="B155" s="2">
        <v>0.24099999999999999</v>
      </c>
      <c r="C155" s="2">
        <v>0.14899999999999999</v>
      </c>
      <c r="D155" s="2">
        <v>4.1000000000000002E-2</v>
      </c>
      <c r="E155" s="2">
        <v>0</v>
      </c>
      <c r="F155" s="2">
        <v>0</v>
      </c>
      <c r="G155" s="2">
        <v>0</v>
      </c>
      <c r="H155" s="2">
        <v>-0.22999999999999998</v>
      </c>
      <c r="I155" s="2">
        <v>-0.23</v>
      </c>
      <c r="J155" s="2">
        <v>-0.161</v>
      </c>
      <c r="K155" s="2">
        <v>-7.1185883783579498E-2</v>
      </c>
      <c r="L155" s="2">
        <v>-1.51306484795731E-2</v>
      </c>
      <c r="M155" s="4">
        <v>-0.17799999999999999</v>
      </c>
      <c r="N155" s="1">
        <v>-0.48832271762208068</v>
      </c>
      <c r="O155" s="1">
        <v>-0.60686015831134565</v>
      </c>
      <c r="P155" s="1">
        <v>-0.79702970297029696</v>
      </c>
      <c r="Q155" s="1">
        <v>-1</v>
      </c>
      <c r="R155" s="1">
        <v>-1</v>
      </c>
      <c r="S155" s="5">
        <v>-1</v>
      </c>
      <c r="T155" s="2">
        <v>0.439</v>
      </c>
      <c r="U155" s="2">
        <v>0.376</v>
      </c>
      <c r="V155" s="2">
        <v>0.16</v>
      </c>
      <c r="W155" s="2">
        <v>0</v>
      </c>
      <c r="X155" s="2">
        <v>0</v>
      </c>
      <c r="Y155" s="2">
        <v>0</v>
      </c>
      <c r="Z155" s="2">
        <v>-0.39799999999999996</v>
      </c>
      <c r="AA155" s="2">
        <v>-0.44799999999999995</v>
      </c>
      <c r="AB155" s="2">
        <v>-0.42299999999999993</v>
      </c>
      <c r="AC155" s="2">
        <v>-0.78816047155478197</v>
      </c>
      <c r="AD155" s="2">
        <v>-0.43594300410752002</v>
      </c>
      <c r="AE155" s="4">
        <v>-0.79800000000000004</v>
      </c>
      <c r="AF155" s="1">
        <v>-0.47550776583034643</v>
      </c>
      <c r="AG155" s="1">
        <v>-0.5436893203883495</v>
      </c>
      <c r="AH155" s="1">
        <v>-0.72555746140651789</v>
      </c>
      <c r="AI155" s="1">
        <v>-1</v>
      </c>
      <c r="AJ155" s="1">
        <v>-1</v>
      </c>
      <c r="AK155" s="5">
        <v>-1</v>
      </c>
      <c r="AL155" s="2">
        <v>0.86299999999999999</v>
      </c>
      <c r="AM155" s="2">
        <v>0.89800000000000002</v>
      </c>
      <c r="AN155" s="2">
        <v>0.48</v>
      </c>
      <c r="AO155" s="2">
        <v>0</v>
      </c>
      <c r="AP155" s="2">
        <v>0</v>
      </c>
      <c r="AQ155" s="4">
        <v>0</v>
      </c>
      <c r="AR155" s="2">
        <v>0.80299999999999994</v>
      </c>
      <c r="AS155" s="2">
        <v>0.86099999999999999</v>
      </c>
      <c r="AT155" s="2">
        <v>0.47599999999999998</v>
      </c>
      <c r="AU155" s="2">
        <v>0</v>
      </c>
      <c r="AV155" s="2">
        <v>0</v>
      </c>
      <c r="AW155" s="4">
        <v>0</v>
      </c>
      <c r="AX155" s="1">
        <v>13.383333333333333</v>
      </c>
      <c r="AY155" s="1">
        <v>23.27027027027027</v>
      </c>
      <c r="AZ155" s="1">
        <v>118.99999999999999</v>
      </c>
      <c r="BA155" s="1" t="e">
        <v>#DIV/0!</v>
      </c>
      <c r="BB155" s="1" t="e">
        <v>#DIV/0!</v>
      </c>
      <c r="BC155" s="5" t="e">
        <v>#DIV/0!</v>
      </c>
      <c r="BD155" s="3">
        <f>$BH$1*F155+$BH$2*X155</f>
        <v>0</v>
      </c>
      <c r="BE155" s="3">
        <f>$BH$1*M155+$BH$2*AE155</f>
        <v>-0.42600000000000005</v>
      </c>
    </row>
    <row r="156" spans="1:57">
      <c r="A156" t="s">
        <v>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-0.47099999999999997</v>
      </c>
      <c r="I156" s="2">
        <v>-0.379</v>
      </c>
      <c r="J156" s="2">
        <v>-0.20200000000000001</v>
      </c>
      <c r="K156" s="2">
        <v>-7.1185883783579498E-2</v>
      </c>
      <c r="L156" s="2">
        <v>-1.51306484795731E-2</v>
      </c>
      <c r="M156" s="4">
        <v>-0.17799999999999999</v>
      </c>
      <c r="N156" s="1">
        <v>-1</v>
      </c>
      <c r="O156" s="1">
        <v>-1</v>
      </c>
      <c r="P156" s="1">
        <v>-1</v>
      </c>
      <c r="Q156" s="1">
        <v>-1</v>
      </c>
      <c r="R156" s="1">
        <v>-1</v>
      </c>
      <c r="S156" s="5">
        <v>-1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-0.83699999999999997</v>
      </c>
      <c r="AA156" s="2">
        <v>-0.82399999999999995</v>
      </c>
      <c r="AB156" s="2">
        <v>-0.58299999999999996</v>
      </c>
      <c r="AC156" s="2">
        <v>-0.78816047155478197</v>
      </c>
      <c r="AD156" s="2">
        <v>-0.43594300410752002</v>
      </c>
      <c r="AE156" s="4">
        <v>-0.79800000000000004</v>
      </c>
      <c r="AF156" s="1">
        <v>-1</v>
      </c>
      <c r="AG156" s="1">
        <v>-1</v>
      </c>
      <c r="AH156" s="1">
        <v>-1</v>
      </c>
      <c r="AI156" s="1">
        <v>-1</v>
      </c>
      <c r="AJ156" s="1">
        <v>-1</v>
      </c>
      <c r="AK156" s="5">
        <v>-1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4">
        <v>0</v>
      </c>
      <c r="AR156" s="2">
        <v>-0.06</v>
      </c>
      <c r="AS156" s="2">
        <v>-3.6999999999999998E-2</v>
      </c>
      <c r="AT156" s="2">
        <v>-4.0000000000000001E-3</v>
      </c>
      <c r="AU156" s="2">
        <v>0</v>
      </c>
      <c r="AV156" s="2">
        <v>0</v>
      </c>
      <c r="AW156" s="4">
        <v>0</v>
      </c>
      <c r="AX156" s="1">
        <v>-1</v>
      </c>
      <c r="AY156" s="1">
        <v>-1</v>
      </c>
      <c r="AZ156" s="1">
        <v>-1</v>
      </c>
      <c r="BA156" s="1" t="e">
        <v>#DIV/0!</v>
      </c>
      <c r="BB156" s="1" t="e">
        <v>#DIV/0!</v>
      </c>
      <c r="BC156" s="5" t="e">
        <v>#DIV/0!</v>
      </c>
      <c r="BD156" s="3">
        <f>$BH$1*F156+$BH$2*X156</f>
        <v>0</v>
      </c>
      <c r="BE156" s="3">
        <f>$BH$1*M156+$BH$2*AE156</f>
        <v>-0.42600000000000005</v>
      </c>
    </row>
    <row r="157" spans="1:57">
      <c r="A157" t="s">
        <v>7</v>
      </c>
      <c r="B157" s="2">
        <v>0.26</v>
      </c>
      <c r="C157" s="2">
        <v>0.184</v>
      </c>
      <c r="D157" s="2">
        <v>5.6000000000000001E-2</v>
      </c>
      <c r="E157" s="2">
        <v>0</v>
      </c>
      <c r="F157" s="2">
        <v>0</v>
      </c>
      <c r="G157" s="2">
        <v>0</v>
      </c>
      <c r="H157" s="2">
        <v>-0.21099999999999997</v>
      </c>
      <c r="I157" s="2">
        <v>-0.19500000000000001</v>
      </c>
      <c r="J157" s="2">
        <v>-0.14600000000000002</v>
      </c>
      <c r="K157" s="2">
        <v>-7.1185883783579498E-2</v>
      </c>
      <c r="L157" s="2">
        <v>-1.51306484795731E-2</v>
      </c>
      <c r="M157" s="4">
        <v>-0.17799999999999999</v>
      </c>
      <c r="N157" s="1">
        <v>-0.44798301486199571</v>
      </c>
      <c r="O157" s="1">
        <v>-0.51451187335092352</v>
      </c>
      <c r="P157" s="1">
        <v>-0.72277227722772286</v>
      </c>
      <c r="Q157" s="1">
        <v>-1</v>
      </c>
      <c r="R157" s="1">
        <v>-1</v>
      </c>
      <c r="S157" s="5">
        <v>-1</v>
      </c>
      <c r="T157" s="2">
        <v>0.73599999999999999</v>
      </c>
      <c r="U157" s="2">
        <v>0.72399999999999998</v>
      </c>
      <c r="V157" s="2">
        <v>0.47699999999999998</v>
      </c>
      <c r="W157" s="2">
        <v>0</v>
      </c>
      <c r="X157" s="2">
        <v>0</v>
      </c>
      <c r="Y157" s="2">
        <v>0</v>
      </c>
      <c r="Z157" s="2">
        <v>-0.10099999999999998</v>
      </c>
      <c r="AA157" s="2">
        <v>-9.9999999999999978E-2</v>
      </c>
      <c r="AB157" s="2">
        <v>-0.10599999999999998</v>
      </c>
      <c r="AC157" s="2">
        <v>-0.78816047155478197</v>
      </c>
      <c r="AD157" s="2">
        <v>-0.43594300410752002</v>
      </c>
      <c r="AE157" s="4">
        <v>-0.79800000000000004</v>
      </c>
      <c r="AF157" s="1">
        <v>-0.1206690561529271</v>
      </c>
      <c r="AG157" s="1">
        <v>-0.12135922330097085</v>
      </c>
      <c r="AH157" s="1">
        <v>-0.1818181818181818</v>
      </c>
      <c r="AI157" s="1">
        <v>-1</v>
      </c>
      <c r="AJ157" s="1">
        <v>-1</v>
      </c>
      <c r="AK157" s="5">
        <v>-1</v>
      </c>
      <c r="AL157" s="2">
        <v>0.95499999999999996</v>
      </c>
      <c r="AM157" s="2">
        <v>0.95899999999999996</v>
      </c>
      <c r="AN157" s="2">
        <v>0.60199999999999998</v>
      </c>
      <c r="AO157" s="2">
        <v>0</v>
      </c>
      <c r="AP157" s="2">
        <v>0</v>
      </c>
      <c r="AQ157" s="4">
        <v>0</v>
      </c>
      <c r="AR157" s="2">
        <v>0.89500000000000002</v>
      </c>
      <c r="AS157" s="2">
        <v>0.92199999999999993</v>
      </c>
      <c r="AT157" s="2">
        <v>0.59799999999999998</v>
      </c>
      <c r="AU157" s="2">
        <v>0</v>
      </c>
      <c r="AV157" s="2">
        <v>0</v>
      </c>
      <c r="AW157" s="4">
        <v>0</v>
      </c>
      <c r="AX157" s="1">
        <v>14.916666666666668</v>
      </c>
      <c r="AY157" s="1">
        <v>24.918918918918919</v>
      </c>
      <c r="AZ157" s="1">
        <v>149.5</v>
      </c>
      <c r="BA157" s="1" t="e">
        <v>#DIV/0!</v>
      </c>
      <c r="BB157" s="1" t="e">
        <v>#DIV/0!</v>
      </c>
      <c r="BC157" s="5" t="e">
        <v>#DIV/0!</v>
      </c>
      <c r="BD157" s="3">
        <f>$BH$1*F157+$BH$2*X157</f>
        <v>0</v>
      </c>
      <c r="BE157" s="3">
        <f>$BH$1*M157+$BH$2*AE157</f>
        <v>-0.42600000000000005</v>
      </c>
    </row>
    <row r="158" spans="1:57">
      <c r="A158" t="s">
        <v>12</v>
      </c>
      <c r="B158" s="2">
        <v>0.253</v>
      </c>
      <c r="C158" s="2">
        <v>0.182</v>
      </c>
      <c r="D158" s="2">
        <v>7.0000000000000007E-2</v>
      </c>
      <c r="E158" s="2">
        <v>0</v>
      </c>
      <c r="F158" s="2">
        <v>0</v>
      </c>
      <c r="G158" s="2">
        <v>0</v>
      </c>
      <c r="H158" s="2">
        <v>-0.21799999999999997</v>
      </c>
      <c r="I158" s="2">
        <v>-0.19700000000000001</v>
      </c>
      <c r="J158" s="2">
        <v>-0.13200000000000001</v>
      </c>
      <c r="K158" s="2">
        <v>-7.1185883783579498E-2</v>
      </c>
      <c r="L158" s="2">
        <v>-1.51306484795731E-2</v>
      </c>
      <c r="M158" s="4">
        <v>-0.17799999999999999</v>
      </c>
      <c r="N158" s="1">
        <v>-0.46284501061571121</v>
      </c>
      <c r="O158" s="1">
        <v>-0.51978891820580475</v>
      </c>
      <c r="P158" s="1">
        <v>-0.65346534653465349</v>
      </c>
      <c r="Q158" s="1">
        <v>-1</v>
      </c>
      <c r="R158" s="1">
        <v>-1</v>
      </c>
      <c r="S158" s="5">
        <v>-1</v>
      </c>
      <c r="T158" s="2">
        <v>0.69299999999999995</v>
      </c>
      <c r="U158" s="2">
        <v>0.67800000000000005</v>
      </c>
      <c r="V158" s="2">
        <v>0.435</v>
      </c>
      <c r="W158" s="2">
        <v>0</v>
      </c>
      <c r="X158" s="2">
        <v>0</v>
      </c>
      <c r="Y158" s="2">
        <v>0</v>
      </c>
      <c r="Z158" s="2">
        <v>-0.14400000000000002</v>
      </c>
      <c r="AA158" s="2">
        <v>-0.14599999999999991</v>
      </c>
      <c r="AB158" s="2">
        <v>-0.14799999999999996</v>
      </c>
      <c r="AC158" s="2">
        <v>-0.78816047155478197</v>
      </c>
      <c r="AD158" s="2">
        <v>-0.43594300410752002</v>
      </c>
      <c r="AE158" s="4">
        <v>-0.79800000000000004</v>
      </c>
      <c r="AF158" s="1">
        <v>-0.17204301075268819</v>
      </c>
      <c r="AG158" s="1">
        <v>-0.17718446601941737</v>
      </c>
      <c r="AH158" s="1">
        <v>-0.25385934819897077</v>
      </c>
      <c r="AI158" s="1">
        <v>-1</v>
      </c>
      <c r="AJ158" s="1">
        <v>-1</v>
      </c>
      <c r="AK158" s="5">
        <v>-1</v>
      </c>
      <c r="AL158" s="2">
        <v>0.98399999999999999</v>
      </c>
      <c r="AM158" s="2">
        <v>0.99199999999999999</v>
      </c>
      <c r="AN158" s="2">
        <v>0.68100000000000005</v>
      </c>
      <c r="AO158" s="2">
        <v>0</v>
      </c>
      <c r="AP158" s="2">
        <v>0</v>
      </c>
      <c r="AQ158" s="4">
        <v>0</v>
      </c>
      <c r="AR158" s="2">
        <v>0.92399999999999993</v>
      </c>
      <c r="AS158" s="2">
        <v>0.95499999999999996</v>
      </c>
      <c r="AT158" s="2">
        <v>0.67700000000000005</v>
      </c>
      <c r="AU158" s="2">
        <v>0</v>
      </c>
      <c r="AV158" s="2">
        <v>0</v>
      </c>
      <c r="AW158" s="4">
        <v>0</v>
      </c>
      <c r="AX158" s="1">
        <v>15.399999999999999</v>
      </c>
      <c r="AY158" s="1">
        <v>25.810810810810811</v>
      </c>
      <c r="AZ158" s="1">
        <v>169.25</v>
      </c>
      <c r="BA158" s="1" t="e">
        <v>#DIV/0!</v>
      </c>
      <c r="BB158" s="1" t="e">
        <v>#DIV/0!</v>
      </c>
      <c r="BC158" s="5" t="e">
        <v>#DIV/0!</v>
      </c>
      <c r="BD158" s="3">
        <f>$BH$1*F158+$BH$2*X158</f>
        <v>0</v>
      </c>
      <c r="BE158" s="3">
        <f>$BH$1*M158+$BH$2*AE158</f>
        <v>-0.42600000000000005</v>
      </c>
    </row>
    <row r="159" spans="1:57">
      <c r="A159" t="s">
        <v>14</v>
      </c>
      <c r="B159" s="2">
        <v>0.20499999999999999</v>
      </c>
      <c r="C159" s="2">
        <v>0.125</v>
      </c>
      <c r="D159" s="2">
        <v>2.9000000000000001E-2</v>
      </c>
      <c r="E159" s="2">
        <v>0</v>
      </c>
      <c r="F159" s="2">
        <v>0</v>
      </c>
      <c r="G159" s="2">
        <v>0</v>
      </c>
      <c r="H159" s="2">
        <v>-0.26600000000000001</v>
      </c>
      <c r="I159" s="2">
        <v>-0.254</v>
      </c>
      <c r="J159" s="2">
        <v>-0.17300000000000001</v>
      </c>
      <c r="K159" s="2">
        <v>-7.1185883783579498E-2</v>
      </c>
      <c r="L159" s="2">
        <v>-1.51306484795731E-2</v>
      </c>
      <c r="M159" s="4">
        <v>-0.17799999999999999</v>
      </c>
      <c r="N159" s="1">
        <v>-0.56475583864118906</v>
      </c>
      <c r="O159" s="1">
        <v>-0.67018469656992086</v>
      </c>
      <c r="P159" s="1">
        <v>-0.85643564356435642</v>
      </c>
      <c r="Q159" s="1">
        <v>-1</v>
      </c>
      <c r="R159" s="1">
        <v>-1</v>
      </c>
      <c r="S159" s="5">
        <v>-1</v>
      </c>
      <c r="T159" s="2">
        <v>0.441</v>
      </c>
      <c r="U159" s="2">
        <v>0.39800000000000002</v>
      </c>
      <c r="V159" s="2">
        <v>0.17699999999999999</v>
      </c>
      <c r="W159" s="2">
        <v>0</v>
      </c>
      <c r="X159" s="2">
        <v>0</v>
      </c>
      <c r="Y159" s="2">
        <v>0</v>
      </c>
      <c r="Z159" s="2">
        <v>-0.39599999999999996</v>
      </c>
      <c r="AA159" s="2">
        <v>-0.42599999999999993</v>
      </c>
      <c r="AB159" s="2">
        <v>-0.40599999999999997</v>
      </c>
      <c r="AC159" s="2">
        <v>-0.78816047155478197</v>
      </c>
      <c r="AD159" s="2">
        <v>-0.43594300410752002</v>
      </c>
      <c r="AE159" s="4">
        <v>-0.79800000000000004</v>
      </c>
      <c r="AF159" s="1">
        <v>-0.47311827956989244</v>
      </c>
      <c r="AG159" s="1">
        <v>-0.51699029126213591</v>
      </c>
      <c r="AH159" s="1">
        <v>-0.69639794168096059</v>
      </c>
      <c r="AI159" s="1">
        <v>-1</v>
      </c>
      <c r="AJ159" s="1">
        <v>-1</v>
      </c>
      <c r="AK159" s="5">
        <v>-1</v>
      </c>
      <c r="AL159" s="2">
        <v>0.90800000000000003</v>
      </c>
      <c r="AM159" s="2">
        <v>0.92400000000000004</v>
      </c>
      <c r="AN159" s="2">
        <v>0.50700000000000001</v>
      </c>
      <c r="AO159" s="2">
        <v>0</v>
      </c>
      <c r="AP159" s="2">
        <v>0</v>
      </c>
      <c r="AQ159" s="4">
        <v>0</v>
      </c>
      <c r="AR159" s="2">
        <v>0.84800000000000009</v>
      </c>
      <c r="AS159" s="2">
        <v>0.88700000000000001</v>
      </c>
      <c r="AT159" s="2">
        <v>0.503</v>
      </c>
      <c r="AU159" s="2">
        <v>0</v>
      </c>
      <c r="AV159" s="2">
        <v>0</v>
      </c>
      <c r="AW159" s="4">
        <v>0</v>
      </c>
      <c r="AX159" s="1">
        <v>14.133333333333335</v>
      </c>
      <c r="AY159" s="1">
        <v>23.972972972972975</v>
      </c>
      <c r="AZ159" s="1">
        <v>125.75</v>
      </c>
      <c r="BA159" s="1" t="e">
        <v>#DIV/0!</v>
      </c>
      <c r="BB159" s="1" t="e">
        <v>#DIV/0!</v>
      </c>
      <c r="BC159" s="5" t="e">
        <v>#DIV/0!</v>
      </c>
      <c r="BD159" s="3">
        <f>$BH$1*F159+$BH$2*X159</f>
        <v>0</v>
      </c>
      <c r="BE159" s="3">
        <f>$BH$1*M159+$BH$2*AE159</f>
        <v>-0.42600000000000005</v>
      </c>
    </row>
    <row r="160" spans="1:57">
      <c r="A160" t="s">
        <v>16</v>
      </c>
      <c r="B160" s="2">
        <v>0.27</v>
      </c>
      <c r="C160" s="2">
        <v>0.185</v>
      </c>
      <c r="D160" s="2">
        <v>5.7000000000000002E-2</v>
      </c>
      <c r="E160" s="2">
        <v>0</v>
      </c>
      <c r="F160" s="2">
        <v>0</v>
      </c>
      <c r="G160" s="2">
        <v>0</v>
      </c>
      <c r="H160" s="2">
        <v>-0.20099999999999996</v>
      </c>
      <c r="I160" s="2">
        <v>-0.19400000000000001</v>
      </c>
      <c r="J160" s="2">
        <v>-0.14500000000000002</v>
      </c>
      <c r="K160" s="2">
        <v>-7.1185883783579498E-2</v>
      </c>
      <c r="L160" s="2">
        <v>-1.51306484795731E-2</v>
      </c>
      <c r="M160" s="4">
        <v>-0.17799999999999999</v>
      </c>
      <c r="N160" s="1">
        <v>-0.4267515923566878</v>
      </c>
      <c r="O160" s="1">
        <v>-0.51187335092348285</v>
      </c>
      <c r="P160" s="1">
        <v>-0.7178217821782179</v>
      </c>
      <c r="Q160" s="1">
        <v>-1</v>
      </c>
      <c r="R160" s="1">
        <v>-1</v>
      </c>
      <c r="S160" s="5">
        <v>-1</v>
      </c>
      <c r="T160" s="2">
        <v>0.74199999999999999</v>
      </c>
      <c r="U160" s="2">
        <v>0.72599999999999998</v>
      </c>
      <c r="V160" s="2">
        <v>0.48099999999999998</v>
      </c>
      <c r="W160" s="2">
        <v>0</v>
      </c>
      <c r="X160" s="2">
        <v>0</v>
      </c>
      <c r="Y160" s="2">
        <v>0</v>
      </c>
      <c r="Z160" s="2">
        <v>-9.4999999999999973E-2</v>
      </c>
      <c r="AA160" s="2">
        <v>-9.7999999999999976E-2</v>
      </c>
      <c r="AB160" s="2">
        <v>-0.10199999999999998</v>
      </c>
      <c r="AC160" s="2">
        <v>-0.78816047155478197</v>
      </c>
      <c r="AD160" s="2">
        <v>-0.43594300410752002</v>
      </c>
      <c r="AE160" s="4">
        <v>-0.79800000000000004</v>
      </c>
      <c r="AF160" s="1">
        <v>-0.11350059737156509</v>
      </c>
      <c r="AG160" s="1">
        <v>-0.11893203883495143</v>
      </c>
      <c r="AH160" s="1">
        <v>-0.17495711835334474</v>
      </c>
      <c r="AI160" s="1">
        <v>-1</v>
      </c>
      <c r="AJ160" s="1">
        <v>-1</v>
      </c>
      <c r="AK160" s="5">
        <v>-1</v>
      </c>
      <c r="AL160" s="2">
        <v>0.95699999999999996</v>
      </c>
      <c r="AM160" s="2">
        <v>0.96399999999999997</v>
      </c>
      <c r="AN160" s="2">
        <v>0.58599999999999997</v>
      </c>
      <c r="AO160" s="2">
        <v>0</v>
      </c>
      <c r="AP160" s="2">
        <v>0</v>
      </c>
      <c r="AQ160" s="4">
        <v>0</v>
      </c>
      <c r="AR160" s="2">
        <v>0.89700000000000002</v>
      </c>
      <c r="AS160" s="2">
        <v>0.92699999999999994</v>
      </c>
      <c r="AT160" s="2">
        <v>0.58199999999999996</v>
      </c>
      <c r="AU160" s="2">
        <v>0</v>
      </c>
      <c r="AV160" s="2">
        <v>0</v>
      </c>
      <c r="AW160" s="4">
        <v>0</v>
      </c>
      <c r="AX160" s="1">
        <v>14.950000000000001</v>
      </c>
      <c r="AY160" s="1">
        <v>25.054054054054053</v>
      </c>
      <c r="AZ160" s="1">
        <v>145.5</v>
      </c>
      <c r="BA160" s="1" t="e">
        <v>#DIV/0!</v>
      </c>
      <c r="BB160" s="1" t="e">
        <v>#DIV/0!</v>
      </c>
      <c r="BC160" s="5" t="e">
        <v>#DIV/0!</v>
      </c>
      <c r="BD160" s="3">
        <f>$BH$1*F160+$BH$2*X160</f>
        <v>0</v>
      </c>
      <c r="BE160" s="3">
        <f>$BH$1*M160+$BH$2*AE160</f>
        <v>-0.42600000000000005</v>
      </c>
    </row>
    <row r="161" spans="1:57">
      <c r="A161" t="s">
        <v>18</v>
      </c>
      <c r="B161" s="2">
        <v>0.23499999999999999</v>
      </c>
      <c r="C161" s="2">
        <v>0.16400000000000001</v>
      </c>
      <c r="D161" s="2">
        <v>5.1999999999999998E-2</v>
      </c>
      <c r="E161" s="2">
        <v>0</v>
      </c>
      <c r="F161" s="2">
        <v>0</v>
      </c>
      <c r="G161" s="2">
        <v>0</v>
      </c>
      <c r="H161" s="2">
        <v>-0.23599999999999999</v>
      </c>
      <c r="I161" s="2">
        <v>-0.215</v>
      </c>
      <c r="J161" s="2">
        <v>-0.15000000000000002</v>
      </c>
      <c r="K161" s="2">
        <v>-7.1185883783579498E-2</v>
      </c>
      <c r="L161" s="2">
        <v>-1.51306484795731E-2</v>
      </c>
      <c r="M161" s="4">
        <v>-0.17799999999999999</v>
      </c>
      <c r="N161" s="1">
        <v>-0.50106157112526539</v>
      </c>
      <c r="O161" s="1">
        <v>-0.56728232189973615</v>
      </c>
      <c r="P161" s="1">
        <v>-0.74257425742574268</v>
      </c>
      <c r="Q161" s="1">
        <v>-1</v>
      </c>
      <c r="R161" s="1">
        <v>-1</v>
      </c>
      <c r="S161" s="5">
        <v>-1</v>
      </c>
      <c r="T161" s="2">
        <v>0.68400000000000005</v>
      </c>
      <c r="U161" s="2">
        <v>0.67100000000000004</v>
      </c>
      <c r="V161" s="2">
        <v>0.42</v>
      </c>
      <c r="W161" s="2">
        <v>0</v>
      </c>
      <c r="X161" s="2">
        <v>0</v>
      </c>
      <c r="Y161" s="2">
        <v>0</v>
      </c>
      <c r="Z161" s="2">
        <v>-0.15299999999999991</v>
      </c>
      <c r="AA161" s="2">
        <v>-0.15299999999999991</v>
      </c>
      <c r="AB161" s="2">
        <v>-0.16299999999999998</v>
      </c>
      <c r="AC161" s="2">
        <v>-0.78816047155478197</v>
      </c>
      <c r="AD161" s="2">
        <v>-0.43594300410752002</v>
      </c>
      <c r="AE161" s="4">
        <v>-0.79800000000000004</v>
      </c>
      <c r="AF161" s="1">
        <v>-0.18279569892473108</v>
      </c>
      <c r="AG161" s="1">
        <v>-0.18567961165048535</v>
      </c>
      <c r="AH161" s="1">
        <v>-0.27958833619210977</v>
      </c>
      <c r="AI161" s="1">
        <v>-1</v>
      </c>
      <c r="AJ161" s="1">
        <v>-1</v>
      </c>
      <c r="AK161" s="5">
        <v>-1</v>
      </c>
      <c r="AL161" s="2">
        <v>0.96899999999999997</v>
      </c>
      <c r="AM161" s="2">
        <v>0.97099999999999997</v>
      </c>
      <c r="AN161" s="2">
        <v>0.65300000000000002</v>
      </c>
      <c r="AO161" s="2">
        <v>0</v>
      </c>
      <c r="AP161" s="2">
        <v>0</v>
      </c>
      <c r="AQ161" s="4">
        <v>0</v>
      </c>
      <c r="AR161" s="2">
        <v>0.90900000000000003</v>
      </c>
      <c r="AS161" s="2">
        <v>0.93399999999999994</v>
      </c>
      <c r="AT161" s="2">
        <v>0.64900000000000002</v>
      </c>
      <c r="AU161" s="2">
        <v>0</v>
      </c>
      <c r="AV161" s="2">
        <v>0</v>
      </c>
      <c r="AW161" s="4">
        <v>0</v>
      </c>
      <c r="AX161" s="1">
        <v>15.15</v>
      </c>
      <c r="AY161" s="1">
        <v>25.243243243243242</v>
      </c>
      <c r="AZ161" s="1">
        <v>162.25</v>
      </c>
      <c r="BA161" s="1" t="e">
        <v>#DIV/0!</v>
      </c>
      <c r="BB161" s="1" t="e">
        <v>#DIV/0!</v>
      </c>
      <c r="BC161" s="5" t="e">
        <v>#DIV/0!</v>
      </c>
      <c r="BD161" s="3">
        <f>$BH$1*F161+$BH$2*X161</f>
        <v>0</v>
      </c>
      <c r="BE161" s="3">
        <f>$BH$1*M161+$BH$2*AE161</f>
        <v>-0.42600000000000005</v>
      </c>
    </row>
    <row r="162" spans="1:57">
      <c r="A162" t="s">
        <v>20</v>
      </c>
      <c r="B162" s="2">
        <v>0.155</v>
      </c>
      <c r="C162" s="2">
        <v>7.3999999999999996E-2</v>
      </c>
      <c r="D162" s="2">
        <v>0.02</v>
      </c>
      <c r="E162" s="2">
        <v>0</v>
      </c>
      <c r="F162" s="2">
        <v>0</v>
      </c>
      <c r="G162" s="2">
        <v>0</v>
      </c>
      <c r="H162" s="2">
        <v>-0.31599999999999995</v>
      </c>
      <c r="I162" s="2">
        <v>-0.30499999999999999</v>
      </c>
      <c r="J162" s="2">
        <v>-0.18200000000000002</v>
      </c>
      <c r="K162" s="2">
        <v>-7.1185883783579498E-2</v>
      </c>
      <c r="L162" s="2">
        <v>-1.51306484795731E-2</v>
      </c>
      <c r="M162" s="4">
        <v>-0.17799999999999999</v>
      </c>
      <c r="N162" s="1">
        <v>-0.6709129511677282</v>
      </c>
      <c r="O162" s="1">
        <v>-0.80474934036939316</v>
      </c>
      <c r="P162" s="1">
        <v>-0.90099009900990101</v>
      </c>
      <c r="Q162" s="1">
        <v>-1</v>
      </c>
      <c r="R162" s="1">
        <v>-1</v>
      </c>
      <c r="S162" s="5">
        <v>-1</v>
      </c>
      <c r="T162" s="2">
        <v>0.42199999999999999</v>
      </c>
      <c r="U162" s="2">
        <v>0.35099999999999998</v>
      </c>
      <c r="V162" s="2">
        <v>0.14499999999999999</v>
      </c>
      <c r="W162" s="2">
        <v>0</v>
      </c>
      <c r="X162" s="2">
        <v>0</v>
      </c>
      <c r="Y162" s="2">
        <v>0</v>
      </c>
      <c r="Z162" s="2">
        <v>-0.41499999999999998</v>
      </c>
      <c r="AA162" s="2">
        <v>-0.47299999999999998</v>
      </c>
      <c r="AB162" s="2">
        <v>-0.43799999999999994</v>
      </c>
      <c r="AC162" s="2">
        <v>-0.78816047155478197</v>
      </c>
      <c r="AD162" s="2">
        <v>-0.43594300410752002</v>
      </c>
      <c r="AE162" s="4">
        <v>-0.79800000000000004</v>
      </c>
      <c r="AF162" s="1">
        <v>-0.49581839904420549</v>
      </c>
      <c r="AG162" s="1">
        <v>-0.57402912621359226</v>
      </c>
      <c r="AH162" s="1">
        <v>-0.75128644939965694</v>
      </c>
      <c r="AI162" s="1">
        <v>-1</v>
      </c>
      <c r="AJ162" s="1">
        <v>-1</v>
      </c>
      <c r="AK162" s="5">
        <v>-1</v>
      </c>
      <c r="AL162" s="2">
        <v>0.88700000000000001</v>
      </c>
      <c r="AM162" s="2">
        <v>0.94</v>
      </c>
      <c r="AN162" s="2">
        <v>0.47599999999999998</v>
      </c>
      <c r="AO162" s="2">
        <v>0</v>
      </c>
      <c r="AP162" s="2">
        <v>0</v>
      </c>
      <c r="AQ162" s="4">
        <v>0</v>
      </c>
      <c r="AR162" s="2">
        <v>0.82699999999999996</v>
      </c>
      <c r="AS162" s="2">
        <v>0.90299999999999991</v>
      </c>
      <c r="AT162" s="2">
        <v>0.47199999999999998</v>
      </c>
      <c r="AU162" s="2">
        <v>0</v>
      </c>
      <c r="AV162" s="2">
        <v>0</v>
      </c>
      <c r="AW162" s="4">
        <v>0</v>
      </c>
      <c r="AX162" s="1">
        <v>13.783333333333333</v>
      </c>
      <c r="AY162" s="1">
        <v>24.405405405405403</v>
      </c>
      <c r="AZ162" s="1">
        <v>117.99999999999999</v>
      </c>
      <c r="BA162" s="1" t="e">
        <v>#DIV/0!</v>
      </c>
      <c r="BB162" s="1" t="e">
        <v>#DIV/0!</v>
      </c>
      <c r="BC162" s="5" t="e">
        <v>#DIV/0!</v>
      </c>
      <c r="BD162" s="3">
        <f>$BH$1*F162+$BH$2*X162</f>
        <v>0</v>
      </c>
      <c r="BE162" s="3">
        <f>$BH$1*M162+$BH$2*AE162</f>
        <v>-0.42600000000000005</v>
      </c>
    </row>
    <row r="163" spans="1:57">
      <c r="A163" t="s">
        <v>21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-0.47099999999999997</v>
      </c>
      <c r="I163" s="2">
        <v>-0.379</v>
      </c>
      <c r="J163" s="2">
        <v>-0.20200000000000001</v>
      </c>
      <c r="K163" s="2">
        <v>-7.1185883783579498E-2</v>
      </c>
      <c r="L163" s="2">
        <v>-1.51306484795731E-2</v>
      </c>
      <c r="M163" s="4">
        <v>-0.17799999999999999</v>
      </c>
      <c r="N163" s="1">
        <v>-1</v>
      </c>
      <c r="O163" s="1">
        <v>-1</v>
      </c>
      <c r="P163" s="1">
        <v>-1</v>
      </c>
      <c r="Q163" s="1">
        <v>-1</v>
      </c>
      <c r="R163" s="1">
        <v>-1</v>
      </c>
      <c r="S163" s="5">
        <v>-1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-0.83699999999999997</v>
      </c>
      <c r="AA163" s="2">
        <v>-0.82399999999999995</v>
      </c>
      <c r="AB163" s="2">
        <v>-0.58299999999999996</v>
      </c>
      <c r="AC163" s="2">
        <v>-0.78816047155478197</v>
      </c>
      <c r="AD163" s="2">
        <v>-0.43594300410752002</v>
      </c>
      <c r="AE163" s="4">
        <v>-0.79800000000000004</v>
      </c>
      <c r="AF163" s="1">
        <v>-1</v>
      </c>
      <c r="AG163" s="1">
        <v>-1</v>
      </c>
      <c r="AH163" s="1">
        <v>-1</v>
      </c>
      <c r="AI163" s="1">
        <v>-1</v>
      </c>
      <c r="AJ163" s="1">
        <v>-1</v>
      </c>
      <c r="AK163" s="5">
        <v>-1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4">
        <v>0</v>
      </c>
      <c r="AR163" s="2">
        <v>-0.06</v>
      </c>
      <c r="AS163" s="2">
        <v>-3.6999999999999998E-2</v>
      </c>
      <c r="AT163" s="2">
        <v>-4.0000000000000001E-3</v>
      </c>
      <c r="AU163" s="2">
        <v>0</v>
      </c>
      <c r="AV163" s="2">
        <v>0</v>
      </c>
      <c r="AW163" s="4">
        <v>0</v>
      </c>
      <c r="AX163" s="1">
        <v>-1</v>
      </c>
      <c r="AY163" s="1">
        <v>-1</v>
      </c>
      <c r="AZ163" s="1">
        <v>-1</v>
      </c>
      <c r="BA163" s="1" t="e">
        <v>#DIV/0!</v>
      </c>
      <c r="BB163" s="1" t="e">
        <v>#DIV/0!</v>
      </c>
      <c r="BC163" s="5" t="e">
        <v>#DIV/0!</v>
      </c>
      <c r="BD163" s="3">
        <f>$BH$1*F163+$BH$2*X163</f>
        <v>0</v>
      </c>
      <c r="BE163" s="3">
        <f>$BH$1*M163+$BH$2*AE163</f>
        <v>-0.42600000000000005</v>
      </c>
    </row>
    <row r="164" spans="1:57">
      <c r="A164" t="s">
        <v>22</v>
      </c>
      <c r="B164" s="2">
        <v>0.26900000000000002</v>
      </c>
      <c r="C164" s="2">
        <v>0.17399999999999999</v>
      </c>
      <c r="D164" s="2">
        <v>5.8000000000000003E-2</v>
      </c>
      <c r="E164" s="2">
        <v>0</v>
      </c>
      <c r="F164" s="2">
        <v>0</v>
      </c>
      <c r="G164" s="2">
        <v>0</v>
      </c>
      <c r="H164" s="2">
        <v>-0.20199999999999996</v>
      </c>
      <c r="I164" s="2">
        <v>-0.20500000000000002</v>
      </c>
      <c r="J164" s="2">
        <v>-0.14400000000000002</v>
      </c>
      <c r="K164" s="2">
        <v>-7.1185883783579498E-2</v>
      </c>
      <c r="L164" s="2">
        <v>-1.51306484795731E-2</v>
      </c>
      <c r="M164" s="4">
        <v>-0.17799999999999999</v>
      </c>
      <c r="N164" s="1">
        <v>-0.42887473460721864</v>
      </c>
      <c r="O164" s="1">
        <v>-0.54089709762532989</v>
      </c>
      <c r="P164" s="1">
        <v>-0.71287128712871295</v>
      </c>
      <c r="Q164" s="1">
        <v>-1</v>
      </c>
      <c r="R164" s="1">
        <v>-1</v>
      </c>
      <c r="S164" s="5">
        <v>-1</v>
      </c>
      <c r="T164" s="2">
        <v>0.73899999999999999</v>
      </c>
      <c r="U164" s="2">
        <v>0.72899999999999998</v>
      </c>
      <c r="V164" s="2">
        <v>0.48399999999999999</v>
      </c>
      <c r="W164" s="2">
        <v>0</v>
      </c>
      <c r="X164" s="2">
        <v>0</v>
      </c>
      <c r="Y164" s="2">
        <v>0</v>
      </c>
      <c r="Z164" s="2">
        <v>-9.7999999999999976E-2</v>
      </c>
      <c r="AA164" s="2">
        <v>-9.4999999999999973E-2</v>
      </c>
      <c r="AB164" s="2">
        <v>-9.8999999999999977E-2</v>
      </c>
      <c r="AC164" s="2">
        <v>-0.78816047155478197</v>
      </c>
      <c r="AD164" s="2">
        <v>-0.43594300410752002</v>
      </c>
      <c r="AE164" s="4">
        <v>-0.79800000000000004</v>
      </c>
      <c r="AF164" s="1">
        <v>-0.11708482676224609</v>
      </c>
      <c r="AG164" s="1">
        <v>-0.11529126213592231</v>
      </c>
      <c r="AH164" s="1">
        <v>-0.16981132075471694</v>
      </c>
      <c r="AI164" s="1">
        <v>-1</v>
      </c>
      <c r="AJ164" s="1">
        <v>-1</v>
      </c>
      <c r="AK164" s="5">
        <v>-1</v>
      </c>
      <c r="AL164" s="2">
        <v>0.95</v>
      </c>
      <c r="AM164" s="2">
        <v>0.95499999999999996</v>
      </c>
      <c r="AN164" s="2">
        <v>0.59299999999999997</v>
      </c>
      <c r="AO164" s="2">
        <v>0</v>
      </c>
      <c r="AP164" s="2">
        <v>0</v>
      </c>
      <c r="AQ164" s="4">
        <v>0</v>
      </c>
      <c r="AR164" s="2">
        <v>0.8899999999999999</v>
      </c>
      <c r="AS164" s="2">
        <v>0.91799999999999993</v>
      </c>
      <c r="AT164" s="2">
        <v>0.58899999999999997</v>
      </c>
      <c r="AU164" s="2">
        <v>0</v>
      </c>
      <c r="AV164" s="2">
        <v>0</v>
      </c>
      <c r="AW164" s="4">
        <v>0</v>
      </c>
      <c r="AX164" s="1">
        <v>14.833333333333332</v>
      </c>
      <c r="AY164" s="1">
        <v>24.810810810810811</v>
      </c>
      <c r="AZ164" s="1">
        <v>147.25</v>
      </c>
      <c r="BA164" s="1" t="e">
        <v>#DIV/0!</v>
      </c>
      <c r="BB164" s="1" t="e">
        <v>#DIV/0!</v>
      </c>
      <c r="BC164" s="5" t="e">
        <v>#DIV/0!</v>
      </c>
      <c r="BD164" s="3">
        <f>$BH$1*F164+$BH$2*X164</f>
        <v>0</v>
      </c>
      <c r="BE164" s="3">
        <f>$BH$1*M164+$BH$2*AE164</f>
        <v>-0.42600000000000005</v>
      </c>
    </row>
    <row r="165" spans="1:57">
      <c r="A165" t="s">
        <v>24</v>
      </c>
      <c r="B165" s="2">
        <v>0.27400000000000002</v>
      </c>
      <c r="C165" s="2">
        <v>0.19700000000000001</v>
      </c>
      <c r="D165" s="2">
        <v>6.6000000000000003E-2</v>
      </c>
      <c r="E165" s="2">
        <v>0</v>
      </c>
      <c r="F165" s="2">
        <v>0</v>
      </c>
      <c r="G165" s="2">
        <v>0</v>
      </c>
      <c r="H165" s="2">
        <v>-0.19699999999999995</v>
      </c>
      <c r="I165" s="2">
        <v>-0.182</v>
      </c>
      <c r="J165" s="2">
        <v>-0.13600000000000001</v>
      </c>
      <c r="K165" s="2">
        <v>-7.1185883783579498E-2</v>
      </c>
      <c r="L165" s="2">
        <v>-1.51306484795731E-2</v>
      </c>
      <c r="M165" s="4">
        <v>-0.17799999999999999</v>
      </c>
      <c r="N165" s="1">
        <v>-0.41825902335456466</v>
      </c>
      <c r="O165" s="1">
        <v>-0.48021108179419525</v>
      </c>
      <c r="P165" s="1">
        <v>-0.67326732673267331</v>
      </c>
      <c r="Q165" s="1">
        <v>-1</v>
      </c>
      <c r="R165" s="1">
        <v>-1</v>
      </c>
      <c r="S165" s="5">
        <v>-1</v>
      </c>
      <c r="T165" s="2">
        <v>0.71099999999999997</v>
      </c>
      <c r="U165" s="2">
        <v>0.69599999999999995</v>
      </c>
      <c r="V165" s="2">
        <v>0.45100000000000001</v>
      </c>
      <c r="W165" s="2">
        <v>0</v>
      </c>
      <c r="X165" s="2">
        <v>0</v>
      </c>
      <c r="Y165" s="2">
        <v>0</v>
      </c>
      <c r="Z165" s="2">
        <v>-0.126</v>
      </c>
      <c r="AA165" s="2">
        <v>-0.128</v>
      </c>
      <c r="AB165" s="2">
        <v>-0.13199999999999995</v>
      </c>
      <c r="AC165" s="2">
        <v>-0.78816047155478197</v>
      </c>
      <c r="AD165" s="2">
        <v>-0.43594300410752002</v>
      </c>
      <c r="AE165" s="4">
        <v>-0.79800000000000004</v>
      </c>
      <c r="AF165" s="1">
        <v>-0.15053763440860216</v>
      </c>
      <c r="AG165" s="1">
        <v>-0.15533980582524273</v>
      </c>
      <c r="AH165" s="1">
        <v>-0.22641509433962256</v>
      </c>
      <c r="AI165" s="1">
        <v>-1</v>
      </c>
      <c r="AJ165" s="1">
        <v>-1</v>
      </c>
      <c r="AK165" s="5">
        <v>-1</v>
      </c>
      <c r="AL165" s="2">
        <v>0.97699999999999998</v>
      </c>
      <c r="AM165" s="2">
        <v>0.97899999999999998</v>
      </c>
      <c r="AN165" s="2">
        <v>0.63500000000000001</v>
      </c>
      <c r="AO165" s="2">
        <v>0</v>
      </c>
      <c r="AP165" s="2">
        <v>0</v>
      </c>
      <c r="AQ165" s="4">
        <v>0</v>
      </c>
      <c r="AR165" s="2">
        <v>0.91700000000000004</v>
      </c>
      <c r="AS165" s="2">
        <v>0.94199999999999995</v>
      </c>
      <c r="AT165" s="2">
        <v>0.63100000000000001</v>
      </c>
      <c r="AU165" s="2">
        <v>0</v>
      </c>
      <c r="AV165" s="2">
        <v>0</v>
      </c>
      <c r="AW165" s="4">
        <v>0</v>
      </c>
      <c r="AX165" s="1">
        <v>15.283333333333335</v>
      </c>
      <c r="AY165" s="1">
        <v>25.45945945945946</v>
      </c>
      <c r="AZ165" s="1">
        <v>157.75</v>
      </c>
      <c r="BA165" s="1" t="e">
        <v>#DIV/0!</v>
      </c>
      <c r="BB165" s="1" t="e">
        <v>#DIV/0!</v>
      </c>
      <c r="BC165" s="5" t="e">
        <v>#DIV/0!</v>
      </c>
      <c r="BD165" s="3">
        <f>$BH$1*F165+$BH$2*X165</f>
        <v>0</v>
      </c>
      <c r="BE165" s="3">
        <f>$BH$1*M165+$BH$2*AE165</f>
        <v>-0.42600000000000005</v>
      </c>
    </row>
    <row r="166" spans="1:57">
      <c r="A166" t="s">
        <v>26</v>
      </c>
      <c r="B166" s="2">
        <v>0.152</v>
      </c>
      <c r="C166" s="2">
        <v>8.4000000000000005E-2</v>
      </c>
      <c r="D166" s="2">
        <v>2.1000000000000001E-2</v>
      </c>
      <c r="E166" s="2">
        <v>0</v>
      </c>
      <c r="F166" s="2">
        <v>0</v>
      </c>
      <c r="G166" s="2">
        <v>0</v>
      </c>
      <c r="H166" s="2">
        <v>-0.31899999999999995</v>
      </c>
      <c r="I166" s="2">
        <v>-0.29499999999999998</v>
      </c>
      <c r="J166" s="2">
        <v>-0.18100000000000002</v>
      </c>
      <c r="K166" s="2">
        <v>-7.1185883783579498E-2</v>
      </c>
      <c r="L166" s="2">
        <v>-1.51306484795731E-2</v>
      </c>
      <c r="M166" s="4">
        <v>-0.17799999999999999</v>
      </c>
      <c r="N166" s="1">
        <v>-0.67728237791932056</v>
      </c>
      <c r="O166" s="1">
        <v>-0.77836411609498679</v>
      </c>
      <c r="P166" s="1">
        <v>-0.89603960396039606</v>
      </c>
      <c r="Q166" s="1">
        <v>-1</v>
      </c>
      <c r="R166" s="1">
        <v>-1</v>
      </c>
      <c r="S166" s="5">
        <v>-1</v>
      </c>
      <c r="T166" s="2">
        <v>0.42099999999999999</v>
      </c>
      <c r="U166" s="2">
        <v>0.35699999999999998</v>
      </c>
      <c r="V166" s="2">
        <v>0.152</v>
      </c>
      <c r="W166" s="2">
        <v>0</v>
      </c>
      <c r="X166" s="2">
        <v>0</v>
      </c>
      <c r="Y166" s="2">
        <v>0</v>
      </c>
      <c r="Z166" s="2">
        <v>-0.41599999999999998</v>
      </c>
      <c r="AA166" s="2">
        <v>-0.46699999999999997</v>
      </c>
      <c r="AB166" s="2">
        <v>-0.43099999999999994</v>
      </c>
      <c r="AC166" s="2">
        <v>-0.78816047155478197</v>
      </c>
      <c r="AD166" s="2">
        <v>-0.43594300410752002</v>
      </c>
      <c r="AE166" s="4">
        <v>-0.79800000000000004</v>
      </c>
      <c r="AF166" s="1">
        <v>-0.49701314217443249</v>
      </c>
      <c r="AG166" s="1">
        <v>-0.56674757281553401</v>
      </c>
      <c r="AH166" s="1">
        <v>-0.73927958833619201</v>
      </c>
      <c r="AI166" s="1">
        <v>-1</v>
      </c>
      <c r="AJ166" s="1">
        <v>-1</v>
      </c>
      <c r="AK166" s="5">
        <v>-1</v>
      </c>
      <c r="AL166" s="2">
        <v>0.873</v>
      </c>
      <c r="AM166" s="2">
        <v>0.90600000000000003</v>
      </c>
      <c r="AN166" s="2">
        <v>0.45</v>
      </c>
      <c r="AO166" s="2">
        <v>0</v>
      </c>
      <c r="AP166" s="2">
        <v>0</v>
      </c>
      <c r="AQ166" s="4">
        <v>0</v>
      </c>
      <c r="AR166" s="2">
        <v>0.81299999999999994</v>
      </c>
      <c r="AS166" s="2">
        <v>0.86899999999999999</v>
      </c>
      <c r="AT166" s="2">
        <v>0.44600000000000001</v>
      </c>
      <c r="AU166" s="2">
        <v>0</v>
      </c>
      <c r="AV166" s="2">
        <v>0</v>
      </c>
      <c r="AW166" s="4">
        <v>0</v>
      </c>
      <c r="AX166" s="1">
        <v>13.549999999999999</v>
      </c>
      <c r="AY166" s="1">
        <v>23.486486486486488</v>
      </c>
      <c r="AZ166" s="1">
        <v>111.5</v>
      </c>
      <c r="BA166" s="1" t="e">
        <v>#DIV/0!</v>
      </c>
      <c r="BB166" s="1" t="e">
        <v>#DIV/0!</v>
      </c>
      <c r="BC166" s="5" t="e">
        <v>#DIV/0!</v>
      </c>
      <c r="BD166" s="3">
        <f>$BH$1*F166+$BH$2*X166</f>
        <v>0</v>
      </c>
      <c r="BE166" s="3">
        <f>$BH$1*M166+$BH$2*AE166</f>
        <v>-0.42600000000000005</v>
      </c>
    </row>
    <row r="167" spans="1:57">
      <c r="A167" t="s">
        <v>27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-0.47099999999999997</v>
      </c>
      <c r="I167" s="2">
        <v>-0.379</v>
      </c>
      <c r="J167" s="2">
        <v>-0.20200000000000001</v>
      </c>
      <c r="K167" s="2">
        <v>-7.1185883783579498E-2</v>
      </c>
      <c r="L167" s="2">
        <v>-1.51306484795731E-2</v>
      </c>
      <c r="M167" s="4">
        <v>-0.17799999999999999</v>
      </c>
      <c r="N167" s="1">
        <v>-1</v>
      </c>
      <c r="O167" s="1">
        <v>-1</v>
      </c>
      <c r="P167" s="1">
        <v>-1</v>
      </c>
      <c r="Q167" s="1">
        <v>-1</v>
      </c>
      <c r="R167" s="1">
        <v>-1</v>
      </c>
      <c r="S167" s="5">
        <v>-1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-0.83699999999999997</v>
      </c>
      <c r="AA167" s="2">
        <v>-0.82399999999999995</v>
      </c>
      <c r="AB167" s="2">
        <v>-0.58299999999999996</v>
      </c>
      <c r="AC167" s="2">
        <v>-0.78816047155478197</v>
      </c>
      <c r="AD167" s="2">
        <v>-0.43594300410752002</v>
      </c>
      <c r="AE167" s="4">
        <v>-0.79800000000000004</v>
      </c>
      <c r="AF167" s="1">
        <v>-1</v>
      </c>
      <c r="AG167" s="1">
        <v>-1</v>
      </c>
      <c r="AH167" s="1">
        <v>-1</v>
      </c>
      <c r="AI167" s="1">
        <v>-1</v>
      </c>
      <c r="AJ167" s="1">
        <v>-1</v>
      </c>
      <c r="AK167" s="5">
        <v>-1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4">
        <v>0</v>
      </c>
      <c r="AR167" s="2">
        <v>-0.06</v>
      </c>
      <c r="AS167" s="2">
        <v>-3.6999999999999998E-2</v>
      </c>
      <c r="AT167" s="2">
        <v>-4.0000000000000001E-3</v>
      </c>
      <c r="AU167" s="2">
        <v>0</v>
      </c>
      <c r="AV167" s="2">
        <v>0</v>
      </c>
      <c r="AW167" s="4">
        <v>0</v>
      </c>
      <c r="AX167" s="1">
        <v>-1</v>
      </c>
      <c r="AY167" s="1">
        <v>-1</v>
      </c>
      <c r="AZ167" s="1">
        <v>-1</v>
      </c>
      <c r="BA167" s="1" t="e">
        <v>#DIV/0!</v>
      </c>
      <c r="BB167" s="1" t="e">
        <v>#DIV/0!</v>
      </c>
      <c r="BC167" s="5" t="e">
        <v>#DIV/0!</v>
      </c>
      <c r="BD167" s="3">
        <f>$BH$1*F167+$BH$2*X167</f>
        <v>0</v>
      </c>
      <c r="BE167" s="3">
        <f>$BH$1*M167+$BH$2*AE167</f>
        <v>-0.42600000000000005</v>
      </c>
    </row>
    <row r="168" spans="1:57">
      <c r="A168" t="s">
        <v>28</v>
      </c>
      <c r="B168" s="2">
        <v>0.29399999999999998</v>
      </c>
      <c r="C168" s="2">
        <v>0.20300000000000001</v>
      </c>
      <c r="D168" s="2">
        <v>6.2E-2</v>
      </c>
      <c r="E168" s="2">
        <v>0</v>
      </c>
      <c r="F168" s="2">
        <v>0</v>
      </c>
      <c r="G168" s="2">
        <v>0</v>
      </c>
      <c r="H168" s="2">
        <v>-0.17699999999999999</v>
      </c>
      <c r="I168" s="2">
        <v>-0.17599999999999999</v>
      </c>
      <c r="J168" s="2">
        <v>-0.14000000000000001</v>
      </c>
      <c r="K168" s="2">
        <v>-7.1185883783579498E-2</v>
      </c>
      <c r="L168" s="2">
        <v>-1.51306484795731E-2</v>
      </c>
      <c r="M168" s="4">
        <v>-0.17799999999999999</v>
      </c>
      <c r="N168" s="1">
        <v>-0.37579617834394907</v>
      </c>
      <c r="O168" s="1">
        <v>-0.46437994722955139</v>
      </c>
      <c r="P168" s="1">
        <v>-0.69306930693069313</v>
      </c>
      <c r="Q168" s="1">
        <v>-1</v>
      </c>
      <c r="R168" s="1">
        <v>-1</v>
      </c>
      <c r="S168" s="5">
        <v>-1</v>
      </c>
      <c r="T168" s="2">
        <v>0.74099999999999999</v>
      </c>
      <c r="U168" s="2">
        <v>0.72899999999999998</v>
      </c>
      <c r="V168" s="2">
        <v>0.47799999999999998</v>
      </c>
      <c r="W168" s="2">
        <v>0</v>
      </c>
      <c r="X168" s="2">
        <v>0</v>
      </c>
      <c r="Y168" s="2">
        <v>0</v>
      </c>
      <c r="Z168" s="2">
        <v>-9.5999999999999974E-2</v>
      </c>
      <c r="AA168" s="2">
        <v>-9.4999999999999973E-2</v>
      </c>
      <c r="AB168" s="2">
        <v>-0.10499999999999998</v>
      </c>
      <c r="AC168" s="2">
        <v>-0.78816047155478197</v>
      </c>
      <c r="AD168" s="2">
        <v>-0.43594300410752002</v>
      </c>
      <c r="AE168" s="4">
        <v>-0.79800000000000004</v>
      </c>
      <c r="AF168" s="1">
        <v>-0.11469534050179209</v>
      </c>
      <c r="AG168" s="1">
        <v>-0.11529126213592231</v>
      </c>
      <c r="AH168" s="1">
        <v>-0.18010291595197253</v>
      </c>
      <c r="AI168" s="1">
        <v>-1</v>
      </c>
      <c r="AJ168" s="1">
        <v>-1</v>
      </c>
      <c r="AK168" s="5">
        <v>-1</v>
      </c>
      <c r="AL168" s="2">
        <v>0.96899999999999997</v>
      </c>
      <c r="AM168" s="2">
        <v>0.97099999999999997</v>
      </c>
      <c r="AN168" s="2">
        <v>0.55000000000000004</v>
      </c>
      <c r="AO168" s="2">
        <v>0</v>
      </c>
      <c r="AP168" s="2">
        <v>0</v>
      </c>
      <c r="AQ168" s="4">
        <v>0</v>
      </c>
      <c r="AR168" s="2">
        <v>0.90900000000000003</v>
      </c>
      <c r="AS168" s="2">
        <v>0.93399999999999994</v>
      </c>
      <c r="AT168" s="2">
        <v>0.54600000000000004</v>
      </c>
      <c r="AU168" s="2">
        <v>0</v>
      </c>
      <c r="AV168" s="2">
        <v>0</v>
      </c>
      <c r="AW168" s="4">
        <v>0</v>
      </c>
      <c r="AX168" s="1">
        <v>15.15</v>
      </c>
      <c r="AY168" s="1">
        <v>25.243243243243242</v>
      </c>
      <c r="AZ168" s="1">
        <v>136.5</v>
      </c>
      <c r="BA168" s="1" t="e">
        <v>#DIV/0!</v>
      </c>
      <c r="BB168" s="1" t="e">
        <v>#DIV/0!</v>
      </c>
      <c r="BC168" s="5" t="e">
        <v>#DIV/0!</v>
      </c>
      <c r="BD168" s="3">
        <f>$BH$1*F168+$BH$2*X168</f>
        <v>0</v>
      </c>
      <c r="BE168" s="3">
        <f>$BH$1*M168+$BH$2*AE168</f>
        <v>-0.42600000000000005</v>
      </c>
    </row>
    <row r="169" spans="1:57">
      <c r="A169" t="s">
        <v>30</v>
      </c>
      <c r="B169" s="2">
        <v>0.29599999999999999</v>
      </c>
      <c r="C169" s="2">
        <v>0.24</v>
      </c>
      <c r="D169" s="2">
        <v>8.8999999999999996E-2</v>
      </c>
      <c r="E169" s="2">
        <v>0</v>
      </c>
      <c r="F169" s="2">
        <v>0</v>
      </c>
      <c r="G169" s="2">
        <v>0</v>
      </c>
      <c r="H169" s="2">
        <v>-0.17499999999999999</v>
      </c>
      <c r="I169" s="2">
        <v>-0.13900000000000001</v>
      </c>
      <c r="J169" s="2">
        <v>-0.11300000000000002</v>
      </c>
      <c r="K169" s="2">
        <v>-7.1185883783579498E-2</v>
      </c>
      <c r="L169" s="2">
        <v>-1.51306484795731E-2</v>
      </c>
      <c r="M169" s="4">
        <v>-0.17799999999999999</v>
      </c>
      <c r="N169" s="1">
        <v>-0.37154989384288745</v>
      </c>
      <c r="O169" s="1">
        <v>-0.36675461741424803</v>
      </c>
      <c r="P169" s="1">
        <v>-0.55940594059405946</v>
      </c>
      <c r="Q169" s="1">
        <v>-1</v>
      </c>
      <c r="R169" s="1">
        <v>-1</v>
      </c>
      <c r="S169" s="5">
        <v>-1</v>
      </c>
      <c r="T169" s="2">
        <v>0.70799999999999996</v>
      </c>
      <c r="U169" s="2">
        <v>0.70099999999999996</v>
      </c>
      <c r="V169" s="2">
        <v>0.44500000000000001</v>
      </c>
      <c r="W169" s="2">
        <v>0</v>
      </c>
      <c r="X169" s="2">
        <v>0</v>
      </c>
      <c r="Y169" s="2">
        <v>0</v>
      </c>
      <c r="Z169" s="2">
        <v>-0.129</v>
      </c>
      <c r="AA169" s="2">
        <v>-0.123</v>
      </c>
      <c r="AB169" s="2">
        <v>-0.13799999999999996</v>
      </c>
      <c r="AC169" s="2">
        <v>-0.78816047155478197</v>
      </c>
      <c r="AD169" s="2">
        <v>-0.43594300410752002</v>
      </c>
      <c r="AE169" s="4">
        <v>-0.79800000000000004</v>
      </c>
      <c r="AF169" s="1">
        <v>-0.15412186379928317</v>
      </c>
      <c r="AG169" s="1">
        <v>-0.14927184466019419</v>
      </c>
      <c r="AH169" s="1">
        <v>-0.23670668953687815</v>
      </c>
      <c r="AI169" s="1">
        <v>-1</v>
      </c>
      <c r="AJ169" s="1">
        <v>-1</v>
      </c>
      <c r="AK169" s="5">
        <v>-1</v>
      </c>
      <c r="AL169" s="2">
        <v>0.45300000000000001</v>
      </c>
      <c r="AM169" s="2">
        <v>0.41099999999999998</v>
      </c>
      <c r="AN169" s="2">
        <v>0.16700000000000001</v>
      </c>
      <c r="AO169" s="2">
        <v>0</v>
      </c>
      <c r="AP169" s="2">
        <v>0</v>
      </c>
      <c r="AQ169" s="4">
        <v>0</v>
      </c>
      <c r="AR169" s="2">
        <v>0.39300000000000002</v>
      </c>
      <c r="AS169" s="2">
        <v>0.374</v>
      </c>
      <c r="AT169" s="2">
        <v>0.16300000000000001</v>
      </c>
      <c r="AU169" s="2">
        <v>0</v>
      </c>
      <c r="AV169" s="2">
        <v>0</v>
      </c>
      <c r="AW169" s="4">
        <v>0</v>
      </c>
      <c r="AX169" s="1">
        <v>6.5500000000000007</v>
      </c>
      <c r="AY169" s="1">
        <v>10.108108108108109</v>
      </c>
      <c r="AZ169" s="1">
        <v>40.75</v>
      </c>
      <c r="BA169" s="1" t="e">
        <v>#DIV/0!</v>
      </c>
      <c r="BB169" s="1" t="e">
        <v>#DIV/0!</v>
      </c>
      <c r="BC169" s="5" t="e">
        <v>#DIV/0!</v>
      </c>
      <c r="BD169" s="3">
        <f>$BH$1*F169+$BH$2*X169</f>
        <v>0</v>
      </c>
      <c r="BE169" s="3">
        <f>$BH$1*M169+$BH$2*AE169</f>
        <v>-0.42600000000000005</v>
      </c>
    </row>
    <row r="170" spans="1:57">
      <c r="A170" t="s">
        <v>32</v>
      </c>
      <c r="B170" s="2">
        <v>0.23200000000000001</v>
      </c>
      <c r="C170" s="2">
        <v>0.154</v>
      </c>
      <c r="D170" s="2">
        <v>5.0999999999999997E-2</v>
      </c>
      <c r="E170" s="2">
        <v>0</v>
      </c>
      <c r="F170" s="2">
        <v>0</v>
      </c>
      <c r="G170" s="2">
        <v>0</v>
      </c>
      <c r="H170" s="2">
        <v>-0.23899999999999996</v>
      </c>
      <c r="I170" s="2">
        <v>-0.22500000000000001</v>
      </c>
      <c r="J170" s="2">
        <v>-0.15100000000000002</v>
      </c>
      <c r="K170" s="2">
        <v>-7.1185883783579498E-2</v>
      </c>
      <c r="L170" s="2">
        <v>-1.51306484795731E-2</v>
      </c>
      <c r="M170" s="4">
        <v>-0.17799999999999999</v>
      </c>
      <c r="N170" s="1">
        <v>-0.50743099787685775</v>
      </c>
      <c r="O170" s="1">
        <v>-0.59366754617414252</v>
      </c>
      <c r="P170" s="1">
        <v>-0.74752475247524763</v>
      </c>
      <c r="Q170" s="1">
        <v>-1</v>
      </c>
      <c r="R170" s="1">
        <v>-1</v>
      </c>
      <c r="S170" s="5">
        <v>-1</v>
      </c>
      <c r="T170" s="2">
        <v>0.47899999999999998</v>
      </c>
      <c r="U170" s="2">
        <v>0.442</v>
      </c>
      <c r="V170" s="2">
        <v>0.2</v>
      </c>
      <c r="W170" s="2">
        <v>0</v>
      </c>
      <c r="X170" s="2">
        <v>0</v>
      </c>
      <c r="Y170" s="2">
        <v>0</v>
      </c>
      <c r="Z170" s="2">
        <v>-0.35799999999999998</v>
      </c>
      <c r="AA170" s="2">
        <v>-0.38199999999999995</v>
      </c>
      <c r="AB170" s="2">
        <v>-0.38299999999999995</v>
      </c>
      <c r="AC170" s="2">
        <v>-0.78816047155478197</v>
      </c>
      <c r="AD170" s="2">
        <v>-0.43594300410752002</v>
      </c>
      <c r="AE170" s="4">
        <v>-0.79800000000000004</v>
      </c>
      <c r="AF170" s="1">
        <v>-0.42771804062126645</v>
      </c>
      <c r="AG170" s="1">
        <v>-0.4635922330097087</v>
      </c>
      <c r="AH170" s="1">
        <v>-0.65694682675814742</v>
      </c>
      <c r="AI170" s="1">
        <v>-1</v>
      </c>
      <c r="AJ170" s="1">
        <v>-1</v>
      </c>
      <c r="AK170" s="5">
        <v>-1</v>
      </c>
      <c r="AL170" s="2">
        <v>0.81599999999999995</v>
      </c>
      <c r="AM170" s="2">
        <v>0.88700000000000001</v>
      </c>
      <c r="AN170" s="2">
        <v>0.45300000000000001</v>
      </c>
      <c r="AO170" s="2">
        <v>0</v>
      </c>
      <c r="AP170" s="2">
        <v>0</v>
      </c>
      <c r="AQ170" s="4">
        <v>0</v>
      </c>
      <c r="AR170" s="2">
        <v>0.75600000000000001</v>
      </c>
      <c r="AS170" s="2">
        <v>0.85</v>
      </c>
      <c r="AT170" s="2">
        <v>0.44900000000000001</v>
      </c>
      <c r="AU170" s="2">
        <v>0</v>
      </c>
      <c r="AV170" s="2">
        <v>0</v>
      </c>
      <c r="AW170" s="4">
        <v>0</v>
      </c>
      <c r="AX170" s="1">
        <v>12.600000000000001</v>
      </c>
      <c r="AY170" s="1">
        <v>22.972972972972972</v>
      </c>
      <c r="AZ170" s="1">
        <v>112.25</v>
      </c>
      <c r="BA170" s="1" t="e">
        <v>#DIV/0!</v>
      </c>
      <c r="BB170" s="1" t="e">
        <v>#DIV/0!</v>
      </c>
      <c r="BC170" s="5" t="e">
        <v>#DIV/0!</v>
      </c>
      <c r="BD170" s="3">
        <f>$BH$1*F170+$BH$2*X170</f>
        <v>0</v>
      </c>
      <c r="BE170" s="3">
        <f>$BH$1*M170+$BH$2*AE170</f>
        <v>-0.42600000000000005</v>
      </c>
    </row>
    <row r="171" spans="1:57">
      <c r="A171" t="s">
        <v>33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-0.47099999999999997</v>
      </c>
      <c r="I171" s="2">
        <v>-0.379</v>
      </c>
      <c r="J171" s="2">
        <v>-0.20200000000000001</v>
      </c>
      <c r="K171" s="2">
        <v>-7.1185883783579498E-2</v>
      </c>
      <c r="L171" s="2">
        <v>-1.51306484795731E-2</v>
      </c>
      <c r="M171" s="4">
        <v>-0.17799999999999999</v>
      </c>
      <c r="N171" s="1">
        <v>-1</v>
      </c>
      <c r="O171" s="1">
        <v>-1</v>
      </c>
      <c r="P171" s="1">
        <v>-1</v>
      </c>
      <c r="Q171" s="1">
        <v>-1</v>
      </c>
      <c r="R171" s="1">
        <v>-1</v>
      </c>
      <c r="S171" s="5">
        <v>-1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-0.83699999999999997</v>
      </c>
      <c r="AA171" s="2">
        <v>-0.82399999999999995</v>
      </c>
      <c r="AB171" s="2">
        <v>-0.58299999999999996</v>
      </c>
      <c r="AC171" s="2">
        <v>-0.78816047155478197</v>
      </c>
      <c r="AD171" s="2">
        <v>-0.43594300410752002</v>
      </c>
      <c r="AE171" s="4">
        <v>-0.79800000000000004</v>
      </c>
      <c r="AF171" s="1">
        <v>-1</v>
      </c>
      <c r="AG171" s="1">
        <v>-1</v>
      </c>
      <c r="AH171" s="1">
        <v>-1</v>
      </c>
      <c r="AI171" s="1">
        <v>-1</v>
      </c>
      <c r="AJ171" s="1">
        <v>-1</v>
      </c>
      <c r="AK171" s="5">
        <v>-1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4">
        <v>0</v>
      </c>
      <c r="AR171" s="2">
        <v>-0.06</v>
      </c>
      <c r="AS171" s="2">
        <v>-3.6999999999999998E-2</v>
      </c>
      <c r="AT171" s="2">
        <v>-4.0000000000000001E-3</v>
      </c>
      <c r="AU171" s="2">
        <v>0</v>
      </c>
      <c r="AV171" s="2">
        <v>0</v>
      </c>
      <c r="AW171" s="4">
        <v>0</v>
      </c>
      <c r="AX171" s="1">
        <v>-1</v>
      </c>
      <c r="AY171" s="1">
        <v>-1</v>
      </c>
      <c r="AZ171" s="1">
        <v>-1</v>
      </c>
      <c r="BA171" s="1" t="e">
        <v>#DIV/0!</v>
      </c>
      <c r="BB171" s="1" t="e">
        <v>#DIV/0!</v>
      </c>
      <c r="BC171" s="5" t="e">
        <v>#DIV/0!</v>
      </c>
      <c r="BD171" s="3">
        <f>$BH$1*F171+$BH$2*X171</f>
        <v>0</v>
      </c>
      <c r="BE171" s="3">
        <f>$BH$1*M171+$BH$2*AE171</f>
        <v>-0.42600000000000005</v>
      </c>
    </row>
    <row r="172" spans="1:57">
      <c r="A172" t="s">
        <v>34</v>
      </c>
      <c r="B172" s="2">
        <v>0.34499999999999997</v>
      </c>
      <c r="C172" s="2">
        <v>0.26200000000000001</v>
      </c>
      <c r="D172" s="2">
        <v>0.105</v>
      </c>
      <c r="E172" s="2">
        <v>0</v>
      </c>
      <c r="F172" s="2">
        <v>0</v>
      </c>
      <c r="G172" s="2">
        <v>0</v>
      </c>
      <c r="H172" s="2">
        <v>-0.126</v>
      </c>
      <c r="I172" s="2">
        <v>-0.11699999999999999</v>
      </c>
      <c r="J172" s="2">
        <v>-9.7000000000000017E-2</v>
      </c>
      <c r="K172" s="2">
        <v>-7.1185883783579498E-2</v>
      </c>
      <c r="L172" s="2">
        <v>-1.51306484795731E-2</v>
      </c>
      <c r="M172" s="4">
        <v>-0.17799999999999999</v>
      </c>
      <c r="N172" s="1">
        <v>-0.26751592356687898</v>
      </c>
      <c r="O172" s="1">
        <v>-0.30870712401055406</v>
      </c>
      <c r="P172" s="1">
        <v>-0.48019801980198024</v>
      </c>
      <c r="Q172" s="1">
        <v>-1</v>
      </c>
      <c r="R172" s="1">
        <v>-1</v>
      </c>
      <c r="S172" s="5">
        <v>-1</v>
      </c>
      <c r="T172" s="2">
        <v>0.72499999999999998</v>
      </c>
      <c r="U172" s="2">
        <v>0.71199999999999997</v>
      </c>
      <c r="V172" s="2">
        <v>0.45700000000000002</v>
      </c>
      <c r="W172" s="2">
        <v>0</v>
      </c>
      <c r="X172" s="2">
        <v>0</v>
      </c>
      <c r="Y172" s="2">
        <v>0</v>
      </c>
      <c r="Z172" s="2">
        <v>-0.11199999999999999</v>
      </c>
      <c r="AA172" s="2">
        <v>-0.11199999999999999</v>
      </c>
      <c r="AB172" s="2">
        <v>-0.12599999999999995</v>
      </c>
      <c r="AC172" s="2">
        <v>-0.78816047155478197</v>
      </c>
      <c r="AD172" s="2">
        <v>-0.43594300410752002</v>
      </c>
      <c r="AE172" s="4">
        <v>-0.79800000000000004</v>
      </c>
      <c r="AF172" s="1">
        <v>-0.13381123058542413</v>
      </c>
      <c r="AG172" s="1">
        <v>-0.13592233009708737</v>
      </c>
      <c r="AH172" s="1">
        <v>-0.21612349914236698</v>
      </c>
      <c r="AI172" s="1">
        <v>-1</v>
      </c>
      <c r="AJ172" s="1">
        <v>-1</v>
      </c>
      <c r="AK172" s="5">
        <v>-1</v>
      </c>
      <c r="AL172" s="2">
        <v>0.72</v>
      </c>
      <c r="AM172" s="2">
        <v>0.71</v>
      </c>
      <c r="AN172" s="2">
        <v>0.307</v>
      </c>
      <c r="AO172" s="2">
        <v>0</v>
      </c>
      <c r="AP172" s="2">
        <v>0</v>
      </c>
      <c r="AQ172" s="4">
        <v>0</v>
      </c>
      <c r="AR172" s="2">
        <v>0.65999999999999992</v>
      </c>
      <c r="AS172" s="2">
        <v>0.67299999999999993</v>
      </c>
      <c r="AT172" s="2">
        <v>0.30299999999999999</v>
      </c>
      <c r="AU172" s="2">
        <v>0</v>
      </c>
      <c r="AV172" s="2">
        <v>0</v>
      </c>
      <c r="AW172" s="4">
        <v>0</v>
      </c>
      <c r="AX172" s="1">
        <v>10.999999999999998</v>
      </c>
      <c r="AY172" s="1">
        <v>18.189189189189189</v>
      </c>
      <c r="AZ172" s="1">
        <v>75.75</v>
      </c>
      <c r="BA172" s="1" t="e">
        <v>#DIV/0!</v>
      </c>
      <c r="BB172" s="1" t="e">
        <v>#DIV/0!</v>
      </c>
      <c r="BC172" s="5" t="e">
        <v>#DIV/0!</v>
      </c>
      <c r="BD172" s="3">
        <f>$BH$1*F172+$BH$2*X172</f>
        <v>0</v>
      </c>
      <c r="BE172" s="3">
        <f>$BH$1*M172+$BH$2*AE172</f>
        <v>-0.42600000000000005</v>
      </c>
    </row>
    <row r="173" spans="1:57">
      <c r="A173" t="s">
        <v>36</v>
      </c>
      <c r="B173" s="2">
        <v>0.30599999999999999</v>
      </c>
      <c r="C173" s="2">
        <v>0.255</v>
      </c>
      <c r="D173" s="2">
        <v>0.107</v>
      </c>
      <c r="E173" s="2">
        <v>0</v>
      </c>
      <c r="F173" s="2">
        <v>0</v>
      </c>
      <c r="G173" s="2">
        <v>0</v>
      </c>
      <c r="H173" s="2">
        <v>-0.16499999999999998</v>
      </c>
      <c r="I173" s="2">
        <v>-0.124</v>
      </c>
      <c r="J173" s="2">
        <v>-9.5000000000000015E-2</v>
      </c>
      <c r="K173" s="2">
        <v>-7.1185883783579498E-2</v>
      </c>
      <c r="L173" s="2">
        <v>-1.51306484795731E-2</v>
      </c>
      <c r="M173" s="4">
        <v>-0.17799999999999999</v>
      </c>
      <c r="N173" s="1">
        <v>-0.3503184713375796</v>
      </c>
      <c r="O173" s="1">
        <v>-0.32717678100263853</v>
      </c>
      <c r="P173" s="1">
        <v>-0.47029702970297033</v>
      </c>
      <c r="Q173" s="1">
        <v>-1</v>
      </c>
      <c r="R173" s="1">
        <v>-1</v>
      </c>
      <c r="S173" s="5">
        <v>-1</v>
      </c>
      <c r="T173" s="2">
        <v>0.7</v>
      </c>
      <c r="U173" s="2">
        <v>0.68899999999999995</v>
      </c>
      <c r="V173" s="2">
        <v>0.434</v>
      </c>
      <c r="W173" s="2">
        <v>0</v>
      </c>
      <c r="X173" s="2">
        <v>0</v>
      </c>
      <c r="Y173" s="2">
        <v>0</v>
      </c>
      <c r="Z173" s="2">
        <v>-0.13700000000000001</v>
      </c>
      <c r="AA173" s="2">
        <v>-0.13500000000000001</v>
      </c>
      <c r="AB173" s="2">
        <v>-0.14899999999999997</v>
      </c>
      <c r="AC173" s="2">
        <v>-0.78816047155478197</v>
      </c>
      <c r="AD173" s="2">
        <v>-0.43594300410752002</v>
      </c>
      <c r="AE173" s="4">
        <v>-0.79800000000000004</v>
      </c>
      <c r="AF173" s="1">
        <v>-0.16367980884109917</v>
      </c>
      <c r="AG173" s="1">
        <v>-0.16383495145631069</v>
      </c>
      <c r="AH173" s="1">
        <v>-0.25557461406518006</v>
      </c>
      <c r="AI173" s="1">
        <v>-1</v>
      </c>
      <c r="AJ173" s="1">
        <v>-1</v>
      </c>
      <c r="AK173" s="5">
        <v>-1</v>
      </c>
      <c r="AL173" s="2">
        <v>0.51100000000000001</v>
      </c>
      <c r="AM173" s="2">
        <v>0.46899999999999997</v>
      </c>
      <c r="AN173" s="2">
        <v>0.19800000000000001</v>
      </c>
      <c r="AO173" s="2">
        <v>0</v>
      </c>
      <c r="AP173" s="2">
        <v>0</v>
      </c>
      <c r="AQ173" s="4">
        <v>0</v>
      </c>
      <c r="AR173" s="2">
        <v>0.45100000000000001</v>
      </c>
      <c r="AS173" s="2">
        <v>0.432</v>
      </c>
      <c r="AT173" s="2">
        <v>0.19400000000000001</v>
      </c>
      <c r="AU173" s="2">
        <v>0</v>
      </c>
      <c r="AV173" s="2">
        <v>0</v>
      </c>
      <c r="AW173" s="4">
        <v>0</v>
      </c>
      <c r="AX173" s="1">
        <v>7.5166666666666675</v>
      </c>
      <c r="AY173" s="1">
        <v>11.675675675675675</v>
      </c>
      <c r="AZ173" s="1">
        <v>48.5</v>
      </c>
      <c r="BA173" s="1" t="e">
        <v>#DIV/0!</v>
      </c>
      <c r="BB173" s="1" t="e">
        <v>#DIV/0!</v>
      </c>
      <c r="BC173" s="5" t="e">
        <v>#DIV/0!</v>
      </c>
      <c r="BD173" s="3">
        <f>$BH$1*F173+$BH$2*X173</f>
        <v>0</v>
      </c>
      <c r="BE173" s="3">
        <f>$BH$1*M173+$BH$2*AE173</f>
        <v>-0.42600000000000005</v>
      </c>
    </row>
    <row r="174" spans="1:57">
      <c r="A174" t="s">
        <v>38</v>
      </c>
      <c r="B174" s="2">
        <v>0.23100000000000001</v>
      </c>
      <c r="C174" s="2">
        <v>0.14299999999999999</v>
      </c>
      <c r="D174" s="2">
        <v>0.04</v>
      </c>
      <c r="E174" s="2">
        <v>0</v>
      </c>
      <c r="F174" s="2">
        <v>0</v>
      </c>
      <c r="G174" s="2">
        <v>0</v>
      </c>
      <c r="H174" s="2">
        <v>-0.23999999999999996</v>
      </c>
      <c r="I174" s="2">
        <v>-0.23600000000000002</v>
      </c>
      <c r="J174" s="2">
        <v>-0.16200000000000001</v>
      </c>
      <c r="K174" s="2">
        <v>-7.1185883783579498E-2</v>
      </c>
      <c r="L174" s="2">
        <v>-1.51306484795731E-2</v>
      </c>
      <c r="M174" s="4">
        <v>-0.17799999999999999</v>
      </c>
      <c r="N174" s="1">
        <v>-0.50955414012738853</v>
      </c>
      <c r="O174" s="1">
        <v>-0.62269129287598945</v>
      </c>
      <c r="P174" s="1">
        <v>-0.80198019801980192</v>
      </c>
      <c r="Q174" s="1">
        <v>-1</v>
      </c>
      <c r="R174" s="1">
        <v>-1</v>
      </c>
      <c r="S174" s="5">
        <v>-1</v>
      </c>
      <c r="T174" s="2">
        <v>0.378</v>
      </c>
      <c r="U174" s="2">
        <v>0.31900000000000001</v>
      </c>
      <c r="V174" s="2">
        <v>0.13200000000000001</v>
      </c>
      <c r="W174" s="2">
        <v>0</v>
      </c>
      <c r="X174" s="2">
        <v>0</v>
      </c>
      <c r="Y174" s="2">
        <v>0</v>
      </c>
      <c r="Z174" s="2">
        <v>-0.45899999999999996</v>
      </c>
      <c r="AA174" s="2">
        <v>-0.50499999999999989</v>
      </c>
      <c r="AB174" s="2">
        <v>-0.45099999999999996</v>
      </c>
      <c r="AC174" s="2">
        <v>-0.78816047155478197</v>
      </c>
      <c r="AD174" s="2">
        <v>-0.43594300410752002</v>
      </c>
      <c r="AE174" s="4">
        <v>-0.79800000000000004</v>
      </c>
      <c r="AF174" s="1">
        <v>-0.54838709677419351</v>
      </c>
      <c r="AG174" s="1">
        <v>-0.61286407766990281</v>
      </c>
      <c r="AH174" s="1">
        <v>-0.7735849056603773</v>
      </c>
      <c r="AI174" s="1">
        <v>-1</v>
      </c>
      <c r="AJ174" s="1">
        <v>-1</v>
      </c>
      <c r="AK174" s="5">
        <v>-1</v>
      </c>
      <c r="AL174" s="2">
        <v>0.74299999999999999</v>
      </c>
      <c r="AM174" s="2">
        <v>0.79100000000000004</v>
      </c>
      <c r="AN174" s="2">
        <v>0.35699999999999998</v>
      </c>
      <c r="AO174" s="2">
        <v>0</v>
      </c>
      <c r="AP174" s="2">
        <v>0</v>
      </c>
      <c r="AQ174" s="4">
        <v>0</v>
      </c>
      <c r="AR174" s="2">
        <v>0.68300000000000005</v>
      </c>
      <c r="AS174" s="2">
        <v>0.754</v>
      </c>
      <c r="AT174" s="2">
        <v>0.35299999999999998</v>
      </c>
      <c r="AU174" s="2">
        <v>0</v>
      </c>
      <c r="AV174" s="2">
        <v>0</v>
      </c>
      <c r="AW174" s="4">
        <v>0</v>
      </c>
      <c r="AX174" s="1">
        <v>11.383333333333335</v>
      </c>
      <c r="AY174" s="1">
        <v>20.378378378378379</v>
      </c>
      <c r="AZ174" s="1">
        <v>88.25</v>
      </c>
      <c r="BA174" s="1" t="e">
        <v>#DIV/0!</v>
      </c>
      <c r="BB174" s="1" t="e">
        <v>#DIV/0!</v>
      </c>
      <c r="BC174" s="5" t="e">
        <v>#DIV/0!</v>
      </c>
      <c r="BD174" s="3">
        <f>$BH$1*F174+$BH$2*X174</f>
        <v>0</v>
      </c>
      <c r="BE174" s="3">
        <f>$BH$1*M174+$BH$2*AE174</f>
        <v>-0.42600000000000005</v>
      </c>
    </row>
    <row r="175" spans="1:57">
      <c r="A175" t="s">
        <v>40</v>
      </c>
      <c r="B175" s="2">
        <v>0.34799999999999998</v>
      </c>
      <c r="C175" s="2">
        <v>0.25600000000000001</v>
      </c>
      <c r="D175" s="2">
        <v>0.10100000000000001</v>
      </c>
      <c r="E175" s="2">
        <v>0</v>
      </c>
      <c r="F175" s="2">
        <v>0</v>
      </c>
      <c r="G175" s="2">
        <v>0</v>
      </c>
      <c r="H175" s="2">
        <v>-0.123</v>
      </c>
      <c r="I175" s="2">
        <v>-0.123</v>
      </c>
      <c r="J175" s="2">
        <v>-0.10100000000000001</v>
      </c>
      <c r="K175" s="2">
        <v>-7.1185883783579498E-2</v>
      </c>
      <c r="L175" s="2">
        <v>-1.51306484795731E-2</v>
      </c>
      <c r="M175" s="4">
        <v>-0.17799999999999999</v>
      </c>
      <c r="N175" s="1">
        <v>-0.26114649681528662</v>
      </c>
      <c r="O175" s="1">
        <v>-0.32453825857519786</v>
      </c>
      <c r="P175" s="1">
        <v>-0.5</v>
      </c>
      <c r="Q175" s="1">
        <v>-1</v>
      </c>
      <c r="R175" s="1">
        <v>-1</v>
      </c>
      <c r="S175" s="5">
        <v>-1</v>
      </c>
      <c r="T175" s="2">
        <v>0.73699999999999999</v>
      </c>
      <c r="U175" s="2">
        <v>0.72199999999999998</v>
      </c>
      <c r="V175" s="2">
        <v>0.46899999999999997</v>
      </c>
      <c r="W175" s="2">
        <v>0</v>
      </c>
      <c r="X175" s="2">
        <v>0</v>
      </c>
      <c r="Y175" s="2">
        <v>0</v>
      </c>
      <c r="Z175" s="2">
        <v>-9.9999999999999978E-2</v>
      </c>
      <c r="AA175" s="2">
        <v>-0.10199999999999998</v>
      </c>
      <c r="AB175" s="2">
        <v>-0.11399999999999999</v>
      </c>
      <c r="AC175" s="2">
        <v>-0.78816047155478197</v>
      </c>
      <c r="AD175" s="2">
        <v>-0.43594300410752002</v>
      </c>
      <c r="AE175" s="4">
        <v>-0.79800000000000004</v>
      </c>
      <c r="AF175" s="1">
        <v>-0.1194743130227001</v>
      </c>
      <c r="AG175" s="1">
        <v>-0.12378640776699028</v>
      </c>
      <c r="AH175" s="1">
        <v>-0.19554030874785591</v>
      </c>
      <c r="AI175" s="1">
        <v>-1</v>
      </c>
      <c r="AJ175" s="1">
        <v>-1</v>
      </c>
      <c r="AK175" s="5">
        <v>-1</v>
      </c>
      <c r="AL175" s="2">
        <v>0.68500000000000005</v>
      </c>
      <c r="AM175" s="2">
        <v>0.64900000000000002</v>
      </c>
      <c r="AN175" s="2">
        <v>0.26900000000000002</v>
      </c>
      <c r="AO175" s="2">
        <v>0</v>
      </c>
      <c r="AP175" s="2">
        <v>0</v>
      </c>
      <c r="AQ175" s="4">
        <v>0</v>
      </c>
      <c r="AR175" s="2">
        <v>0.625</v>
      </c>
      <c r="AS175" s="2">
        <v>0.61199999999999999</v>
      </c>
      <c r="AT175" s="2">
        <v>0.26500000000000001</v>
      </c>
      <c r="AU175" s="2">
        <v>0</v>
      </c>
      <c r="AV175" s="2">
        <v>0</v>
      </c>
      <c r="AW175" s="4">
        <v>0</v>
      </c>
      <c r="AX175" s="1">
        <v>10.416666666666668</v>
      </c>
      <c r="AY175" s="1">
        <v>16.54054054054054</v>
      </c>
      <c r="AZ175" s="1">
        <v>66.25</v>
      </c>
      <c r="BA175" s="1" t="e">
        <v>#DIV/0!</v>
      </c>
      <c r="BB175" s="1" t="e">
        <v>#DIV/0!</v>
      </c>
      <c r="BC175" s="5" t="e">
        <v>#DIV/0!</v>
      </c>
      <c r="BD175" s="3">
        <f>$BH$1*F175+$BH$2*X175</f>
        <v>0</v>
      </c>
      <c r="BE175" s="3">
        <f>$BH$1*M175+$BH$2*AE175</f>
        <v>-0.42600000000000005</v>
      </c>
    </row>
    <row r="176" spans="1:57">
      <c r="A176" t="s">
        <v>75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-0.47099999999999997</v>
      </c>
      <c r="I176" s="2">
        <v>-0.379</v>
      </c>
      <c r="J176" s="2">
        <v>-0.20200000000000001</v>
      </c>
      <c r="K176" s="2">
        <v>-7.1185883783579498E-2</v>
      </c>
      <c r="L176" s="2">
        <v>-1.51306484795731E-2</v>
      </c>
      <c r="M176" s="4">
        <v>-0.17799999999999999</v>
      </c>
      <c r="N176" s="1">
        <v>-1</v>
      </c>
      <c r="O176" s="1">
        <v>-1</v>
      </c>
      <c r="P176" s="1">
        <v>-1</v>
      </c>
      <c r="Q176" s="1">
        <v>-1</v>
      </c>
      <c r="R176" s="1">
        <v>-1</v>
      </c>
      <c r="S176" s="5">
        <v>-1</v>
      </c>
      <c r="T176" s="2">
        <v>0.10299999999999999</v>
      </c>
      <c r="U176" s="2">
        <v>2.8000000000000001E-2</v>
      </c>
      <c r="V176" s="2">
        <v>6.0000000000000001E-3</v>
      </c>
      <c r="W176" s="2">
        <v>0</v>
      </c>
      <c r="X176" s="2">
        <v>0</v>
      </c>
      <c r="Y176" s="2">
        <v>0</v>
      </c>
      <c r="Z176" s="2">
        <v>-0.73399999999999999</v>
      </c>
      <c r="AA176" s="2">
        <v>-0.79599999999999993</v>
      </c>
      <c r="AB176" s="2">
        <v>-0.57699999999999996</v>
      </c>
      <c r="AC176" s="2">
        <v>-0.78816047155478197</v>
      </c>
      <c r="AD176" s="2">
        <v>-0.43594300410752002</v>
      </c>
      <c r="AE176" s="4">
        <v>-0.79800000000000004</v>
      </c>
      <c r="AF176" s="1">
        <v>-0.8769414575866189</v>
      </c>
      <c r="AG176" s="1">
        <v>-0.96601941747572817</v>
      </c>
      <c r="AH176" s="1">
        <v>-0.98970840480274447</v>
      </c>
      <c r="AI176" s="1">
        <v>-1</v>
      </c>
      <c r="AJ176" s="1">
        <v>-1</v>
      </c>
      <c r="AK176" s="5">
        <v>-1</v>
      </c>
      <c r="AL176" s="2">
        <v>0.33200000000000002</v>
      </c>
      <c r="AM176" s="2">
        <v>0.26100000000000001</v>
      </c>
      <c r="AN176" s="2">
        <v>7.6999999999999999E-2</v>
      </c>
      <c r="AO176" s="2">
        <v>0</v>
      </c>
      <c r="AP176" s="2">
        <v>0</v>
      </c>
      <c r="AQ176" s="4">
        <v>0</v>
      </c>
      <c r="AR176" s="2">
        <v>0.27200000000000002</v>
      </c>
      <c r="AS176" s="2">
        <v>0.224</v>
      </c>
      <c r="AT176" s="2">
        <v>7.2999999999999995E-2</v>
      </c>
      <c r="AU176" s="2">
        <v>0</v>
      </c>
      <c r="AV176" s="2">
        <v>0</v>
      </c>
      <c r="AW176" s="4">
        <v>0</v>
      </c>
      <c r="AX176" s="1">
        <v>4.5333333333333341</v>
      </c>
      <c r="AY176" s="1">
        <v>6.0540540540540544</v>
      </c>
      <c r="AZ176" s="1">
        <v>18.25</v>
      </c>
      <c r="BA176" s="1" t="e">
        <v>#DIV/0!</v>
      </c>
      <c r="BB176" s="1" t="e">
        <v>#DIV/0!</v>
      </c>
      <c r="BC176" s="5" t="e">
        <v>#DIV/0!</v>
      </c>
      <c r="BD176" s="3">
        <f>$BH$1*F176+$BH$2*X176</f>
        <v>0</v>
      </c>
      <c r="BE176" s="3">
        <f>$BH$1*M176+$BH$2*AE176</f>
        <v>-0.42600000000000005</v>
      </c>
    </row>
    <row r="177" spans="1:57">
      <c r="A177" t="s">
        <v>74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-0.47099999999999997</v>
      </c>
      <c r="I177" s="2">
        <v>-0.379</v>
      </c>
      <c r="J177" s="2">
        <v>-0.20200000000000001</v>
      </c>
      <c r="K177" s="2">
        <v>-7.1185883783579498E-2</v>
      </c>
      <c r="L177" s="2">
        <v>-1.51306484795731E-2</v>
      </c>
      <c r="M177" s="4">
        <v>-0.17799999999999999</v>
      </c>
      <c r="N177" s="1">
        <v>-1</v>
      </c>
      <c r="O177" s="1">
        <v>-1</v>
      </c>
      <c r="P177" s="1">
        <v>-1</v>
      </c>
      <c r="Q177" s="1">
        <v>-1</v>
      </c>
      <c r="R177" s="1">
        <v>-1</v>
      </c>
      <c r="S177" s="5">
        <v>-1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-0.83699999999999997</v>
      </c>
      <c r="AA177" s="2">
        <v>-0.82399999999999995</v>
      </c>
      <c r="AB177" s="2">
        <v>-0.58299999999999996</v>
      </c>
      <c r="AC177" s="2">
        <v>-0.78816047155478197</v>
      </c>
      <c r="AD177" s="2">
        <v>-0.43594300410752002</v>
      </c>
      <c r="AE177" s="4">
        <v>-0.79800000000000004</v>
      </c>
      <c r="AF177" s="1">
        <v>-1</v>
      </c>
      <c r="AG177" s="1">
        <v>-1</v>
      </c>
      <c r="AH177" s="1">
        <v>-1</v>
      </c>
      <c r="AI177" s="1">
        <v>-1</v>
      </c>
      <c r="AJ177" s="1">
        <v>-1</v>
      </c>
      <c r="AK177" s="5">
        <v>-1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4">
        <v>0</v>
      </c>
      <c r="AR177" s="2">
        <v>-0.06</v>
      </c>
      <c r="AS177" s="2">
        <v>-3.6999999999999998E-2</v>
      </c>
      <c r="AT177" s="2">
        <v>-4.0000000000000001E-3</v>
      </c>
      <c r="AU177" s="2">
        <v>0</v>
      </c>
      <c r="AV177" s="2">
        <v>0</v>
      </c>
      <c r="AW177" s="4">
        <v>0</v>
      </c>
      <c r="AX177" s="1">
        <v>-1</v>
      </c>
      <c r="AY177" s="1">
        <v>-1</v>
      </c>
      <c r="AZ177" s="1">
        <v>-1</v>
      </c>
      <c r="BA177" s="1" t="e">
        <v>#DIV/0!</v>
      </c>
      <c r="BB177" s="1" t="e">
        <v>#DIV/0!</v>
      </c>
      <c r="BC177" s="5" t="e">
        <v>#DIV/0!</v>
      </c>
      <c r="BD177" s="3">
        <f>$BH$1*F177+$BH$2*X177</f>
        <v>0</v>
      </c>
      <c r="BE177" s="3">
        <f>$BH$1*M177+$BH$2*AE177</f>
        <v>-0.42600000000000005</v>
      </c>
    </row>
    <row r="178" spans="1:57">
      <c r="A178" t="s">
        <v>79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-0.47099999999999997</v>
      </c>
      <c r="I178" s="2">
        <v>-0.379</v>
      </c>
      <c r="J178" s="2">
        <v>-0.20200000000000001</v>
      </c>
      <c r="K178" s="2">
        <v>-7.1185883783579498E-2</v>
      </c>
      <c r="L178" s="2">
        <v>-1.51306484795731E-2</v>
      </c>
      <c r="M178" s="4">
        <v>-0.17799999999999999</v>
      </c>
      <c r="N178" s="1">
        <v>-1</v>
      </c>
      <c r="O178" s="1">
        <v>-1</v>
      </c>
      <c r="P178" s="1">
        <v>-1</v>
      </c>
      <c r="Q178" s="1">
        <v>-1</v>
      </c>
      <c r="R178" s="1">
        <v>-1</v>
      </c>
      <c r="S178" s="5">
        <v>-1</v>
      </c>
      <c r="T178" s="2">
        <v>0.10299999999999999</v>
      </c>
      <c r="U178" s="2">
        <v>2.8000000000000001E-2</v>
      </c>
      <c r="V178" s="2">
        <v>6.0000000000000001E-3</v>
      </c>
      <c r="W178" s="2">
        <v>0</v>
      </c>
      <c r="X178" s="2">
        <v>0</v>
      </c>
      <c r="Y178" s="2">
        <v>0</v>
      </c>
      <c r="Z178" s="2">
        <v>-0.73399999999999999</v>
      </c>
      <c r="AA178" s="2">
        <v>-0.79599999999999993</v>
      </c>
      <c r="AB178" s="2">
        <v>-0.57699999999999996</v>
      </c>
      <c r="AC178" s="2">
        <v>-0.78816047155478197</v>
      </c>
      <c r="AD178" s="2">
        <v>-0.43594300410752002</v>
      </c>
      <c r="AE178" s="4">
        <v>-0.79800000000000004</v>
      </c>
      <c r="AF178" s="1">
        <v>-0.8769414575866189</v>
      </c>
      <c r="AG178" s="1">
        <v>-0.96601941747572817</v>
      </c>
      <c r="AH178" s="1">
        <v>-0.98970840480274447</v>
      </c>
      <c r="AI178" s="1">
        <v>-1</v>
      </c>
      <c r="AJ178" s="1">
        <v>-1</v>
      </c>
      <c r="AK178" s="5">
        <v>-1</v>
      </c>
      <c r="AL178" s="2">
        <v>0.33200000000000002</v>
      </c>
      <c r="AM178" s="2">
        <v>0.26100000000000001</v>
      </c>
      <c r="AN178" s="2">
        <v>7.6999999999999999E-2</v>
      </c>
      <c r="AO178" s="2">
        <v>0</v>
      </c>
      <c r="AP178" s="2">
        <v>0</v>
      </c>
      <c r="AQ178" s="4">
        <v>0</v>
      </c>
      <c r="AR178" s="2">
        <v>0.27200000000000002</v>
      </c>
      <c r="AS178" s="2">
        <v>0.224</v>
      </c>
      <c r="AT178" s="2">
        <v>7.2999999999999995E-2</v>
      </c>
      <c r="AU178" s="2">
        <v>0</v>
      </c>
      <c r="AV178" s="2">
        <v>0</v>
      </c>
      <c r="AW178" s="4">
        <v>0</v>
      </c>
      <c r="AX178" s="1">
        <v>4.5333333333333341</v>
      </c>
      <c r="AY178" s="1">
        <v>6.0540540540540544</v>
      </c>
      <c r="AZ178" s="1">
        <v>18.25</v>
      </c>
      <c r="BA178" s="1" t="e">
        <v>#DIV/0!</v>
      </c>
      <c r="BB178" s="1" t="e">
        <v>#DIV/0!</v>
      </c>
      <c r="BC178" s="5" t="e">
        <v>#DIV/0!</v>
      </c>
      <c r="BD178" s="3">
        <f>$BH$1*F178+$BH$2*X178</f>
        <v>0</v>
      </c>
      <c r="BE178" s="3">
        <f>$BH$1*M178+$BH$2*AE178</f>
        <v>-0.42600000000000005</v>
      </c>
    </row>
    <row r="179" spans="1:57">
      <c r="A179" t="s">
        <v>78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-0.47099999999999997</v>
      </c>
      <c r="I179" s="2">
        <v>-0.379</v>
      </c>
      <c r="J179" s="2">
        <v>-0.20200000000000001</v>
      </c>
      <c r="K179" s="2">
        <v>-7.1185883783579498E-2</v>
      </c>
      <c r="L179" s="2">
        <v>-1.51306484795731E-2</v>
      </c>
      <c r="M179" s="4">
        <v>-0.17799999999999999</v>
      </c>
      <c r="N179" s="1">
        <v>-1</v>
      </c>
      <c r="O179" s="1">
        <v>-1</v>
      </c>
      <c r="P179" s="1">
        <v>-1</v>
      </c>
      <c r="Q179" s="1">
        <v>-1</v>
      </c>
      <c r="R179" s="1">
        <v>-1</v>
      </c>
      <c r="S179" s="5">
        <v>-1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-0.83699999999999997</v>
      </c>
      <c r="AA179" s="2">
        <v>-0.82399999999999995</v>
      </c>
      <c r="AB179" s="2">
        <v>-0.58299999999999996</v>
      </c>
      <c r="AC179" s="2">
        <v>-0.78816047155478197</v>
      </c>
      <c r="AD179" s="2">
        <v>-0.43594300410752002</v>
      </c>
      <c r="AE179" s="4">
        <v>-0.79800000000000004</v>
      </c>
      <c r="AF179" s="1">
        <v>-1</v>
      </c>
      <c r="AG179" s="1">
        <v>-1</v>
      </c>
      <c r="AH179" s="1">
        <v>-1</v>
      </c>
      <c r="AI179" s="1">
        <v>-1</v>
      </c>
      <c r="AJ179" s="1">
        <v>-1</v>
      </c>
      <c r="AK179" s="5">
        <v>-1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4">
        <v>0</v>
      </c>
      <c r="AR179" s="2">
        <v>-0.06</v>
      </c>
      <c r="AS179" s="2">
        <v>-3.6999999999999998E-2</v>
      </c>
      <c r="AT179" s="2">
        <v>-4.0000000000000001E-3</v>
      </c>
      <c r="AU179" s="2">
        <v>0</v>
      </c>
      <c r="AV179" s="2">
        <v>0</v>
      </c>
      <c r="AW179" s="4">
        <v>0</v>
      </c>
      <c r="AX179" s="1">
        <v>-1</v>
      </c>
      <c r="AY179" s="1">
        <v>-1</v>
      </c>
      <c r="AZ179" s="1">
        <v>-1</v>
      </c>
      <c r="BA179" s="1" t="e">
        <v>#DIV/0!</v>
      </c>
      <c r="BB179" s="1" t="e">
        <v>#DIV/0!</v>
      </c>
      <c r="BC179" s="5" t="e">
        <v>#DIV/0!</v>
      </c>
      <c r="BD179" s="3">
        <f>$BH$1*F179+$BH$2*X179</f>
        <v>0</v>
      </c>
      <c r="BE179" s="3">
        <f>$BH$1*M179+$BH$2*AE179</f>
        <v>-0.42600000000000005</v>
      </c>
    </row>
    <row r="180" spans="1:57">
      <c r="A180" t="s">
        <v>83</v>
      </c>
      <c r="B180" s="2">
        <v>3.0000000000000001E-3</v>
      </c>
      <c r="C180" s="2">
        <v>7.0000000000000001E-3</v>
      </c>
      <c r="D180" s="2">
        <v>1E-3</v>
      </c>
      <c r="E180" s="2">
        <v>0</v>
      </c>
      <c r="F180" s="2">
        <v>0</v>
      </c>
      <c r="G180" s="2">
        <v>0</v>
      </c>
      <c r="H180" s="2">
        <v>-0.46799999999999997</v>
      </c>
      <c r="I180" s="2">
        <v>-0.372</v>
      </c>
      <c r="J180" s="2">
        <v>-0.20100000000000001</v>
      </c>
      <c r="K180" s="2">
        <v>-7.1185883783579498E-2</v>
      </c>
      <c r="L180" s="2">
        <v>-1.51306484795731E-2</v>
      </c>
      <c r="M180" s="4">
        <v>-0.17799999999999999</v>
      </c>
      <c r="N180" s="1">
        <v>-0.99363057324840764</v>
      </c>
      <c r="O180" s="1">
        <v>-0.98153034300791553</v>
      </c>
      <c r="P180" s="1">
        <v>-0.99504950495049505</v>
      </c>
      <c r="Q180" s="1">
        <v>-1</v>
      </c>
      <c r="R180" s="1">
        <v>-1</v>
      </c>
      <c r="S180" s="5">
        <v>-1</v>
      </c>
      <c r="T180" s="2">
        <v>5.0000000000000001E-3</v>
      </c>
      <c r="U180" s="2">
        <v>2E-3</v>
      </c>
      <c r="V180" s="2">
        <v>1E-3</v>
      </c>
      <c r="W180" s="2">
        <v>0</v>
      </c>
      <c r="X180" s="2">
        <v>0</v>
      </c>
      <c r="Y180" s="2">
        <v>0</v>
      </c>
      <c r="Z180" s="2">
        <v>-0.83199999999999996</v>
      </c>
      <c r="AA180" s="2">
        <v>-0.82199999999999995</v>
      </c>
      <c r="AB180" s="2">
        <v>-0.58199999999999996</v>
      </c>
      <c r="AC180" s="2">
        <v>-0.78816047155478197</v>
      </c>
      <c r="AD180" s="2">
        <v>-0.43594300410752002</v>
      </c>
      <c r="AE180" s="4">
        <v>-0.79800000000000004</v>
      </c>
      <c r="AF180" s="1">
        <v>-0.99402628434886497</v>
      </c>
      <c r="AG180" s="1">
        <v>-0.99757281553398058</v>
      </c>
      <c r="AH180" s="1">
        <v>-0.99828473413379071</v>
      </c>
      <c r="AI180" s="1">
        <v>-1</v>
      </c>
      <c r="AJ180" s="1">
        <v>-1</v>
      </c>
      <c r="AK180" s="5">
        <v>-1</v>
      </c>
      <c r="AL180" s="2">
        <v>4.0000000000000001E-3</v>
      </c>
      <c r="AM180" s="2">
        <v>2.5000000000000001E-2</v>
      </c>
      <c r="AN180" s="2">
        <v>7.0000000000000001E-3</v>
      </c>
      <c r="AO180" s="2">
        <v>0</v>
      </c>
      <c r="AP180" s="2">
        <v>0</v>
      </c>
      <c r="AQ180" s="4">
        <v>0</v>
      </c>
      <c r="AR180" s="2">
        <v>-5.5999999999999994E-2</v>
      </c>
      <c r="AS180" s="2">
        <v>-1.1999999999999997E-2</v>
      </c>
      <c r="AT180" s="2">
        <v>3.0000000000000001E-3</v>
      </c>
      <c r="AU180" s="2">
        <v>0</v>
      </c>
      <c r="AV180" s="2">
        <v>0</v>
      </c>
      <c r="AW180" s="4">
        <v>0</v>
      </c>
      <c r="AX180" s="1">
        <v>-0.93333333333333324</v>
      </c>
      <c r="AY180" s="1">
        <v>-0.32432432432432423</v>
      </c>
      <c r="AZ180" s="1">
        <v>0.75</v>
      </c>
      <c r="BA180" s="1" t="e">
        <v>#DIV/0!</v>
      </c>
      <c r="BB180" s="1" t="e">
        <v>#DIV/0!</v>
      </c>
      <c r="BC180" s="5" t="e">
        <v>#DIV/0!</v>
      </c>
      <c r="BD180" s="3">
        <f>$BH$1*F180+$BH$2*X180</f>
        <v>0</v>
      </c>
      <c r="BE180" s="3">
        <f>$BH$1*M180+$BH$2*AE180</f>
        <v>-0.42600000000000005</v>
      </c>
    </row>
    <row r="181" spans="1:57">
      <c r="A181" t="s">
        <v>82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-0.47099999999999997</v>
      </c>
      <c r="I181" s="2">
        <v>-0.379</v>
      </c>
      <c r="J181" s="2">
        <v>-0.20200000000000001</v>
      </c>
      <c r="K181" s="2">
        <v>-7.1185883783579498E-2</v>
      </c>
      <c r="L181" s="2">
        <v>-1.51306484795731E-2</v>
      </c>
      <c r="M181" s="4">
        <v>-0.17799999999999999</v>
      </c>
      <c r="N181" s="1">
        <v>-1</v>
      </c>
      <c r="O181" s="1">
        <v>-1</v>
      </c>
      <c r="P181" s="1">
        <v>-1</v>
      </c>
      <c r="Q181" s="1">
        <v>-1</v>
      </c>
      <c r="R181" s="1">
        <v>-1</v>
      </c>
      <c r="S181" s="5">
        <v>-1</v>
      </c>
      <c r="T181" s="2">
        <v>3.0000000000000001E-3</v>
      </c>
      <c r="U181" s="2">
        <v>1E-3</v>
      </c>
      <c r="V181" s="2">
        <v>0</v>
      </c>
      <c r="W181" s="2">
        <v>0</v>
      </c>
      <c r="X181" s="2">
        <v>0</v>
      </c>
      <c r="Y181" s="2">
        <v>0</v>
      </c>
      <c r="Z181" s="2">
        <v>-0.83399999999999996</v>
      </c>
      <c r="AA181" s="2">
        <v>-0.82299999999999995</v>
      </c>
      <c r="AB181" s="2">
        <v>-0.58299999999999996</v>
      </c>
      <c r="AC181" s="2">
        <v>-0.78816047155478197</v>
      </c>
      <c r="AD181" s="2">
        <v>-0.43594300410752002</v>
      </c>
      <c r="AE181" s="4">
        <v>-0.79800000000000004</v>
      </c>
      <c r="AF181" s="1">
        <v>-0.99641577060931896</v>
      </c>
      <c r="AG181" s="1">
        <v>-0.99878640776699024</v>
      </c>
      <c r="AH181" s="1">
        <v>-1</v>
      </c>
      <c r="AI181" s="1">
        <v>-1</v>
      </c>
      <c r="AJ181" s="1">
        <v>-1</v>
      </c>
      <c r="AK181" s="5">
        <v>-1</v>
      </c>
      <c r="AL181" s="2">
        <v>2E-3</v>
      </c>
      <c r="AM181" s="2">
        <v>1E-3</v>
      </c>
      <c r="AN181" s="2">
        <v>0</v>
      </c>
      <c r="AO181" s="2">
        <v>0</v>
      </c>
      <c r="AP181" s="2">
        <v>0</v>
      </c>
      <c r="AQ181" s="4">
        <v>0</v>
      </c>
      <c r="AR181" s="2">
        <v>-5.7999999999999996E-2</v>
      </c>
      <c r="AS181" s="2">
        <v>-3.5999999999999997E-2</v>
      </c>
      <c r="AT181" s="2">
        <v>-4.0000000000000001E-3</v>
      </c>
      <c r="AU181" s="2">
        <v>0</v>
      </c>
      <c r="AV181" s="2">
        <v>0</v>
      </c>
      <c r="AW181" s="4">
        <v>0</v>
      </c>
      <c r="AX181" s="1">
        <v>-0.96666666666666667</v>
      </c>
      <c r="AY181" s="1">
        <v>-0.97297297297297292</v>
      </c>
      <c r="AZ181" s="1">
        <v>-1</v>
      </c>
      <c r="BA181" s="1" t="e">
        <v>#DIV/0!</v>
      </c>
      <c r="BB181" s="1" t="e">
        <v>#DIV/0!</v>
      </c>
      <c r="BC181" s="5" t="e">
        <v>#DIV/0!</v>
      </c>
      <c r="BD181" s="3">
        <f>$BH$1*F181+$BH$2*X181</f>
        <v>0</v>
      </c>
      <c r="BE181" s="3">
        <f>$BH$1*M181+$BH$2*AE181</f>
        <v>-0.42600000000000005</v>
      </c>
    </row>
    <row r="182" spans="1:57">
      <c r="A182" t="s">
        <v>87</v>
      </c>
      <c r="B182" s="2">
        <v>3.0000000000000001E-3</v>
      </c>
      <c r="C182" s="2">
        <v>7.0000000000000001E-3</v>
      </c>
      <c r="D182" s="2">
        <v>1E-3</v>
      </c>
      <c r="E182" s="2">
        <v>0</v>
      </c>
      <c r="F182" s="2">
        <v>0</v>
      </c>
      <c r="G182" s="2">
        <v>0</v>
      </c>
      <c r="H182" s="2">
        <v>-0.46799999999999997</v>
      </c>
      <c r="I182" s="2">
        <v>-0.372</v>
      </c>
      <c r="J182" s="2">
        <v>-0.20100000000000001</v>
      </c>
      <c r="K182" s="2">
        <v>-7.1185883783579498E-2</v>
      </c>
      <c r="L182" s="2">
        <v>-1.51306484795731E-2</v>
      </c>
      <c r="M182" s="4">
        <v>-0.17799999999999999</v>
      </c>
      <c r="N182" s="1">
        <v>-0.99363057324840764</v>
      </c>
      <c r="O182" s="1">
        <v>-0.98153034300791553</v>
      </c>
      <c r="P182" s="1">
        <v>-0.99504950495049505</v>
      </c>
      <c r="Q182" s="1">
        <v>-1</v>
      </c>
      <c r="R182" s="1">
        <v>-1</v>
      </c>
      <c r="S182" s="5">
        <v>-1</v>
      </c>
      <c r="T182" s="2">
        <v>5.0000000000000001E-3</v>
      </c>
      <c r="U182" s="2">
        <v>2E-3</v>
      </c>
      <c r="V182" s="2">
        <v>1E-3</v>
      </c>
      <c r="W182" s="2">
        <v>0</v>
      </c>
      <c r="X182" s="2">
        <v>0</v>
      </c>
      <c r="Y182" s="2">
        <v>0</v>
      </c>
      <c r="Z182" s="2">
        <v>-0.83199999999999996</v>
      </c>
      <c r="AA182" s="2">
        <v>-0.82199999999999995</v>
      </c>
      <c r="AB182" s="2">
        <v>-0.58199999999999996</v>
      </c>
      <c r="AC182" s="2">
        <v>-0.78816047155478197</v>
      </c>
      <c r="AD182" s="2">
        <v>-0.43594300410752002</v>
      </c>
      <c r="AE182" s="4">
        <v>-0.79800000000000004</v>
      </c>
      <c r="AF182" s="1">
        <v>-0.99402628434886497</v>
      </c>
      <c r="AG182" s="1">
        <v>-0.99757281553398058</v>
      </c>
      <c r="AH182" s="1">
        <v>-0.99828473413379071</v>
      </c>
      <c r="AI182" s="1">
        <v>-1</v>
      </c>
      <c r="AJ182" s="1">
        <v>-1</v>
      </c>
      <c r="AK182" s="5">
        <v>-1</v>
      </c>
      <c r="AL182" s="2">
        <v>4.0000000000000001E-3</v>
      </c>
      <c r="AM182" s="2">
        <v>2.5000000000000001E-2</v>
      </c>
      <c r="AN182" s="2">
        <v>7.0000000000000001E-3</v>
      </c>
      <c r="AO182" s="2">
        <v>0</v>
      </c>
      <c r="AP182" s="2">
        <v>0</v>
      </c>
      <c r="AQ182" s="4">
        <v>0</v>
      </c>
      <c r="AR182" s="2">
        <v>-5.5999999999999994E-2</v>
      </c>
      <c r="AS182" s="2">
        <v>-1.1999999999999997E-2</v>
      </c>
      <c r="AT182" s="2">
        <v>3.0000000000000001E-3</v>
      </c>
      <c r="AU182" s="2">
        <v>0</v>
      </c>
      <c r="AV182" s="2">
        <v>0</v>
      </c>
      <c r="AW182" s="4">
        <v>0</v>
      </c>
      <c r="AX182" s="1">
        <v>-0.93333333333333324</v>
      </c>
      <c r="AY182" s="1">
        <v>-0.32432432432432423</v>
      </c>
      <c r="AZ182" s="1">
        <v>0.75</v>
      </c>
      <c r="BA182" s="1" t="e">
        <v>#DIV/0!</v>
      </c>
      <c r="BB182" s="1" t="e">
        <v>#DIV/0!</v>
      </c>
      <c r="BC182" s="5" t="e">
        <v>#DIV/0!</v>
      </c>
      <c r="BD182" s="3">
        <f>$BH$1*F182+$BH$2*X182</f>
        <v>0</v>
      </c>
      <c r="BE182" s="3">
        <f>$BH$1*M182+$BH$2*AE182</f>
        <v>-0.42600000000000005</v>
      </c>
    </row>
    <row r="183" spans="1:57">
      <c r="A183" t="s">
        <v>86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-0.47099999999999997</v>
      </c>
      <c r="I183" s="2">
        <v>-0.379</v>
      </c>
      <c r="J183" s="2">
        <v>-0.20200000000000001</v>
      </c>
      <c r="K183" s="2">
        <v>-7.1185883783579498E-2</v>
      </c>
      <c r="L183" s="2">
        <v>-1.51306484795731E-2</v>
      </c>
      <c r="M183" s="4">
        <v>-0.17799999999999999</v>
      </c>
      <c r="N183" s="1">
        <v>-1</v>
      </c>
      <c r="O183" s="1">
        <v>-1</v>
      </c>
      <c r="P183" s="1">
        <v>-1</v>
      </c>
      <c r="Q183" s="1">
        <v>-1</v>
      </c>
      <c r="R183" s="1">
        <v>-1</v>
      </c>
      <c r="S183" s="5">
        <v>-1</v>
      </c>
      <c r="T183" s="2">
        <v>3.0000000000000001E-3</v>
      </c>
      <c r="U183" s="2">
        <v>1E-3</v>
      </c>
      <c r="V183" s="2">
        <v>0</v>
      </c>
      <c r="W183" s="2">
        <v>0</v>
      </c>
      <c r="X183" s="2">
        <v>0</v>
      </c>
      <c r="Y183" s="2">
        <v>0</v>
      </c>
      <c r="Z183" s="2">
        <v>-0.83399999999999996</v>
      </c>
      <c r="AA183" s="2">
        <v>-0.82299999999999995</v>
      </c>
      <c r="AB183" s="2">
        <v>-0.58299999999999996</v>
      </c>
      <c r="AC183" s="2">
        <v>-0.78816047155478197</v>
      </c>
      <c r="AD183" s="2">
        <v>-0.43594300410752002</v>
      </c>
      <c r="AE183" s="4">
        <v>-0.79800000000000004</v>
      </c>
      <c r="AF183" s="1">
        <v>-0.99641577060931896</v>
      </c>
      <c r="AG183" s="1">
        <v>-0.99878640776699024</v>
      </c>
      <c r="AH183" s="1">
        <v>-1</v>
      </c>
      <c r="AI183" s="1">
        <v>-1</v>
      </c>
      <c r="AJ183" s="1">
        <v>-1</v>
      </c>
      <c r="AK183" s="5">
        <v>-1</v>
      </c>
      <c r="AL183" s="2">
        <v>2E-3</v>
      </c>
      <c r="AM183" s="2">
        <v>1E-3</v>
      </c>
      <c r="AN183" s="2">
        <v>0</v>
      </c>
      <c r="AO183" s="2">
        <v>0</v>
      </c>
      <c r="AP183" s="2">
        <v>0</v>
      </c>
      <c r="AQ183" s="4">
        <v>0</v>
      </c>
      <c r="AR183" s="2">
        <v>-5.7999999999999996E-2</v>
      </c>
      <c r="AS183" s="2">
        <v>-3.5999999999999997E-2</v>
      </c>
      <c r="AT183" s="2">
        <v>-4.0000000000000001E-3</v>
      </c>
      <c r="AU183" s="2">
        <v>0</v>
      </c>
      <c r="AV183" s="2">
        <v>0</v>
      </c>
      <c r="AW183" s="4">
        <v>0</v>
      </c>
      <c r="AX183" s="1">
        <v>-0.96666666666666667</v>
      </c>
      <c r="AY183" s="1">
        <v>-0.97297297297297292</v>
      </c>
      <c r="AZ183" s="1">
        <v>-1</v>
      </c>
      <c r="BA183" s="1" t="e">
        <v>#DIV/0!</v>
      </c>
      <c r="BB183" s="1" t="e">
        <v>#DIV/0!</v>
      </c>
      <c r="BC183" s="5" t="e">
        <v>#DIV/0!</v>
      </c>
      <c r="BD183" s="3">
        <f>$BH$1*F183+$BH$2*X183</f>
        <v>0</v>
      </c>
      <c r="BE183" s="3">
        <f>$BH$1*M183+$BH$2*AE183</f>
        <v>-0.42600000000000005</v>
      </c>
    </row>
    <row r="184" spans="1:57">
      <c r="A184" t="s">
        <v>91</v>
      </c>
      <c r="B184" s="2">
        <v>3.0000000000000001E-3</v>
      </c>
      <c r="C184" s="2">
        <v>7.0000000000000001E-3</v>
      </c>
      <c r="D184" s="2">
        <v>1E-3</v>
      </c>
      <c r="E184" s="2">
        <v>0</v>
      </c>
      <c r="F184" s="2">
        <v>0</v>
      </c>
      <c r="G184" s="2">
        <v>0</v>
      </c>
      <c r="H184" s="2">
        <v>-0.46799999999999997</v>
      </c>
      <c r="I184" s="2">
        <v>-0.372</v>
      </c>
      <c r="J184" s="2">
        <v>-0.20100000000000001</v>
      </c>
      <c r="K184" s="2">
        <v>-7.1185883783579498E-2</v>
      </c>
      <c r="L184" s="2">
        <v>-1.51306484795731E-2</v>
      </c>
      <c r="M184" s="4">
        <v>-0.17799999999999999</v>
      </c>
      <c r="N184" s="1">
        <v>-0.99363057324840764</v>
      </c>
      <c r="O184" s="1">
        <v>-0.98153034300791553</v>
      </c>
      <c r="P184" s="1">
        <v>-0.99504950495049505</v>
      </c>
      <c r="Q184" s="1">
        <v>-1</v>
      </c>
      <c r="R184" s="1">
        <v>-1</v>
      </c>
      <c r="S184" s="5">
        <v>-1</v>
      </c>
      <c r="T184" s="2">
        <v>5.0000000000000001E-3</v>
      </c>
      <c r="U184" s="2">
        <v>2E-3</v>
      </c>
      <c r="V184" s="2">
        <v>1E-3</v>
      </c>
      <c r="W184" s="2">
        <v>0</v>
      </c>
      <c r="X184" s="2">
        <v>0</v>
      </c>
      <c r="Y184" s="2">
        <v>0</v>
      </c>
      <c r="Z184" s="2">
        <v>-0.83199999999999996</v>
      </c>
      <c r="AA184" s="2">
        <v>-0.82199999999999995</v>
      </c>
      <c r="AB184" s="2">
        <v>-0.58199999999999996</v>
      </c>
      <c r="AC184" s="2">
        <v>-0.78816047155478197</v>
      </c>
      <c r="AD184" s="2">
        <v>-0.43594300410752002</v>
      </c>
      <c r="AE184" s="4">
        <v>-0.79800000000000004</v>
      </c>
      <c r="AF184" s="1">
        <v>-0.99402628434886497</v>
      </c>
      <c r="AG184" s="1">
        <v>-0.99757281553398058</v>
      </c>
      <c r="AH184" s="1">
        <v>-0.99828473413379071</v>
      </c>
      <c r="AI184" s="1">
        <v>-1</v>
      </c>
      <c r="AJ184" s="1">
        <v>-1</v>
      </c>
      <c r="AK184" s="5">
        <v>-1</v>
      </c>
      <c r="AL184" s="2">
        <v>4.0000000000000001E-3</v>
      </c>
      <c r="AM184" s="2">
        <v>2.5000000000000001E-2</v>
      </c>
      <c r="AN184" s="2">
        <v>7.0000000000000001E-3</v>
      </c>
      <c r="AO184" s="2">
        <v>0</v>
      </c>
      <c r="AP184" s="2">
        <v>0</v>
      </c>
      <c r="AQ184" s="4">
        <v>0</v>
      </c>
      <c r="AR184" s="2">
        <v>-5.5999999999999994E-2</v>
      </c>
      <c r="AS184" s="2">
        <v>-1.1999999999999997E-2</v>
      </c>
      <c r="AT184" s="2">
        <v>3.0000000000000001E-3</v>
      </c>
      <c r="AU184" s="2">
        <v>0</v>
      </c>
      <c r="AV184" s="2">
        <v>0</v>
      </c>
      <c r="AW184" s="4">
        <v>0</v>
      </c>
      <c r="AX184" s="1">
        <v>-0.93333333333333324</v>
      </c>
      <c r="AY184" s="1">
        <v>-0.32432432432432423</v>
      </c>
      <c r="AZ184" s="1">
        <v>0.75</v>
      </c>
      <c r="BA184" s="1" t="e">
        <v>#DIV/0!</v>
      </c>
      <c r="BB184" s="1" t="e">
        <v>#DIV/0!</v>
      </c>
      <c r="BC184" s="5" t="e">
        <v>#DIV/0!</v>
      </c>
      <c r="BD184" s="3">
        <f>$BH$1*F184+$BH$2*X184</f>
        <v>0</v>
      </c>
      <c r="BE184" s="3">
        <f>$BH$1*M184+$BH$2*AE184</f>
        <v>-0.42600000000000005</v>
      </c>
    </row>
    <row r="185" spans="1:57">
      <c r="A185" t="s">
        <v>90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-0.47099999999999997</v>
      </c>
      <c r="I185" s="2">
        <v>-0.379</v>
      </c>
      <c r="J185" s="2">
        <v>-0.20200000000000001</v>
      </c>
      <c r="K185" s="2">
        <v>-7.1185883783579498E-2</v>
      </c>
      <c r="L185" s="2">
        <v>-1.51306484795731E-2</v>
      </c>
      <c r="M185" s="4">
        <v>-0.17799999999999999</v>
      </c>
      <c r="N185" s="1">
        <v>-1</v>
      </c>
      <c r="O185" s="1">
        <v>-1</v>
      </c>
      <c r="P185" s="1">
        <v>-1</v>
      </c>
      <c r="Q185" s="1">
        <v>-1</v>
      </c>
      <c r="R185" s="1">
        <v>-1</v>
      </c>
      <c r="S185" s="5">
        <v>-1</v>
      </c>
      <c r="T185" s="2">
        <v>3.0000000000000001E-3</v>
      </c>
      <c r="U185" s="2">
        <v>1E-3</v>
      </c>
      <c r="V185" s="2">
        <v>0</v>
      </c>
      <c r="W185" s="2">
        <v>0</v>
      </c>
      <c r="X185" s="2">
        <v>0</v>
      </c>
      <c r="Y185" s="2">
        <v>0</v>
      </c>
      <c r="Z185" s="2">
        <v>-0.83399999999999996</v>
      </c>
      <c r="AA185" s="2">
        <v>-0.82299999999999995</v>
      </c>
      <c r="AB185" s="2">
        <v>-0.58299999999999996</v>
      </c>
      <c r="AC185" s="2">
        <v>-0.78816047155478197</v>
      </c>
      <c r="AD185" s="2">
        <v>-0.43594300410752002</v>
      </c>
      <c r="AE185" s="4">
        <v>-0.79800000000000004</v>
      </c>
      <c r="AF185" s="1">
        <v>-0.99641577060931896</v>
      </c>
      <c r="AG185" s="1">
        <v>-0.99878640776699024</v>
      </c>
      <c r="AH185" s="1">
        <v>-1</v>
      </c>
      <c r="AI185" s="1">
        <v>-1</v>
      </c>
      <c r="AJ185" s="1">
        <v>-1</v>
      </c>
      <c r="AK185" s="5">
        <v>-1</v>
      </c>
      <c r="AL185" s="2">
        <v>2E-3</v>
      </c>
      <c r="AM185" s="2">
        <v>1E-3</v>
      </c>
      <c r="AN185" s="2">
        <v>0</v>
      </c>
      <c r="AO185" s="2">
        <v>0</v>
      </c>
      <c r="AP185" s="2">
        <v>0</v>
      </c>
      <c r="AQ185" s="4">
        <v>0</v>
      </c>
      <c r="AR185" s="2">
        <v>-5.7999999999999996E-2</v>
      </c>
      <c r="AS185" s="2">
        <v>-3.5999999999999997E-2</v>
      </c>
      <c r="AT185" s="2">
        <v>-4.0000000000000001E-3</v>
      </c>
      <c r="AU185" s="2">
        <v>0</v>
      </c>
      <c r="AV185" s="2">
        <v>0</v>
      </c>
      <c r="AW185" s="4">
        <v>0</v>
      </c>
      <c r="AX185" s="1">
        <v>-0.96666666666666667</v>
      </c>
      <c r="AY185" s="1">
        <v>-0.97297297297297292</v>
      </c>
      <c r="AZ185" s="1">
        <v>-1</v>
      </c>
      <c r="BA185" s="1" t="e">
        <v>#DIV/0!</v>
      </c>
      <c r="BB185" s="1" t="e">
        <v>#DIV/0!</v>
      </c>
      <c r="BC185" s="5" t="e">
        <v>#DIV/0!</v>
      </c>
      <c r="BD185" s="3">
        <f>$BH$1*F185+$BH$2*X185</f>
        <v>0</v>
      </c>
      <c r="BE185" s="3">
        <f>$BH$1*M185+$BH$2*AE185</f>
        <v>-0.42600000000000005</v>
      </c>
    </row>
    <row r="186" spans="1:57">
      <c r="A186" t="s">
        <v>95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-0.47099999999999997</v>
      </c>
      <c r="I186" s="2">
        <v>-0.379</v>
      </c>
      <c r="J186" s="2">
        <v>-0.20200000000000001</v>
      </c>
      <c r="K186" s="2">
        <v>-7.1185883783579498E-2</v>
      </c>
      <c r="L186" s="2">
        <v>-1.51306484795731E-2</v>
      </c>
      <c r="M186" s="4">
        <v>-0.17799999999999999</v>
      </c>
      <c r="N186" s="1">
        <v>-1</v>
      </c>
      <c r="O186" s="1">
        <v>-1</v>
      </c>
      <c r="P186" s="1">
        <v>-1</v>
      </c>
      <c r="Q186" s="1">
        <v>-1</v>
      </c>
      <c r="R186" s="1">
        <v>-1</v>
      </c>
      <c r="S186" s="5">
        <v>-1</v>
      </c>
      <c r="T186" s="2">
        <v>6.0000000000000001E-3</v>
      </c>
      <c r="U186" s="2">
        <v>8.9999999999999993E-3</v>
      </c>
      <c r="V186" s="2">
        <v>1E-3</v>
      </c>
      <c r="W186" s="2">
        <v>0</v>
      </c>
      <c r="X186" s="2">
        <v>0</v>
      </c>
      <c r="Y186" s="2">
        <v>0</v>
      </c>
      <c r="Z186" s="2">
        <v>-0.83099999999999996</v>
      </c>
      <c r="AA186" s="2">
        <v>-0.81499999999999995</v>
      </c>
      <c r="AB186" s="2">
        <v>-0.58199999999999996</v>
      </c>
      <c r="AC186" s="2">
        <v>-0.78816047155478197</v>
      </c>
      <c r="AD186" s="2">
        <v>-0.43594300410752002</v>
      </c>
      <c r="AE186" s="4">
        <v>-0.79800000000000004</v>
      </c>
      <c r="AF186" s="1">
        <v>-0.99283154121863804</v>
      </c>
      <c r="AG186" s="1">
        <v>-0.98907766990291257</v>
      </c>
      <c r="AH186" s="1">
        <v>-0.99828473413379071</v>
      </c>
      <c r="AI186" s="1">
        <v>-1</v>
      </c>
      <c r="AJ186" s="1">
        <v>-1</v>
      </c>
      <c r="AK186" s="5">
        <v>-1</v>
      </c>
      <c r="AL186" s="2">
        <v>2E-3</v>
      </c>
      <c r="AM186" s="2">
        <v>1E-3</v>
      </c>
      <c r="AN186" s="2">
        <v>0</v>
      </c>
      <c r="AO186" s="2">
        <v>0</v>
      </c>
      <c r="AP186" s="2">
        <v>0</v>
      </c>
      <c r="AQ186" s="4">
        <v>0</v>
      </c>
      <c r="AR186" s="2">
        <v>-5.7999999999999996E-2</v>
      </c>
      <c r="AS186" s="2">
        <v>-3.5999999999999997E-2</v>
      </c>
      <c r="AT186" s="2">
        <v>-4.0000000000000001E-3</v>
      </c>
      <c r="AU186" s="2">
        <v>0</v>
      </c>
      <c r="AV186" s="2">
        <v>0</v>
      </c>
      <c r="AW186" s="4">
        <v>0</v>
      </c>
      <c r="AX186" s="1">
        <v>-0.96666666666666667</v>
      </c>
      <c r="AY186" s="1">
        <v>-0.97297297297297292</v>
      </c>
      <c r="AZ186" s="1">
        <v>-1</v>
      </c>
      <c r="BA186" s="1" t="e">
        <v>#DIV/0!</v>
      </c>
      <c r="BB186" s="1" t="e">
        <v>#DIV/0!</v>
      </c>
      <c r="BC186" s="5" t="e">
        <v>#DIV/0!</v>
      </c>
      <c r="BD186" s="3">
        <f>$BH$1*F186+$BH$2*X186</f>
        <v>0</v>
      </c>
      <c r="BE186" s="3">
        <f>$BH$1*M186+$BH$2*AE186</f>
        <v>-0.42600000000000005</v>
      </c>
    </row>
    <row r="187" spans="1:57">
      <c r="A187" t="s">
        <v>94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-0.47099999999999997</v>
      </c>
      <c r="I187" s="2">
        <v>-0.379</v>
      </c>
      <c r="J187" s="2">
        <v>-0.20200000000000001</v>
      </c>
      <c r="K187" s="2">
        <v>-7.1185883783579498E-2</v>
      </c>
      <c r="L187" s="2">
        <v>-1.51306484795731E-2</v>
      </c>
      <c r="M187" s="4">
        <v>-0.17799999999999999</v>
      </c>
      <c r="N187" s="1">
        <v>-1</v>
      </c>
      <c r="O187" s="1">
        <v>-1</v>
      </c>
      <c r="P187" s="1">
        <v>-1</v>
      </c>
      <c r="Q187" s="1">
        <v>-1</v>
      </c>
      <c r="R187" s="1">
        <v>-1</v>
      </c>
      <c r="S187" s="5">
        <v>-1</v>
      </c>
      <c r="T187" s="2">
        <v>3.0000000000000001E-3</v>
      </c>
      <c r="U187" s="2">
        <v>1E-3</v>
      </c>
      <c r="V187" s="2">
        <v>0</v>
      </c>
      <c r="W187" s="2">
        <v>0</v>
      </c>
      <c r="X187" s="2">
        <v>0</v>
      </c>
      <c r="Y187" s="2">
        <v>0</v>
      </c>
      <c r="Z187" s="2">
        <v>-0.83399999999999996</v>
      </c>
      <c r="AA187" s="2">
        <v>-0.82299999999999995</v>
      </c>
      <c r="AB187" s="2">
        <v>-0.58299999999999996</v>
      </c>
      <c r="AC187" s="2">
        <v>-0.78816047155478197</v>
      </c>
      <c r="AD187" s="2">
        <v>-0.43594300410752002</v>
      </c>
      <c r="AE187" s="4">
        <v>-0.79800000000000004</v>
      </c>
      <c r="AF187" s="1">
        <v>-0.99641577060931896</v>
      </c>
      <c r="AG187" s="1">
        <v>-0.99878640776699024</v>
      </c>
      <c r="AH187" s="1">
        <v>-1</v>
      </c>
      <c r="AI187" s="1">
        <v>-1</v>
      </c>
      <c r="AJ187" s="1">
        <v>-1</v>
      </c>
      <c r="AK187" s="5">
        <v>-1</v>
      </c>
      <c r="AL187" s="2">
        <v>2E-3</v>
      </c>
      <c r="AM187" s="2">
        <v>1E-3</v>
      </c>
      <c r="AN187" s="2">
        <v>0</v>
      </c>
      <c r="AO187" s="2">
        <v>0</v>
      </c>
      <c r="AP187" s="2">
        <v>0</v>
      </c>
      <c r="AQ187" s="4">
        <v>0</v>
      </c>
      <c r="AR187" s="2">
        <v>-5.7999999999999996E-2</v>
      </c>
      <c r="AS187" s="2">
        <v>-3.5999999999999997E-2</v>
      </c>
      <c r="AT187" s="2">
        <v>-4.0000000000000001E-3</v>
      </c>
      <c r="AU187" s="2">
        <v>0</v>
      </c>
      <c r="AV187" s="2">
        <v>0</v>
      </c>
      <c r="AW187" s="4">
        <v>0</v>
      </c>
      <c r="AX187" s="1">
        <v>-0.96666666666666667</v>
      </c>
      <c r="AY187" s="1">
        <v>-0.97297297297297292</v>
      </c>
      <c r="AZ187" s="1">
        <v>-1</v>
      </c>
      <c r="BA187" s="1" t="e">
        <v>#DIV/0!</v>
      </c>
      <c r="BB187" s="1" t="e">
        <v>#DIV/0!</v>
      </c>
      <c r="BC187" s="5" t="e">
        <v>#DIV/0!</v>
      </c>
      <c r="BD187" s="3">
        <f>$BH$1*F187+$BH$2*X187</f>
        <v>0</v>
      </c>
      <c r="BE187" s="3">
        <f>$BH$1*M187+$BH$2*AE187</f>
        <v>-0.42600000000000005</v>
      </c>
    </row>
    <row r="188" spans="1:57">
      <c r="A188" t="s">
        <v>99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-0.47099999999999997</v>
      </c>
      <c r="I188" s="2">
        <v>-0.379</v>
      </c>
      <c r="J188" s="2">
        <v>-0.20200000000000001</v>
      </c>
      <c r="K188" s="2">
        <v>-7.1185883783579498E-2</v>
      </c>
      <c r="L188" s="2">
        <v>-1.51306484795731E-2</v>
      </c>
      <c r="M188" s="4">
        <v>-0.17799999999999999</v>
      </c>
      <c r="N188" s="1">
        <v>-1</v>
      </c>
      <c r="O188" s="1">
        <v>-1</v>
      </c>
      <c r="P188" s="1">
        <v>-1</v>
      </c>
      <c r="Q188" s="1">
        <v>-1</v>
      </c>
      <c r="R188" s="1">
        <v>-1</v>
      </c>
      <c r="S188" s="5">
        <v>-1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-0.83699999999999997</v>
      </c>
      <c r="AA188" s="2">
        <v>-0.82399999999999995</v>
      </c>
      <c r="AB188" s="2">
        <v>-0.58299999999999996</v>
      </c>
      <c r="AC188" s="2">
        <v>-0.78816047155478197</v>
      </c>
      <c r="AD188" s="2">
        <v>-0.43594300410752002</v>
      </c>
      <c r="AE188" s="4">
        <v>-0.79800000000000004</v>
      </c>
      <c r="AF188" s="1">
        <v>-1</v>
      </c>
      <c r="AG188" s="1">
        <v>-1</v>
      </c>
      <c r="AH188" s="1">
        <v>-1</v>
      </c>
      <c r="AI188" s="1">
        <v>-1</v>
      </c>
      <c r="AJ188" s="1">
        <v>-1</v>
      </c>
      <c r="AK188" s="5">
        <v>-1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4">
        <v>0</v>
      </c>
      <c r="AR188" s="2">
        <v>-0.06</v>
      </c>
      <c r="AS188" s="2">
        <v>-3.6999999999999998E-2</v>
      </c>
      <c r="AT188" s="2">
        <v>-4.0000000000000001E-3</v>
      </c>
      <c r="AU188" s="2">
        <v>0</v>
      </c>
      <c r="AV188" s="2">
        <v>0</v>
      </c>
      <c r="AW188" s="4">
        <v>0</v>
      </c>
      <c r="AX188" s="1">
        <v>-1</v>
      </c>
      <c r="AY188" s="1">
        <v>-1</v>
      </c>
      <c r="AZ188" s="1">
        <v>-1</v>
      </c>
      <c r="BA188" s="1" t="e">
        <v>#DIV/0!</v>
      </c>
      <c r="BB188" s="1" t="e">
        <v>#DIV/0!</v>
      </c>
      <c r="BC188" s="5" t="e">
        <v>#DIV/0!</v>
      </c>
      <c r="BD188" s="3">
        <f>$BH$1*F188+$BH$2*X188</f>
        <v>0</v>
      </c>
      <c r="BE188" s="3">
        <f>$BH$1*M188+$BH$2*AE188</f>
        <v>-0.42600000000000005</v>
      </c>
    </row>
    <row r="189" spans="1:57">
      <c r="A189" t="s">
        <v>98</v>
      </c>
      <c r="B189" s="2">
        <v>3.0000000000000001E-3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-0.46799999999999997</v>
      </c>
      <c r="I189" s="2">
        <v>-0.379</v>
      </c>
      <c r="J189" s="2">
        <v>-0.20200000000000001</v>
      </c>
      <c r="K189" s="2">
        <v>-7.1185883783579498E-2</v>
      </c>
      <c r="L189" s="2">
        <v>-1.51306484795731E-2</v>
      </c>
      <c r="M189" s="4">
        <v>-0.17799999999999999</v>
      </c>
      <c r="N189" s="1">
        <v>-0.99363057324840764</v>
      </c>
      <c r="O189" s="1">
        <v>-1</v>
      </c>
      <c r="P189" s="1">
        <v>-1</v>
      </c>
      <c r="Q189" s="1">
        <v>-1</v>
      </c>
      <c r="R189" s="1">
        <v>-1</v>
      </c>
      <c r="S189" s="5">
        <v>-1</v>
      </c>
      <c r="T189" s="2">
        <v>7.0000000000000001E-3</v>
      </c>
      <c r="U189" s="2">
        <v>2E-3</v>
      </c>
      <c r="V189" s="2">
        <v>0</v>
      </c>
      <c r="W189" s="2">
        <v>0</v>
      </c>
      <c r="X189" s="2">
        <v>0</v>
      </c>
      <c r="Y189" s="2">
        <v>0</v>
      </c>
      <c r="Z189" s="2">
        <v>-0.83</v>
      </c>
      <c r="AA189" s="2">
        <v>-0.82199999999999995</v>
      </c>
      <c r="AB189" s="2">
        <v>-0.58299999999999996</v>
      </c>
      <c r="AC189" s="2">
        <v>-0.78816047155478197</v>
      </c>
      <c r="AD189" s="2">
        <v>-0.43594300410752002</v>
      </c>
      <c r="AE189" s="4">
        <v>-0.79800000000000004</v>
      </c>
      <c r="AF189" s="1">
        <v>-0.99163679808841099</v>
      </c>
      <c r="AG189" s="1">
        <v>-0.99757281553398058</v>
      </c>
      <c r="AH189" s="1">
        <v>-1</v>
      </c>
      <c r="AI189" s="1">
        <v>-1</v>
      </c>
      <c r="AJ189" s="1">
        <v>-1</v>
      </c>
      <c r="AK189" s="5">
        <v>-1</v>
      </c>
      <c r="AL189" s="2">
        <v>4.0000000000000001E-3</v>
      </c>
      <c r="AM189" s="2">
        <v>2.3E-2</v>
      </c>
      <c r="AN189" s="2">
        <v>8.9999999999999993E-3</v>
      </c>
      <c r="AO189" s="2">
        <v>0</v>
      </c>
      <c r="AP189" s="2">
        <v>0</v>
      </c>
      <c r="AQ189" s="4">
        <v>0</v>
      </c>
      <c r="AR189" s="2">
        <v>-5.5999999999999994E-2</v>
      </c>
      <c r="AS189" s="2">
        <v>-1.3999999999999999E-2</v>
      </c>
      <c r="AT189" s="2">
        <v>4.9999999999999992E-3</v>
      </c>
      <c r="AU189" s="2">
        <v>0</v>
      </c>
      <c r="AV189" s="2">
        <v>0</v>
      </c>
      <c r="AW189" s="4">
        <v>0</v>
      </c>
      <c r="AX189" s="1">
        <v>-0.93333333333333324</v>
      </c>
      <c r="AY189" s="1">
        <v>-0.37837837837837834</v>
      </c>
      <c r="AZ189" s="1">
        <v>1.2499999999999998</v>
      </c>
      <c r="BA189" s="1" t="e">
        <v>#DIV/0!</v>
      </c>
      <c r="BB189" s="1" t="e">
        <v>#DIV/0!</v>
      </c>
      <c r="BC189" s="5" t="e">
        <v>#DIV/0!</v>
      </c>
      <c r="BD189" s="3">
        <f>$BH$1*F189+$BH$2*X189</f>
        <v>0</v>
      </c>
      <c r="BE189" s="3">
        <f>$BH$1*M189+$BH$2*AE189</f>
        <v>-0.42600000000000005</v>
      </c>
    </row>
    <row r="190" spans="1:57">
      <c r="A190" t="s">
        <v>103</v>
      </c>
      <c r="B190" s="2">
        <v>2E-3</v>
      </c>
      <c r="C190" s="2">
        <v>1E-3</v>
      </c>
      <c r="D190" s="2">
        <v>0</v>
      </c>
      <c r="E190" s="2">
        <v>0</v>
      </c>
      <c r="F190" s="2">
        <v>0</v>
      </c>
      <c r="G190" s="2">
        <v>0</v>
      </c>
      <c r="H190" s="2">
        <v>-0.46899999999999997</v>
      </c>
      <c r="I190" s="2">
        <v>-0.378</v>
      </c>
      <c r="J190" s="2">
        <v>-0.20200000000000001</v>
      </c>
      <c r="K190" s="2">
        <v>-7.1185883783579498E-2</v>
      </c>
      <c r="L190" s="2">
        <v>-1.51306484795731E-2</v>
      </c>
      <c r="M190" s="4">
        <v>-0.17799999999999999</v>
      </c>
      <c r="N190" s="1">
        <v>-0.99575371549893843</v>
      </c>
      <c r="O190" s="1">
        <v>-0.99736147757255933</v>
      </c>
      <c r="P190" s="1">
        <v>-1</v>
      </c>
      <c r="Q190" s="1">
        <v>-1</v>
      </c>
      <c r="R190" s="1">
        <v>-1</v>
      </c>
      <c r="S190" s="5">
        <v>-1</v>
      </c>
      <c r="T190" s="2">
        <v>8.0000000000000002E-3</v>
      </c>
      <c r="U190" s="2">
        <v>1.2E-2</v>
      </c>
      <c r="V190" s="2">
        <v>2E-3</v>
      </c>
      <c r="W190" s="2">
        <v>0</v>
      </c>
      <c r="X190" s="2">
        <v>0</v>
      </c>
      <c r="Y190" s="2">
        <v>0</v>
      </c>
      <c r="Z190" s="2">
        <v>-0.82899999999999996</v>
      </c>
      <c r="AA190" s="2">
        <v>-0.81199999999999994</v>
      </c>
      <c r="AB190" s="2">
        <v>-0.58099999999999996</v>
      </c>
      <c r="AC190" s="2">
        <v>-0.78816047155478197</v>
      </c>
      <c r="AD190" s="2">
        <v>-0.43594300410752002</v>
      </c>
      <c r="AE190" s="4">
        <v>-0.79800000000000004</v>
      </c>
      <c r="AF190" s="1">
        <v>-0.99044205495818394</v>
      </c>
      <c r="AG190" s="1">
        <v>-0.9854368932038835</v>
      </c>
      <c r="AH190" s="1">
        <v>-0.99656946826758153</v>
      </c>
      <c r="AI190" s="1">
        <v>-1</v>
      </c>
      <c r="AJ190" s="1">
        <v>-1</v>
      </c>
      <c r="AK190" s="5">
        <v>-1</v>
      </c>
      <c r="AL190" s="2">
        <v>1.0999999999999999E-2</v>
      </c>
      <c r="AM190" s="2">
        <v>8.5000000000000006E-2</v>
      </c>
      <c r="AN190" s="2">
        <v>0.02</v>
      </c>
      <c r="AO190" s="2">
        <v>0</v>
      </c>
      <c r="AP190" s="2">
        <v>0</v>
      </c>
      <c r="AQ190" s="4">
        <v>0</v>
      </c>
      <c r="AR190" s="2">
        <v>-4.9000000000000002E-2</v>
      </c>
      <c r="AS190" s="2">
        <v>4.8000000000000008E-2</v>
      </c>
      <c r="AT190" s="2">
        <v>1.6E-2</v>
      </c>
      <c r="AU190" s="2">
        <v>0</v>
      </c>
      <c r="AV190" s="2">
        <v>0</v>
      </c>
      <c r="AW190" s="4">
        <v>0</v>
      </c>
      <c r="AX190" s="1">
        <v>-0.81666666666666676</v>
      </c>
      <c r="AY190" s="1">
        <v>1.2972972972972976</v>
      </c>
      <c r="AZ190" s="1">
        <v>4</v>
      </c>
      <c r="BA190" s="1" t="e">
        <v>#DIV/0!</v>
      </c>
      <c r="BB190" s="1" t="e">
        <v>#DIV/0!</v>
      </c>
      <c r="BC190" s="5" t="e">
        <v>#DIV/0!</v>
      </c>
      <c r="BD190" s="3">
        <f>$BH$1*F190+$BH$2*X190</f>
        <v>0</v>
      </c>
      <c r="BE190" s="3">
        <f>$BH$1*M190+$BH$2*AE190</f>
        <v>-0.42600000000000005</v>
      </c>
    </row>
    <row r="191" spans="1:57">
      <c r="A191" t="s">
        <v>102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-0.47099999999999997</v>
      </c>
      <c r="I191" s="2">
        <v>-0.379</v>
      </c>
      <c r="J191" s="2">
        <v>-0.20200000000000001</v>
      </c>
      <c r="K191" s="2">
        <v>-7.1185883783579498E-2</v>
      </c>
      <c r="L191" s="2">
        <v>-1.51306484795731E-2</v>
      </c>
      <c r="M191" s="4">
        <v>-0.17799999999999999</v>
      </c>
      <c r="N191" s="1">
        <v>-1</v>
      </c>
      <c r="O191" s="1">
        <v>-1</v>
      </c>
      <c r="P191" s="1">
        <v>-1</v>
      </c>
      <c r="Q191" s="1">
        <v>-1</v>
      </c>
      <c r="R191" s="1">
        <v>-1</v>
      </c>
      <c r="S191" s="5">
        <v>-1</v>
      </c>
      <c r="T191" s="2">
        <v>6.0000000000000001E-3</v>
      </c>
      <c r="U191" s="2">
        <v>2E-3</v>
      </c>
      <c r="V191" s="2">
        <v>1E-3</v>
      </c>
      <c r="W191" s="2">
        <v>0</v>
      </c>
      <c r="X191" s="2">
        <v>0</v>
      </c>
      <c r="Y191" s="2">
        <v>0</v>
      </c>
      <c r="Z191" s="2">
        <v>-0.83099999999999996</v>
      </c>
      <c r="AA191" s="2">
        <v>-0.82199999999999995</v>
      </c>
      <c r="AB191" s="2">
        <v>-0.58199999999999996</v>
      </c>
      <c r="AC191" s="2">
        <v>-0.78816047155478197</v>
      </c>
      <c r="AD191" s="2">
        <v>-0.43594300410752002</v>
      </c>
      <c r="AE191" s="4">
        <v>-0.79800000000000004</v>
      </c>
      <c r="AF191" s="1">
        <v>-0.99283154121863804</v>
      </c>
      <c r="AG191" s="1">
        <v>-0.99757281553398058</v>
      </c>
      <c r="AH191" s="1">
        <v>-0.99828473413379071</v>
      </c>
      <c r="AI191" s="1">
        <v>-1</v>
      </c>
      <c r="AJ191" s="1">
        <v>-1</v>
      </c>
      <c r="AK191" s="5">
        <v>-1</v>
      </c>
      <c r="AL191" s="2">
        <v>4.0000000000000001E-3</v>
      </c>
      <c r="AM191" s="2">
        <v>2E-3</v>
      </c>
      <c r="AN191" s="2">
        <v>0</v>
      </c>
      <c r="AO191" s="2">
        <v>0</v>
      </c>
      <c r="AP191" s="2">
        <v>0</v>
      </c>
      <c r="AQ191" s="4">
        <v>0</v>
      </c>
      <c r="AR191" s="2">
        <v>-5.5999999999999994E-2</v>
      </c>
      <c r="AS191" s="2">
        <v>-3.4999999999999996E-2</v>
      </c>
      <c r="AT191" s="2">
        <v>-4.0000000000000001E-3</v>
      </c>
      <c r="AU191" s="2">
        <v>0</v>
      </c>
      <c r="AV191" s="2">
        <v>0</v>
      </c>
      <c r="AW191" s="4">
        <v>0</v>
      </c>
      <c r="AX191" s="1">
        <v>-0.93333333333333324</v>
      </c>
      <c r="AY191" s="1">
        <v>-0.94594594594594594</v>
      </c>
      <c r="AZ191" s="1">
        <v>-1</v>
      </c>
      <c r="BA191" s="1" t="e">
        <v>#DIV/0!</v>
      </c>
      <c r="BB191" s="1" t="e">
        <v>#DIV/0!</v>
      </c>
      <c r="BC191" s="5" t="e">
        <v>#DIV/0!</v>
      </c>
      <c r="BD191" s="3">
        <f>$BH$1*F191+$BH$2*X191</f>
        <v>0</v>
      </c>
      <c r="BE191" s="3">
        <f>$BH$1*M191+$BH$2*AE191</f>
        <v>-0.42600000000000005</v>
      </c>
    </row>
    <row r="192" spans="1:57">
      <c r="A192" t="s">
        <v>107</v>
      </c>
      <c r="B192" s="2">
        <v>2E-3</v>
      </c>
      <c r="C192" s="2">
        <v>1E-3</v>
      </c>
      <c r="D192" s="2">
        <v>0</v>
      </c>
      <c r="E192" s="2">
        <v>0</v>
      </c>
      <c r="F192" s="2">
        <v>0</v>
      </c>
      <c r="G192" s="2">
        <v>0</v>
      </c>
      <c r="H192" s="2">
        <v>-0.46899999999999997</v>
      </c>
      <c r="I192" s="2">
        <v>-0.378</v>
      </c>
      <c r="J192" s="2">
        <v>-0.20200000000000001</v>
      </c>
      <c r="K192" s="2">
        <v>-7.1185883783579498E-2</v>
      </c>
      <c r="L192" s="2">
        <v>-1.51306484795731E-2</v>
      </c>
      <c r="M192" s="4">
        <v>-0.17799999999999999</v>
      </c>
      <c r="N192" s="1">
        <v>-0.99575371549893843</v>
      </c>
      <c r="O192" s="1">
        <v>-0.99736147757255933</v>
      </c>
      <c r="P192" s="1">
        <v>-1</v>
      </c>
      <c r="Q192" s="1">
        <v>-1</v>
      </c>
      <c r="R192" s="1">
        <v>-1</v>
      </c>
      <c r="S192" s="5">
        <v>-1</v>
      </c>
      <c r="T192" s="2">
        <v>8.0000000000000002E-3</v>
      </c>
      <c r="U192" s="2">
        <v>1.2E-2</v>
      </c>
      <c r="V192" s="2">
        <v>2E-3</v>
      </c>
      <c r="W192" s="2">
        <v>0</v>
      </c>
      <c r="X192" s="2">
        <v>0</v>
      </c>
      <c r="Y192" s="2">
        <v>0</v>
      </c>
      <c r="Z192" s="2">
        <v>-0.82899999999999996</v>
      </c>
      <c r="AA192" s="2">
        <v>-0.81199999999999994</v>
      </c>
      <c r="AB192" s="2">
        <v>-0.58099999999999996</v>
      </c>
      <c r="AC192" s="2">
        <v>-0.78816047155478197</v>
      </c>
      <c r="AD192" s="2">
        <v>-0.43594300410752002</v>
      </c>
      <c r="AE192" s="4">
        <v>-0.79800000000000004</v>
      </c>
      <c r="AF192" s="1">
        <v>-0.99044205495818394</v>
      </c>
      <c r="AG192" s="1">
        <v>-0.9854368932038835</v>
      </c>
      <c r="AH192" s="1">
        <v>-0.99656946826758153</v>
      </c>
      <c r="AI192" s="1">
        <v>-1</v>
      </c>
      <c r="AJ192" s="1">
        <v>-1</v>
      </c>
      <c r="AK192" s="5">
        <v>-1</v>
      </c>
      <c r="AL192" s="2">
        <v>1.0999999999999999E-2</v>
      </c>
      <c r="AM192" s="2">
        <v>8.5000000000000006E-2</v>
      </c>
      <c r="AN192" s="2">
        <v>0.02</v>
      </c>
      <c r="AO192" s="2">
        <v>0</v>
      </c>
      <c r="AP192" s="2">
        <v>0</v>
      </c>
      <c r="AQ192" s="4">
        <v>0</v>
      </c>
      <c r="AR192" s="2">
        <v>-4.9000000000000002E-2</v>
      </c>
      <c r="AS192" s="2">
        <v>4.8000000000000008E-2</v>
      </c>
      <c r="AT192" s="2">
        <v>1.6E-2</v>
      </c>
      <c r="AU192" s="2">
        <v>0</v>
      </c>
      <c r="AV192" s="2">
        <v>0</v>
      </c>
      <c r="AW192" s="4">
        <v>0</v>
      </c>
      <c r="AX192" s="1">
        <v>-0.81666666666666676</v>
      </c>
      <c r="AY192" s="1">
        <v>1.2972972972972976</v>
      </c>
      <c r="AZ192" s="1">
        <v>4</v>
      </c>
      <c r="BA192" s="1" t="e">
        <v>#DIV/0!</v>
      </c>
      <c r="BB192" s="1" t="e">
        <v>#DIV/0!</v>
      </c>
      <c r="BC192" s="5" t="e">
        <v>#DIV/0!</v>
      </c>
      <c r="BD192" s="3">
        <f>$BH$1*F192+$BH$2*X192</f>
        <v>0</v>
      </c>
      <c r="BE192" s="3">
        <f>$BH$1*M192+$BH$2*AE192</f>
        <v>-0.42600000000000005</v>
      </c>
    </row>
    <row r="193" spans="1:57">
      <c r="A193" t="s">
        <v>106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-0.47099999999999997</v>
      </c>
      <c r="I193" s="2">
        <v>-0.379</v>
      </c>
      <c r="J193" s="2">
        <v>-0.20200000000000001</v>
      </c>
      <c r="K193" s="2">
        <v>-7.1185883783579498E-2</v>
      </c>
      <c r="L193" s="2">
        <v>-1.51306484795731E-2</v>
      </c>
      <c r="M193" s="4">
        <v>-0.17799999999999999</v>
      </c>
      <c r="N193" s="1">
        <v>-1</v>
      </c>
      <c r="O193" s="1">
        <v>-1</v>
      </c>
      <c r="P193" s="1">
        <v>-1</v>
      </c>
      <c r="Q193" s="1">
        <v>-1</v>
      </c>
      <c r="R193" s="1">
        <v>-1</v>
      </c>
      <c r="S193" s="5">
        <v>-1</v>
      </c>
      <c r="T193" s="2">
        <v>6.0000000000000001E-3</v>
      </c>
      <c r="U193" s="2">
        <v>2E-3</v>
      </c>
      <c r="V193" s="2">
        <v>1E-3</v>
      </c>
      <c r="W193" s="2">
        <v>0</v>
      </c>
      <c r="X193" s="2">
        <v>0</v>
      </c>
      <c r="Y193" s="2">
        <v>0</v>
      </c>
      <c r="Z193" s="2">
        <v>-0.83099999999999996</v>
      </c>
      <c r="AA193" s="2">
        <v>-0.82199999999999995</v>
      </c>
      <c r="AB193" s="2">
        <v>-0.58199999999999996</v>
      </c>
      <c r="AC193" s="2">
        <v>-0.78816047155478197</v>
      </c>
      <c r="AD193" s="2">
        <v>-0.43594300410752002</v>
      </c>
      <c r="AE193" s="4">
        <v>-0.79800000000000004</v>
      </c>
      <c r="AF193" s="1">
        <v>-0.99283154121863804</v>
      </c>
      <c r="AG193" s="1">
        <v>-0.99757281553398058</v>
      </c>
      <c r="AH193" s="1">
        <v>-0.99828473413379071</v>
      </c>
      <c r="AI193" s="1">
        <v>-1</v>
      </c>
      <c r="AJ193" s="1">
        <v>-1</v>
      </c>
      <c r="AK193" s="5">
        <v>-1</v>
      </c>
      <c r="AL193" s="2">
        <v>4.0000000000000001E-3</v>
      </c>
      <c r="AM193" s="2">
        <v>2E-3</v>
      </c>
      <c r="AN193" s="2">
        <v>0</v>
      </c>
      <c r="AO193" s="2">
        <v>0</v>
      </c>
      <c r="AP193" s="2">
        <v>0</v>
      </c>
      <c r="AQ193" s="4">
        <v>0</v>
      </c>
      <c r="AR193" s="2">
        <v>-5.5999999999999994E-2</v>
      </c>
      <c r="AS193" s="2">
        <v>-3.4999999999999996E-2</v>
      </c>
      <c r="AT193" s="2">
        <v>-4.0000000000000001E-3</v>
      </c>
      <c r="AU193" s="2">
        <v>0</v>
      </c>
      <c r="AV193" s="2">
        <v>0</v>
      </c>
      <c r="AW193" s="4">
        <v>0</v>
      </c>
      <c r="AX193" s="1">
        <v>-0.93333333333333324</v>
      </c>
      <c r="AY193" s="1">
        <v>-0.94594594594594594</v>
      </c>
      <c r="AZ193" s="1">
        <v>-1</v>
      </c>
      <c r="BA193" s="1" t="e">
        <v>#DIV/0!</v>
      </c>
      <c r="BB193" s="1" t="e">
        <v>#DIV/0!</v>
      </c>
      <c r="BC193" s="5" t="e">
        <v>#DIV/0!</v>
      </c>
      <c r="BD193" s="3">
        <f>$BH$1*F193+$BH$2*X193</f>
        <v>0</v>
      </c>
      <c r="BE193" s="3">
        <f>$BH$1*M193+$BH$2*AE193</f>
        <v>-0.42600000000000005</v>
      </c>
    </row>
  </sheetData>
  <sortState ref="A2:BE193">
    <sortCondition descending="1" ref="BD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pilot</vt:lpstr>
      <vt:lpstr>rz-v</vt:lpstr>
      <vt:lpstr>synth-t</vt:lpstr>
      <vt:lpstr>total_extd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Drwal</dc:creator>
  <cp:lastModifiedBy>Marek Drwal</cp:lastModifiedBy>
  <dcterms:created xsi:type="dcterms:W3CDTF">2026-01-20T16:42:55Z</dcterms:created>
  <dcterms:modified xsi:type="dcterms:W3CDTF">2026-01-22T16:54:01Z</dcterms:modified>
</cp:coreProperties>
</file>